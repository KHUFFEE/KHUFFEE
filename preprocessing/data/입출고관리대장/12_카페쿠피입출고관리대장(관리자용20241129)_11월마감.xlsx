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\2024년11월\"/>
    </mc:Choice>
  </mc:AlternateContent>
  <bookViews>
    <workbookView xWindow="0" yWindow="0" windowWidth="25875" windowHeight="10980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5" i="13" l="1"/>
  <c r="O54" i="13"/>
  <c r="N54" i="13"/>
  <c r="N55" i="13"/>
  <c r="N56" i="13"/>
  <c r="V75" i="1"/>
  <c r="I75" i="13" l="1"/>
  <c r="J75" i="13"/>
  <c r="K75" i="13"/>
  <c r="L75" i="13"/>
  <c r="M75" i="13"/>
  <c r="H75" i="13"/>
  <c r="K75" i="12"/>
  <c r="L75" i="12"/>
  <c r="M75" i="12"/>
  <c r="J75" i="12"/>
  <c r="I75" i="12"/>
  <c r="H75" i="12"/>
  <c r="H75" i="1"/>
  <c r="I75" i="1"/>
  <c r="J75" i="1"/>
  <c r="K75" i="1"/>
  <c r="L75" i="1"/>
  <c r="M75" i="1"/>
  <c r="Q55" i="1"/>
  <c r="R55" i="1"/>
  <c r="S55" i="1"/>
  <c r="T55" i="1"/>
  <c r="P55" i="1"/>
  <c r="Q54" i="1"/>
  <c r="R54" i="1"/>
  <c r="S54" i="1"/>
  <c r="T54" i="1"/>
  <c r="P54" i="1"/>
  <c r="N54" i="2"/>
  <c r="O54" i="2" s="1"/>
  <c r="N55" i="2"/>
  <c r="O55" i="2" s="1"/>
  <c r="N56" i="2"/>
  <c r="O56" i="2" s="1"/>
  <c r="N57" i="2"/>
  <c r="O57" i="2" s="1"/>
  <c r="N54" i="22"/>
  <c r="O54" i="22"/>
  <c r="N55" i="22"/>
  <c r="O55" i="22" s="1"/>
  <c r="N56" i="22"/>
  <c r="O56" i="22" s="1"/>
  <c r="N54" i="12"/>
  <c r="O54" i="12" s="1"/>
  <c r="N55" i="12"/>
  <c r="O55" i="12" s="1"/>
  <c r="N54" i="14"/>
  <c r="O54" i="14" s="1"/>
  <c r="N55" i="14"/>
  <c r="O55" i="14" s="1"/>
  <c r="N54" i="16"/>
  <c r="O54" i="16" s="1"/>
  <c r="N55" i="16"/>
  <c r="O55" i="16" s="1"/>
  <c r="N54" i="18"/>
  <c r="O54" i="18" s="1"/>
  <c r="N55" i="18"/>
  <c r="O55" i="18" s="1"/>
  <c r="N54" i="17"/>
  <c r="O54" i="17" s="1"/>
  <c r="N55" i="17"/>
  <c r="O55" i="17" s="1"/>
  <c r="N54" i="19"/>
  <c r="O54" i="19" s="1"/>
  <c r="N55" i="19"/>
  <c r="O55" i="19" s="1"/>
  <c r="N54" i="20"/>
  <c r="O54" i="20" s="1"/>
  <c r="N55" i="20"/>
  <c r="O55" i="20" s="1"/>
  <c r="G55" i="21"/>
  <c r="G54" i="21"/>
  <c r="G55" i="20"/>
  <c r="G54" i="20"/>
  <c r="G55" i="19"/>
  <c r="G54" i="19"/>
  <c r="G55" i="17"/>
  <c r="G54" i="17"/>
  <c r="G55" i="18"/>
  <c r="G54" i="18"/>
  <c r="G55" i="16"/>
  <c r="G54" i="16"/>
  <c r="G55" i="14"/>
  <c r="G54" i="14"/>
  <c r="G55" i="13"/>
  <c r="G54" i="13"/>
  <c r="G55" i="22"/>
  <c r="G54" i="22"/>
  <c r="G55" i="2"/>
  <c r="G54" i="2"/>
  <c r="G55" i="1"/>
  <c r="G54" i="1"/>
  <c r="G55" i="12"/>
  <c r="G54" i="12"/>
  <c r="N54" i="21"/>
  <c r="O54" i="21" s="1"/>
  <c r="N55" i="21"/>
  <c r="O55" i="21" s="1"/>
  <c r="N54" i="1" l="1"/>
  <c r="O54" i="1" s="1"/>
  <c r="AA54" i="1"/>
  <c r="N55" i="1"/>
  <c r="O55" i="1" s="1"/>
  <c r="AA55" i="1"/>
  <c r="U54" i="1" l="1"/>
  <c r="U55" i="1"/>
  <c r="V55" i="1" s="1"/>
  <c r="G52" i="1"/>
  <c r="V54" i="1" l="1"/>
  <c r="W54" i="1"/>
  <c r="W55" i="1"/>
  <c r="X55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X54" i="1" l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6" i="1"/>
  <c r="N63" i="1" l="1"/>
  <c r="N64" i="1"/>
  <c r="N65" i="1"/>
  <c r="N66" i="1"/>
  <c r="N67" i="1"/>
  <c r="N68" i="1"/>
  <c r="AA51" i="1" l="1"/>
  <c r="AA52" i="1"/>
  <c r="AA53" i="1"/>
  <c r="Q65" i="1"/>
  <c r="R65" i="1"/>
  <c r="S65" i="1"/>
  <c r="T65" i="1"/>
  <c r="Q66" i="1"/>
  <c r="R66" i="1"/>
  <c r="S66" i="1"/>
  <c r="T66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0" i="1"/>
  <c r="R60" i="1"/>
  <c r="S60" i="1"/>
  <c r="T60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6" i="1"/>
  <c r="R56" i="1"/>
  <c r="S56" i="1"/>
  <c r="T56" i="1"/>
  <c r="U56" i="1" l="1"/>
  <c r="V56" i="1" s="1"/>
  <c r="U66" i="1"/>
  <c r="V66" i="1" s="1"/>
  <c r="U65" i="1"/>
  <c r="W65" i="1" s="1"/>
  <c r="X65" i="1" s="1"/>
  <c r="U53" i="1"/>
  <c r="N53" i="21"/>
  <c r="O53" i="21" s="1"/>
  <c r="G53" i="21"/>
  <c r="N53" i="20"/>
  <c r="O53" i="20" s="1"/>
  <c r="G53" i="20"/>
  <c r="N53" i="19"/>
  <c r="O53" i="19" s="1"/>
  <c r="G53" i="19"/>
  <c r="N53" i="17"/>
  <c r="O53" i="17" s="1"/>
  <c r="G53" i="17"/>
  <c r="N53" i="18"/>
  <c r="O53" i="18" s="1"/>
  <c r="G53" i="18"/>
  <c r="N53" i="16"/>
  <c r="O53" i="16" s="1"/>
  <c r="G53" i="16"/>
  <c r="N53" i="14"/>
  <c r="O53" i="14" s="1"/>
  <c r="G53" i="14"/>
  <c r="N53" i="13"/>
  <c r="G53" i="13"/>
  <c r="N53" i="12"/>
  <c r="O53" i="12" s="1"/>
  <c r="G53" i="12"/>
  <c r="N53" i="22"/>
  <c r="O53" i="22" s="1"/>
  <c r="G53" i="22"/>
  <c r="N53" i="2"/>
  <c r="O53" i="2" s="1"/>
  <c r="G53" i="2"/>
  <c r="N53" i="1"/>
  <c r="O53" i="1" s="1"/>
  <c r="N56" i="1"/>
  <c r="G53" i="1"/>
  <c r="AA65" i="1"/>
  <c r="N65" i="21"/>
  <c r="O65" i="21" s="1"/>
  <c r="G65" i="21"/>
  <c r="N65" i="20"/>
  <c r="O65" i="20" s="1"/>
  <c r="G65" i="20"/>
  <c r="N65" i="19"/>
  <c r="O65" i="19" s="1"/>
  <c r="G65" i="19"/>
  <c r="N65" i="17"/>
  <c r="O65" i="17" s="1"/>
  <c r="G65" i="17"/>
  <c r="N65" i="18"/>
  <c r="O65" i="18" s="1"/>
  <c r="G65" i="18"/>
  <c r="N65" i="16"/>
  <c r="O65" i="16" s="1"/>
  <c r="G65" i="16"/>
  <c r="N65" i="14"/>
  <c r="O65" i="14" s="1"/>
  <c r="G65" i="14"/>
  <c r="N65" i="13"/>
  <c r="O65" i="13" s="1"/>
  <c r="G65" i="13"/>
  <c r="N65" i="12"/>
  <c r="O65" i="12" s="1"/>
  <c r="G65" i="12"/>
  <c r="N65" i="2"/>
  <c r="O65" i="2" s="1"/>
  <c r="N65" i="22"/>
  <c r="O65" i="22" s="1"/>
  <c r="G65" i="22"/>
  <c r="G65" i="2"/>
  <c r="G65" i="1"/>
  <c r="O53" i="13" l="1"/>
  <c r="W56" i="1"/>
  <c r="X56" i="1" s="1"/>
  <c r="W53" i="1"/>
  <c r="V65" i="1"/>
  <c r="V53" i="1"/>
  <c r="M75" i="21"/>
  <c r="L75" i="21"/>
  <c r="K75" i="21"/>
  <c r="J75" i="21"/>
  <c r="I75" i="21"/>
  <c r="H75" i="21"/>
  <c r="G75" i="21"/>
  <c r="F75" i="21"/>
  <c r="E75" i="21"/>
  <c r="N74" i="21"/>
  <c r="O74" i="21" s="1"/>
  <c r="N73" i="21"/>
  <c r="O73" i="21" s="1"/>
  <c r="N72" i="21"/>
  <c r="O72" i="21" s="1"/>
  <c r="N71" i="21"/>
  <c r="O71" i="21" s="1"/>
  <c r="N70" i="21"/>
  <c r="O70" i="21" s="1"/>
  <c r="N69" i="21"/>
  <c r="O69" i="21" s="1"/>
  <c r="N68" i="21"/>
  <c r="O68" i="21" s="1"/>
  <c r="N67" i="21"/>
  <c r="O67" i="21" s="1"/>
  <c r="N66" i="21"/>
  <c r="O66" i="21" s="1"/>
  <c r="N64" i="21"/>
  <c r="O64" i="21" s="1"/>
  <c r="N63" i="21"/>
  <c r="O63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9" i="21"/>
  <c r="O39" i="21" s="1"/>
  <c r="N38" i="21"/>
  <c r="O38" i="21" s="1"/>
  <c r="N37" i="21"/>
  <c r="O37" i="21" s="1"/>
  <c r="N36" i="21"/>
  <c r="O36" i="21" s="1"/>
  <c r="N35" i="21"/>
  <c r="O35" i="21" s="1"/>
  <c r="N34" i="21"/>
  <c r="O34" i="21" s="1"/>
  <c r="N33" i="21"/>
  <c r="O33" i="21" s="1"/>
  <c r="N32" i="21"/>
  <c r="O32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M75" i="20"/>
  <c r="L75" i="20"/>
  <c r="K75" i="20"/>
  <c r="J75" i="20"/>
  <c r="I75" i="20"/>
  <c r="H75" i="20"/>
  <c r="G75" i="20"/>
  <c r="F75" i="20"/>
  <c r="E75" i="20"/>
  <c r="N74" i="20"/>
  <c r="O74" i="20" s="1"/>
  <c r="N73" i="20"/>
  <c r="O73" i="20" s="1"/>
  <c r="N72" i="20"/>
  <c r="O72" i="20" s="1"/>
  <c r="N71" i="20"/>
  <c r="O71" i="20" s="1"/>
  <c r="N70" i="20"/>
  <c r="O70" i="20" s="1"/>
  <c r="N69" i="20"/>
  <c r="O69" i="20" s="1"/>
  <c r="N68" i="20"/>
  <c r="O68" i="20" s="1"/>
  <c r="N67" i="20"/>
  <c r="O67" i="20" s="1"/>
  <c r="N66" i="20"/>
  <c r="O66" i="20" s="1"/>
  <c r="N64" i="20"/>
  <c r="O64" i="20" s="1"/>
  <c r="N63" i="20"/>
  <c r="O63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N56" i="20"/>
  <c r="O56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9" i="20"/>
  <c r="O39" i="20" s="1"/>
  <c r="N38" i="20"/>
  <c r="O38" i="20" s="1"/>
  <c r="N37" i="20"/>
  <c r="O37" i="20" s="1"/>
  <c r="N36" i="20"/>
  <c r="O36" i="20" s="1"/>
  <c r="N35" i="20"/>
  <c r="O35" i="20" s="1"/>
  <c r="N34" i="20"/>
  <c r="O34" i="20" s="1"/>
  <c r="N33" i="20"/>
  <c r="O33" i="20" s="1"/>
  <c r="N32" i="20"/>
  <c r="O32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M75" i="19"/>
  <c r="L75" i="19"/>
  <c r="K75" i="19"/>
  <c r="J75" i="19"/>
  <c r="I75" i="19"/>
  <c r="H75" i="19"/>
  <c r="G75" i="19"/>
  <c r="F75" i="19"/>
  <c r="E75" i="19"/>
  <c r="N74" i="19"/>
  <c r="O74" i="19" s="1"/>
  <c r="N73" i="19"/>
  <c r="O73" i="19" s="1"/>
  <c r="N72" i="19"/>
  <c r="O72" i="19" s="1"/>
  <c r="N71" i="19"/>
  <c r="O71" i="19" s="1"/>
  <c r="N70" i="19"/>
  <c r="O70" i="19" s="1"/>
  <c r="N69" i="19"/>
  <c r="O69" i="19" s="1"/>
  <c r="N68" i="19"/>
  <c r="O68" i="19" s="1"/>
  <c r="N67" i="19"/>
  <c r="O67" i="19" s="1"/>
  <c r="N66" i="19"/>
  <c r="O66" i="19" s="1"/>
  <c r="N64" i="19"/>
  <c r="O64" i="19" s="1"/>
  <c r="N63" i="19"/>
  <c r="O63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32" i="19"/>
  <c r="O32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O6" i="19" s="1"/>
  <c r="N5" i="19"/>
  <c r="O5" i="19" s="1"/>
  <c r="M75" i="17"/>
  <c r="L75" i="17"/>
  <c r="K75" i="17"/>
  <c r="J75" i="17"/>
  <c r="I75" i="17"/>
  <c r="H75" i="17"/>
  <c r="G75" i="17"/>
  <c r="F75" i="17"/>
  <c r="E75" i="17"/>
  <c r="N74" i="17"/>
  <c r="O74" i="17" s="1"/>
  <c r="N73" i="17"/>
  <c r="O73" i="17" s="1"/>
  <c r="N72" i="17"/>
  <c r="O72" i="17" s="1"/>
  <c r="N71" i="17"/>
  <c r="O71" i="17" s="1"/>
  <c r="N70" i="17"/>
  <c r="O70" i="17" s="1"/>
  <c r="N69" i="17"/>
  <c r="O69" i="17" s="1"/>
  <c r="N68" i="17"/>
  <c r="O68" i="17" s="1"/>
  <c r="N67" i="17"/>
  <c r="O67" i="17" s="1"/>
  <c r="N66" i="17"/>
  <c r="O66" i="17" s="1"/>
  <c r="N64" i="17"/>
  <c r="O64" i="17" s="1"/>
  <c r="N63" i="17"/>
  <c r="O63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9" i="17"/>
  <c r="O39" i="17" s="1"/>
  <c r="N38" i="17"/>
  <c r="O38" i="17" s="1"/>
  <c r="N37" i="17"/>
  <c r="O37" i="17" s="1"/>
  <c r="N36" i="17"/>
  <c r="O36" i="17" s="1"/>
  <c r="N35" i="17"/>
  <c r="O35" i="17" s="1"/>
  <c r="N34" i="17"/>
  <c r="O34" i="17" s="1"/>
  <c r="N33" i="17"/>
  <c r="O33" i="17" s="1"/>
  <c r="N32" i="17"/>
  <c r="O32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O5" i="17" s="1"/>
  <c r="M75" i="18"/>
  <c r="L75" i="18"/>
  <c r="K75" i="18"/>
  <c r="J75" i="18"/>
  <c r="I75" i="18"/>
  <c r="H75" i="18"/>
  <c r="G75" i="18"/>
  <c r="F75" i="18"/>
  <c r="E75" i="18"/>
  <c r="N74" i="18"/>
  <c r="O74" i="18" s="1"/>
  <c r="N73" i="18"/>
  <c r="O73" i="18" s="1"/>
  <c r="N72" i="18"/>
  <c r="O72" i="18" s="1"/>
  <c r="N71" i="18"/>
  <c r="O71" i="18" s="1"/>
  <c r="N70" i="18"/>
  <c r="O70" i="18" s="1"/>
  <c r="N69" i="18"/>
  <c r="O69" i="18" s="1"/>
  <c r="N68" i="18"/>
  <c r="O68" i="18" s="1"/>
  <c r="N67" i="18"/>
  <c r="O67" i="18" s="1"/>
  <c r="N66" i="18"/>
  <c r="O66" i="18" s="1"/>
  <c r="N64" i="18"/>
  <c r="O64" i="18" s="1"/>
  <c r="N63" i="18"/>
  <c r="O63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9" i="18"/>
  <c r="O39" i="18" s="1"/>
  <c r="N38" i="18"/>
  <c r="O38" i="18" s="1"/>
  <c r="N37" i="18"/>
  <c r="O37" i="18" s="1"/>
  <c r="N36" i="18"/>
  <c r="O36" i="18" s="1"/>
  <c r="N35" i="18"/>
  <c r="O35" i="18" s="1"/>
  <c r="N34" i="18"/>
  <c r="O34" i="18" s="1"/>
  <c r="N33" i="18"/>
  <c r="O33" i="18" s="1"/>
  <c r="N32" i="18"/>
  <c r="O32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75" i="16"/>
  <c r="L75" i="16"/>
  <c r="K75" i="16"/>
  <c r="J75" i="16"/>
  <c r="I75" i="16"/>
  <c r="H75" i="16"/>
  <c r="G75" i="16"/>
  <c r="F75" i="16"/>
  <c r="E75" i="16"/>
  <c r="N74" i="16"/>
  <c r="O74" i="16" s="1"/>
  <c r="N73" i="16"/>
  <c r="O73" i="16" s="1"/>
  <c r="N72" i="16"/>
  <c r="O72" i="16" s="1"/>
  <c r="N71" i="16"/>
  <c r="O71" i="16" s="1"/>
  <c r="N70" i="16"/>
  <c r="O70" i="16" s="1"/>
  <c r="N69" i="16"/>
  <c r="O69" i="16" s="1"/>
  <c r="N68" i="16"/>
  <c r="O68" i="16" s="1"/>
  <c r="N67" i="16"/>
  <c r="O67" i="16" s="1"/>
  <c r="N66" i="16"/>
  <c r="O66" i="16" s="1"/>
  <c r="N64" i="16"/>
  <c r="O64" i="16" s="1"/>
  <c r="N63" i="16"/>
  <c r="O63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M75" i="14"/>
  <c r="L75" i="14"/>
  <c r="K75" i="14"/>
  <c r="J75" i="14"/>
  <c r="I75" i="14"/>
  <c r="H75" i="14"/>
  <c r="G75" i="14"/>
  <c r="F75" i="14"/>
  <c r="E75" i="14"/>
  <c r="N74" i="14"/>
  <c r="O74" i="14" s="1"/>
  <c r="N73" i="14"/>
  <c r="O73" i="14" s="1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9" i="14"/>
  <c r="O39" i="14" s="1"/>
  <c r="N38" i="14"/>
  <c r="O38" i="14" s="1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O5" i="14" s="1"/>
  <c r="G75" i="13"/>
  <c r="F75" i="13"/>
  <c r="E75" i="13"/>
  <c r="N74" i="13"/>
  <c r="O74" i="13" s="1"/>
  <c r="N73" i="13"/>
  <c r="O73" i="13" s="1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4" i="13"/>
  <c r="O64" i="13" s="1"/>
  <c r="N63" i="13"/>
  <c r="O63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O56" i="13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G75" i="12"/>
  <c r="F75" i="12"/>
  <c r="E75" i="12"/>
  <c r="N74" i="12"/>
  <c r="O74" i="12" s="1"/>
  <c r="N73" i="12"/>
  <c r="O73" i="12" s="1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4" i="12"/>
  <c r="O64" i="12" s="1"/>
  <c r="N63" i="12"/>
  <c r="O63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M75" i="22"/>
  <c r="L75" i="22"/>
  <c r="K75" i="22"/>
  <c r="J75" i="22"/>
  <c r="I75" i="22"/>
  <c r="H75" i="22"/>
  <c r="F75" i="22"/>
  <c r="E75" i="22"/>
  <c r="N74" i="22"/>
  <c r="O74" i="22" s="1"/>
  <c r="N73" i="22"/>
  <c r="O73" i="22" s="1"/>
  <c r="N72" i="22"/>
  <c r="O72" i="22" s="1"/>
  <c r="N71" i="22"/>
  <c r="O71" i="22" s="1"/>
  <c r="N70" i="22"/>
  <c r="O70" i="22" s="1"/>
  <c r="N69" i="22"/>
  <c r="O69" i="22" s="1"/>
  <c r="N68" i="22"/>
  <c r="O68" i="22" s="1"/>
  <c r="N67" i="22"/>
  <c r="O67" i="22" s="1"/>
  <c r="N66" i="22"/>
  <c r="O66" i="22" s="1"/>
  <c r="N64" i="22"/>
  <c r="O64" i="22" s="1"/>
  <c r="N63" i="22"/>
  <c r="O63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2" i="22"/>
  <c r="O52" i="22" s="1"/>
  <c r="G52" i="22"/>
  <c r="N51" i="22"/>
  <c r="O51" i="22" s="1"/>
  <c r="G51" i="22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G40" i="22"/>
  <c r="N39" i="22"/>
  <c r="O39" i="22" s="1"/>
  <c r="G39" i="22"/>
  <c r="N38" i="22"/>
  <c r="O38" i="22" s="1"/>
  <c r="N37" i="22"/>
  <c r="O37" i="22" s="1"/>
  <c r="N36" i="22"/>
  <c r="O36" i="22" s="1"/>
  <c r="G35" i="22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O5" i="22" s="1"/>
  <c r="M75" i="2"/>
  <c r="L75" i="2"/>
  <c r="K75" i="2"/>
  <c r="J75" i="2"/>
  <c r="I75" i="2"/>
  <c r="H75" i="2"/>
  <c r="F75" i="2"/>
  <c r="E75" i="2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2" i="2"/>
  <c r="O52" i="2" s="1"/>
  <c r="G52" i="2"/>
  <c r="N51" i="2"/>
  <c r="O51" i="2" s="1"/>
  <c r="G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G40" i="2"/>
  <c r="N39" i="2"/>
  <c r="O39" i="2" s="1"/>
  <c r="G39" i="2"/>
  <c r="N38" i="2"/>
  <c r="O38" i="2" s="1"/>
  <c r="N37" i="2"/>
  <c r="O37" i="2" s="1"/>
  <c r="N36" i="2"/>
  <c r="O36" i="2" s="1"/>
  <c r="G35" i="2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Z75" i="1"/>
  <c r="AA74" i="1"/>
  <c r="T74" i="1"/>
  <c r="S74" i="1"/>
  <c r="R74" i="1"/>
  <c r="Q74" i="1"/>
  <c r="N74" i="1"/>
  <c r="AA73" i="1"/>
  <c r="T73" i="1"/>
  <c r="S73" i="1"/>
  <c r="R73" i="1"/>
  <c r="Q73" i="1"/>
  <c r="N73" i="1"/>
  <c r="AA72" i="1"/>
  <c r="T72" i="1"/>
  <c r="S72" i="1"/>
  <c r="R72" i="1"/>
  <c r="Q72" i="1"/>
  <c r="N72" i="1"/>
  <c r="AA71" i="1"/>
  <c r="T71" i="1"/>
  <c r="S71" i="1"/>
  <c r="R71" i="1"/>
  <c r="Q71" i="1"/>
  <c r="N71" i="1"/>
  <c r="O71" i="1" s="1"/>
  <c r="AA70" i="1"/>
  <c r="T70" i="1"/>
  <c r="S70" i="1"/>
  <c r="R70" i="1"/>
  <c r="Q70" i="1"/>
  <c r="N70" i="1"/>
  <c r="AA69" i="1"/>
  <c r="T69" i="1"/>
  <c r="S69" i="1"/>
  <c r="R69" i="1"/>
  <c r="Q69" i="1"/>
  <c r="N69" i="1"/>
  <c r="AA68" i="1"/>
  <c r="T68" i="1"/>
  <c r="S68" i="1"/>
  <c r="R68" i="1"/>
  <c r="Q68" i="1"/>
  <c r="AA67" i="1"/>
  <c r="T67" i="1"/>
  <c r="S67" i="1"/>
  <c r="R67" i="1"/>
  <c r="Q67" i="1"/>
  <c r="AA66" i="1"/>
  <c r="W66" i="1"/>
  <c r="X66" i="1" s="1"/>
  <c r="AA64" i="1"/>
  <c r="AA63" i="1"/>
  <c r="AA62" i="1"/>
  <c r="N62" i="1"/>
  <c r="AA61" i="1"/>
  <c r="N61" i="1"/>
  <c r="AA60" i="1"/>
  <c r="N60" i="1"/>
  <c r="O60" i="1" s="1"/>
  <c r="AA59" i="1"/>
  <c r="T59" i="1"/>
  <c r="S59" i="1"/>
  <c r="R59" i="1"/>
  <c r="Q59" i="1"/>
  <c r="N59" i="1"/>
  <c r="AA58" i="1"/>
  <c r="T58" i="1"/>
  <c r="S58" i="1"/>
  <c r="R58" i="1"/>
  <c r="Q58" i="1"/>
  <c r="N58" i="1"/>
  <c r="AA57" i="1"/>
  <c r="T57" i="1"/>
  <c r="S57" i="1"/>
  <c r="R57" i="1"/>
  <c r="Q57" i="1"/>
  <c r="N57" i="1"/>
  <c r="O57" i="1" s="1"/>
  <c r="AA56" i="1"/>
  <c r="N52" i="1"/>
  <c r="O52" i="1" s="1"/>
  <c r="N51" i="1"/>
  <c r="O51" i="1" s="1"/>
  <c r="G51" i="1"/>
  <c r="AA50" i="1"/>
  <c r="N50" i="1"/>
  <c r="O50" i="1" s="1"/>
  <c r="AA49" i="1"/>
  <c r="N49" i="1"/>
  <c r="AA48" i="1"/>
  <c r="T48" i="1"/>
  <c r="S48" i="1"/>
  <c r="R48" i="1"/>
  <c r="Q48" i="1"/>
  <c r="N48" i="1"/>
  <c r="O48" i="1" s="1"/>
  <c r="AA47" i="1"/>
  <c r="T47" i="1"/>
  <c r="S47" i="1"/>
  <c r="R47" i="1"/>
  <c r="Q47" i="1"/>
  <c r="N47" i="1"/>
  <c r="AA46" i="1"/>
  <c r="T46" i="1"/>
  <c r="S46" i="1"/>
  <c r="R46" i="1"/>
  <c r="Q46" i="1"/>
  <c r="N46" i="1"/>
  <c r="O46" i="1" s="1"/>
  <c r="AA45" i="1"/>
  <c r="T45" i="1"/>
  <c r="S45" i="1"/>
  <c r="R45" i="1"/>
  <c r="Q45" i="1"/>
  <c r="N45" i="1"/>
  <c r="AA44" i="1"/>
  <c r="T44" i="1"/>
  <c r="S44" i="1"/>
  <c r="R44" i="1"/>
  <c r="Q44" i="1"/>
  <c r="N44" i="1"/>
  <c r="O44" i="1" s="1"/>
  <c r="AA43" i="1"/>
  <c r="T43" i="1"/>
  <c r="S43" i="1"/>
  <c r="R43" i="1"/>
  <c r="Q43" i="1"/>
  <c r="N43" i="1"/>
  <c r="O43" i="1" s="1"/>
  <c r="AA42" i="1"/>
  <c r="T42" i="1"/>
  <c r="S42" i="1"/>
  <c r="R42" i="1"/>
  <c r="Q42" i="1"/>
  <c r="N42" i="1"/>
  <c r="AA41" i="1"/>
  <c r="T41" i="1"/>
  <c r="S41" i="1"/>
  <c r="R41" i="1"/>
  <c r="Q41" i="1"/>
  <c r="N41" i="1"/>
  <c r="AA40" i="1"/>
  <c r="T40" i="1"/>
  <c r="S40" i="1"/>
  <c r="R40" i="1"/>
  <c r="Q40" i="1"/>
  <c r="N40" i="1"/>
  <c r="G40" i="1"/>
  <c r="AA39" i="1"/>
  <c r="T39" i="1"/>
  <c r="S39" i="1"/>
  <c r="R39" i="1"/>
  <c r="N39" i="1"/>
  <c r="O39" i="1" s="1"/>
  <c r="G39" i="1"/>
  <c r="AA38" i="1"/>
  <c r="T38" i="1"/>
  <c r="S38" i="1"/>
  <c r="R38" i="1"/>
  <c r="N38" i="1"/>
  <c r="O38" i="1" s="1"/>
  <c r="AA37" i="1"/>
  <c r="T37" i="1"/>
  <c r="S37" i="1"/>
  <c r="R37" i="1"/>
  <c r="N37" i="1"/>
  <c r="AA36" i="1"/>
  <c r="T36" i="1"/>
  <c r="S36" i="1"/>
  <c r="R36" i="1"/>
  <c r="N36" i="1"/>
  <c r="O36" i="1" s="1"/>
  <c r="AA35" i="1"/>
  <c r="T35" i="1"/>
  <c r="S35" i="1"/>
  <c r="R35" i="1"/>
  <c r="N35" i="1"/>
  <c r="G35" i="1"/>
  <c r="AA34" i="1"/>
  <c r="T34" i="1"/>
  <c r="S34" i="1"/>
  <c r="R34" i="1"/>
  <c r="N34" i="1"/>
  <c r="AA33" i="1"/>
  <c r="T33" i="1"/>
  <c r="S33" i="1"/>
  <c r="R33" i="1"/>
  <c r="N33" i="1"/>
  <c r="O33" i="1" s="1"/>
  <c r="AA32" i="1"/>
  <c r="T32" i="1"/>
  <c r="S32" i="1"/>
  <c r="R32" i="1"/>
  <c r="N32" i="1"/>
  <c r="AA31" i="1"/>
  <c r="T31" i="1"/>
  <c r="S31" i="1"/>
  <c r="R31" i="1"/>
  <c r="N31" i="1"/>
  <c r="O31" i="1" s="1"/>
  <c r="AA30" i="1"/>
  <c r="T30" i="1"/>
  <c r="S30" i="1"/>
  <c r="R30" i="1"/>
  <c r="N30" i="1"/>
  <c r="AA29" i="1"/>
  <c r="T29" i="1"/>
  <c r="S29" i="1"/>
  <c r="R29" i="1"/>
  <c r="N29" i="1"/>
  <c r="O29" i="1" s="1"/>
  <c r="AA28" i="1"/>
  <c r="T28" i="1"/>
  <c r="S28" i="1"/>
  <c r="R28" i="1"/>
  <c r="N28" i="1"/>
  <c r="AA27" i="1"/>
  <c r="T27" i="1"/>
  <c r="S27" i="1"/>
  <c r="R27" i="1"/>
  <c r="N27" i="1"/>
  <c r="O27" i="1" s="1"/>
  <c r="AA26" i="1"/>
  <c r="T26" i="1"/>
  <c r="S26" i="1"/>
  <c r="R26" i="1"/>
  <c r="N26" i="1"/>
  <c r="AA25" i="1"/>
  <c r="T25" i="1"/>
  <c r="S25" i="1"/>
  <c r="R25" i="1"/>
  <c r="N25" i="1"/>
  <c r="O25" i="1" s="1"/>
  <c r="AA24" i="1"/>
  <c r="T24" i="1"/>
  <c r="S24" i="1"/>
  <c r="R24" i="1"/>
  <c r="N24" i="1"/>
  <c r="AA23" i="1"/>
  <c r="T23" i="1"/>
  <c r="S23" i="1"/>
  <c r="R23" i="1"/>
  <c r="N23" i="1"/>
  <c r="O23" i="1" s="1"/>
  <c r="AA22" i="1"/>
  <c r="T22" i="1"/>
  <c r="S22" i="1"/>
  <c r="R22" i="1"/>
  <c r="N22" i="1"/>
  <c r="AA21" i="1"/>
  <c r="T21" i="1"/>
  <c r="S21" i="1"/>
  <c r="R21" i="1"/>
  <c r="N21" i="1"/>
  <c r="O21" i="1" s="1"/>
  <c r="AA20" i="1"/>
  <c r="T20" i="1"/>
  <c r="S20" i="1"/>
  <c r="R20" i="1"/>
  <c r="N20" i="1"/>
  <c r="AA19" i="1"/>
  <c r="T19" i="1"/>
  <c r="S19" i="1"/>
  <c r="R19" i="1"/>
  <c r="N19" i="1"/>
  <c r="O19" i="1" s="1"/>
  <c r="AA18" i="1"/>
  <c r="T18" i="1"/>
  <c r="S18" i="1"/>
  <c r="R18" i="1"/>
  <c r="N18" i="1"/>
  <c r="AA17" i="1"/>
  <c r="T17" i="1"/>
  <c r="S17" i="1"/>
  <c r="R17" i="1"/>
  <c r="N17" i="1"/>
  <c r="O17" i="1" s="1"/>
  <c r="AA16" i="1"/>
  <c r="T16" i="1"/>
  <c r="S16" i="1"/>
  <c r="R16" i="1"/>
  <c r="N16" i="1"/>
  <c r="AA15" i="1"/>
  <c r="T15" i="1"/>
  <c r="S15" i="1"/>
  <c r="R15" i="1"/>
  <c r="N15" i="1"/>
  <c r="O15" i="1" s="1"/>
  <c r="AA14" i="1"/>
  <c r="T14" i="1"/>
  <c r="S14" i="1"/>
  <c r="R14" i="1"/>
  <c r="N14" i="1"/>
  <c r="AA13" i="1"/>
  <c r="T13" i="1"/>
  <c r="S13" i="1"/>
  <c r="R13" i="1"/>
  <c r="N13" i="1"/>
  <c r="O13" i="1" s="1"/>
  <c r="AA12" i="1"/>
  <c r="T12" i="1"/>
  <c r="S12" i="1"/>
  <c r="R12" i="1"/>
  <c r="N12" i="1"/>
  <c r="AA11" i="1"/>
  <c r="T11" i="1"/>
  <c r="S11" i="1"/>
  <c r="R11" i="1"/>
  <c r="N11" i="1"/>
  <c r="O11" i="1" s="1"/>
  <c r="AA10" i="1"/>
  <c r="T10" i="1"/>
  <c r="S10" i="1"/>
  <c r="R10" i="1"/>
  <c r="N10" i="1"/>
  <c r="AA9" i="1"/>
  <c r="T9" i="1"/>
  <c r="S9" i="1"/>
  <c r="R9" i="1"/>
  <c r="N9" i="1"/>
  <c r="O9" i="1" s="1"/>
  <c r="AA8" i="1"/>
  <c r="T8" i="1"/>
  <c r="S8" i="1"/>
  <c r="R8" i="1"/>
  <c r="N8" i="1"/>
  <c r="AA7" i="1"/>
  <c r="T7" i="1"/>
  <c r="S7" i="1"/>
  <c r="R7" i="1"/>
  <c r="N7" i="1"/>
  <c r="O7" i="1" s="1"/>
  <c r="AA6" i="1"/>
  <c r="T6" i="1"/>
  <c r="S6" i="1"/>
  <c r="R6" i="1"/>
  <c r="Q6" i="1"/>
  <c r="N6" i="1"/>
  <c r="AA5" i="1"/>
  <c r="T5" i="1"/>
  <c r="S5" i="1"/>
  <c r="R5" i="1"/>
  <c r="Q5" i="1"/>
  <c r="P5" i="1"/>
  <c r="P75" i="1" s="1"/>
  <c r="N5" i="1"/>
  <c r="S75" i="1" l="1"/>
  <c r="N75" i="12"/>
  <c r="N75" i="1"/>
  <c r="Q75" i="1"/>
  <c r="R75" i="1"/>
  <c r="X53" i="1"/>
  <c r="N75" i="13"/>
  <c r="O75" i="13"/>
  <c r="AB41" i="1"/>
  <c r="AC41" i="1" s="1"/>
  <c r="G75" i="22"/>
  <c r="T75" i="1"/>
  <c r="AB69" i="1"/>
  <c r="AC69" i="1" s="1"/>
  <c r="G75" i="2"/>
  <c r="U68" i="1"/>
  <c r="V68" i="1" s="1"/>
  <c r="U22" i="1"/>
  <c r="V22" i="1" s="1"/>
  <c r="U73" i="1"/>
  <c r="V73" i="1" s="1"/>
  <c r="U7" i="1"/>
  <c r="U63" i="1"/>
  <c r="V63" i="1" s="1"/>
  <c r="U6" i="1"/>
  <c r="U47" i="1"/>
  <c r="V47" i="1" s="1"/>
  <c r="U49" i="1"/>
  <c r="V49" i="1" s="1"/>
  <c r="U61" i="1"/>
  <c r="V61" i="1" s="1"/>
  <c r="U45" i="1"/>
  <c r="V45" i="1" s="1"/>
  <c r="U10" i="1"/>
  <c r="U24" i="1"/>
  <c r="V24" i="1" s="1"/>
  <c r="U20" i="1"/>
  <c r="V20" i="1" s="1"/>
  <c r="U21" i="1"/>
  <c r="V21" i="1" s="1"/>
  <c r="U38" i="1"/>
  <c r="V38" i="1" s="1"/>
  <c r="U41" i="1"/>
  <c r="V41" i="1" s="1"/>
  <c r="U42" i="1"/>
  <c r="V42" i="1" s="1"/>
  <c r="U43" i="1"/>
  <c r="V43" i="1" s="1"/>
  <c r="U18" i="1"/>
  <c r="V18" i="1" s="1"/>
  <c r="U34" i="1"/>
  <c r="V34" i="1" s="1"/>
  <c r="U36" i="1"/>
  <c r="V36" i="1" s="1"/>
  <c r="U39" i="1"/>
  <c r="W39" i="1" s="1"/>
  <c r="X39" i="1" s="1"/>
  <c r="U40" i="1"/>
  <c r="V40" i="1" s="1"/>
  <c r="U59" i="1"/>
  <c r="V59" i="1" s="1"/>
  <c r="U16" i="1"/>
  <c r="V16" i="1" s="1"/>
  <c r="U33" i="1"/>
  <c r="W33" i="1" s="1"/>
  <c r="X33" i="1" s="1"/>
  <c r="U14" i="1"/>
  <c r="U15" i="1"/>
  <c r="U30" i="1"/>
  <c r="V30" i="1" s="1"/>
  <c r="U31" i="1"/>
  <c r="W31" i="1" s="1"/>
  <c r="X31" i="1" s="1"/>
  <c r="U52" i="1"/>
  <c r="U57" i="1"/>
  <c r="V57" i="1" s="1"/>
  <c r="U71" i="1"/>
  <c r="V71" i="1" s="1"/>
  <c r="U12" i="1"/>
  <c r="U28" i="1"/>
  <c r="V28" i="1" s="1"/>
  <c r="U29" i="1"/>
  <c r="W29" i="1" s="1"/>
  <c r="X29" i="1" s="1"/>
  <c r="U11" i="1"/>
  <c r="U27" i="1"/>
  <c r="V27" i="1" s="1"/>
  <c r="AB71" i="1"/>
  <c r="AC71" i="1" s="1"/>
  <c r="AB58" i="1"/>
  <c r="AC58" i="1" s="1"/>
  <c r="AB43" i="1"/>
  <c r="AC43" i="1" s="1"/>
  <c r="U51" i="1"/>
  <c r="V51" i="1" s="1"/>
  <c r="U9" i="1"/>
  <c r="U13" i="1"/>
  <c r="U19" i="1"/>
  <c r="W19" i="1" s="1"/>
  <c r="X19" i="1" s="1"/>
  <c r="U17" i="1"/>
  <c r="V17" i="1" s="1"/>
  <c r="U23" i="1"/>
  <c r="W23" i="1" s="1"/>
  <c r="X23" i="1" s="1"/>
  <c r="U8" i="1"/>
  <c r="V8" i="1" s="1"/>
  <c r="U25" i="1"/>
  <c r="V25" i="1" s="1"/>
  <c r="U5" i="1"/>
  <c r="O20" i="1"/>
  <c r="U50" i="1"/>
  <c r="U72" i="1"/>
  <c r="V72" i="1" s="1"/>
  <c r="U74" i="1"/>
  <c r="V74" i="1" s="1"/>
  <c r="O6" i="1"/>
  <c r="O10" i="1"/>
  <c r="U26" i="1"/>
  <c r="V26" i="1" s="1"/>
  <c r="O40" i="1"/>
  <c r="O75" i="2"/>
  <c r="O45" i="1"/>
  <c r="O5" i="12"/>
  <c r="O75" i="12" s="1"/>
  <c r="O22" i="1"/>
  <c r="O12" i="1"/>
  <c r="U32" i="1"/>
  <c r="V32" i="1" s="1"/>
  <c r="O47" i="1"/>
  <c r="O59" i="1"/>
  <c r="O16" i="1"/>
  <c r="O18" i="1"/>
  <c r="U44" i="1"/>
  <c r="O49" i="1"/>
  <c r="U58" i="1"/>
  <c r="V58" i="1" s="1"/>
  <c r="O61" i="1"/>
  <c r="O63" i="1"/>
  <c r="O66" i="1"/>
  <c r="O68" i="1"/>
  <c r="N75" i="14"/>
  <c r="U35" i="1"/>
  <c r="V35" i="1" s="1"/>
  <c r="U46" i="1"/>
  <c r="O73" i="1"/>
  <c r="N75" i="22"/>
  <c r="O8" i="1"/>
  <c r="O5" i="1"/>
  <c r="AA75" i="1"/>
  <c r="AB5" i="1"/>
  <c r="AC5" i="1" s="1"/>
  <c r="O14" i="1"/>
  <c r="U37" i="1"/>
  <c r="V37" i="1" s="1"/>
  <c r="U48" i="1"/>
  <c r="U60" i="1"/>
  <c r="U62" i="1"/>
  <c r="V62" i="1" s="1"/>
  <c r="U64" i="1"/>
  <c r="V64" i="1" s="1"/>
  <c r="U67" i="1"/>
  <c r="V67" i="1" s="1"/>
  <c r="U69" i="1"/>
  <c r="V69" i="1" s="1"/>
  <c r="U70" i="1"/>
  <c r="V70" i="1" s="1"/>
  <c r="O75" i="22"/>
  <c r="N75" i="17"/>
  <c r="O75" i="19"/>
  <c r="O75" i="14"/>
  <c r="O75" i="18"/>
  <c r="O35" i="1"/>
  <c r="O37" i="1"/>
  <c r="O42" i="1"/>
  <c r="O56" i="1"/>
  <c r="O58" i="1"/>
  <c r="O70" i="1"/>
  <c r="N75" i="2"/>
  <c r="N75" i="16"/>
  <c r="N75" i="19"/>
  <c r="O41" i="1"/>
  <c r="O62" i="1"/>
  <c r="O64" i="1"/>
  <c r="O67" i="1"/>
  <c r="O69" i="1"/>
  <c r="O72" i="1"/>
  <c r="O74" i="1"/>
  <c r="O75" i="16"/>
  <c r="O75" i="17"/>
  <c r="N75" i="21"/>
  <c r="O5" i="21"/>
  <c r="O75" i="21" s="1"/>
  <c r="O24" i="1"/>
  <c r="O26" i="1"/>
  <c r="O28" i="1"/>
  <c r="O30" i="1"/>
  <c r="O32" i="1"/>
  <c r="O34" i="1"/>
  <c r="N75" i="20"/>
  <c r="N75" i="18"/>
  <c r="O5" i="20"/>
  <c r="O75" i="20" s="1"/>
  <c r="O75" i="1" l="1"/>
  <c r="W5" i="1"/>
  <c r="U75" i="1"/>
  <c r="V6" i="1"/>
  <c r="W6" i="1"/>
  <c r="X6" i="1" s="1"/>
  <c r="W15" i="1"/>
  <c r="X15" i="1" s="1"/>
  <c r="V7" i="1"/>
  <c r="W7" i="1"/>
  <c r="X7" i="1" s="1"/>
  <c r="V11" i="1"/>
  <c r="W11" i="1"/>
  <c r="X11" i="1" s="1"/>
  <c r="W9" i="1"/>
  <c r="X9" i="1" s="1"/>
  <c r="V14" i="1"/>
  <c r="W14" i="1"/>
  <c r="X14" i="1" s="1"/>
  <c r="V10" i="1"/>
  <c r="W10" i="1"/>
  <c r="X10" i="1" s="1"/>
  <c r="V12" i="1"/>
  <c r="W12" i="1"/>
  <c r="X12" i="1" s="1"/>
  <c r="V13" i="1"/>
  <c r="W13" i="1"/>
  <c r="X13" i="1" s="1"/>
  <c r="W37" i="1"/>
  <c r="X37" i="1" s="1"/>
  <c r="W73" i="1"/>
  <c r="X73" i="1" s="1"/>
  <c r="W22" i="1"/>
  <c r="X22" i="1" s="1"/>
  <c r="W45" i="1"/>
  <c r="X45" i="1" s="1"/>
  <c r="W25" i="1"/>
  <c r="X25" i="1" s="1"/>
  <c r="W34" i="1"/>
  <c r="X34" i="1" s="1"/>
  <c r="W28" i="1"/>
  <c r="X28" i="1" s="1"/>
  <c r="W18" i="1"/>
  <c r="X18" i="1" s="1"/>
  <c r="W68" i="1"/>
  <c r="X68" i="1" s="1"/>
  <c r="V9" i="1"/>
  <c r="W61" i="1"/>
  <c r="X61" i="1" s="1"/>
  <c r="W24" i="1"/>
  <c r="X24" i="1" s="1"/>
  <c r="W49" i="1"/>
  <c r="X49" i="1" s="1"/>
  <c r="W21" i="1"/>
  <c r="X21" i="1" s="1"/>
  <c r="W36" i="1"/>
  <c r="X36" i="1" s="1"/>
  <c r="W63" i="1"/>
  <c r="X63" i="1" s="1"/>
  <c r="W47" i="1"/>
  <c r="X47" i="1" s="1"/>
  <c r="V15" i="1"/>
  <c r="W20" i="1"/>
  <c r="X20" i="1" s="1"/>
  <c r="W27" i="1"/>
  <c r="X27" i="1" s="1"/>
  <c r="V23" i="1"/>
  <c r="W59" i="1"/>
  <c r="X59" i="1" s="1"/>
  <c r="W51" i="1"/>
  <c r="X51" i="1" s="1"/>
  <c r="W40" i="1"/>
  <c r="X40" i="1" s="1"/>
  <c r="W38" i="1"/>
  <c r="X38" i="1" s="1"/>
  <c r="V31" i="1"/>
  <c r="W71" i="1"/>
  <c r="X71" i="1" s="1"/>
  <c r="V33" i="1"/>
  <c r="V29" i="1"/>
  <c r="W43" i="1"/>
  <c r="X43" i="1" s="1"/>
  <c r="W17" i="1"/>
  <c r="X17" i="1" s="1"/>
  <c r="V52" i="1"/>
  <c r="W52" i="1"/>
  <c r="X52" i="1" s="1"/>
  <c r="W30" i="1"/>
  <c r="X30" i="1" s="1"/>
  <c r="W42" i="1"/>
  <c r="X42" i="1" s="1"/>
  <c r="W16" i="1"/>
  <c r="X16" i="1" s="1"/>
  <c r="V19" i="1"/>
  <c r="W62" i="1"/>
  <c r="X62" i="1" s="1"/>
  <c r="V39" i="1"/>
  <c r="W57" i="1"/>
  <c r="X57" i="1" s="1"/>
  <c r="W41" i="1"/>
  <c r="X41" i="1" s="1"/>
  <c r="W69" i="1"/>
  <c r="X69" i="1" s="1"/>
  <c r="W74" i="1"/>
  <c r="X74" i="1" s="1"/>
  <c r="W70" i="1"/>
  <c r="X70" i="1" s="1"/>
  <c r="W8" i="1"/>
  <c r="X8" i="1" s="1"/>
  <c r="W58" i="1"/>
  <c r="X58" i="1" s="1"/>
  <c r="W26" i="1"/>
  <c r="X26" i="1" s="1"/>
  <c r="W72" i="1"/>
  <c r="X72" i="1" s="1"/>
  <c r="W32" i="1"/>
  <c r="X32" i="1" s="1"/>
  <c r="W67" i="1"/>
  <c r="X67" i="1" s="1"/>
  <c r="W64" i="1"/>
  <c r="X64" i="1" s="1"/>
  <c r="X5" i="1"/>
  <c r="W46" i="1"/>
  <c r="X46" i="1" s="1"/>
  <c r="V46" i="1"/>
  <c r="W50" i="1"/>
  <c r="X50" i="1" s="1"/>
  <c r="V50" i="1"/>
  <c r="W60" i="1"/>
  <c r="X60" i="1" s="1"/>
  <c r="V60" i="1"/>
  <c r="W44" i="1"/>
  <c r="X44" i="1" s="1"/>
  <c r="V44" i="1"/>
  <c r="V5" i="1"/>
  <c r="W48" i="1"/>
  <c r="X48" i="1" s="1"/>
  <c r="V48" i="1"/>
  <c r="W35" i="1"/>
  <c r="X35" i="1" s="1"/>
  <c r="X75" i="1" l="1"/>
  <c r="W75" i="1"/>
</calcChain>
</file>

<file path=xl/comments1.xml><?xml version="1.0" encoding="utf-8"?>
<comments xmlns="http://schemas.openxmlformats.org/spreadsheetml/2006/main">
  <authors>
    <author>Windows 사용자</author>
  </authors>
  <commentList>
    <comment ref="K69" authorId="0" shape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K69" authorId="0" shapeId="0">
      <text>
        <r>
          <rPr>
            <b/>
            <sz val="11"/>
            <color indexed="81"/>
            <rFont val="Tahoma"/>
            <family val="2"/>
          </rPr>
          <t>11/14(</t>
        </r>
        <r>
          <rPr>
            <b/>
            <sz val="11"/>
            <color indexed="81"/>
            <rFont val="돋움"/>
            <family val="3"/>
            <charset val="129"/>
          </rPr>
          <t>목</t>
        </r>
        <r>
          <rPr>
            <b/>
            <sz val="11"/>
            <color indexed="81"/>
            <rFont val="Tahoma"/>
            <family val="2"/>
          </rPr>
          <t>)25</t>
        </r>
        <r>
          <rPr>
            <b/>
            <sz val="11"/>
            <color indexed="81"/>
            <rFont val="돋움"/>
            <family val="3"/>
            <charset val="129"/>
          </rPr>
          <t>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출고
</t>
        </r>
      </text>
    </comment>
  </commentList>
</comments>
</file>

<file path=xl/sharedStrings.xml><?xml version="1.0" encoding="utf-8"?>
<sst xmlns="http://schemas.openxmlformats.org/spreadsheetml/2006/main" count="2800" uniqueCount="182">
  <si>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</si>
  <si>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</si>
  <si>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</si>
  <si>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</si>
  <si>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</si>
  <si>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</si>
  <si>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</si>
  <si>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</si>
  <si>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</si>
  <si>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</si>
  <si>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</si>
  <si>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</si>
  <si>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</si>
  <si>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</si>
  <si>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</si>
  <si>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</si>
  <si>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</si>
  <si>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</si>
  <si>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</si>
  <si>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</si>
  <si>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</si>
  <si>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</si>
  <si>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</si>
  <si>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</si>
  <si>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</si>
  <si>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</si>
  <si>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</si>
  <si>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</si>
  <si>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</si>
  <si>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</si>
  <si>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</si>
  <si>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</si>
  <si>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</si>
  <si>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</si>
  <si>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</si>
  <si>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</si>
  <si>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</si>
  <si>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</si>
  <si>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</si>
  <si>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</si>
  <si>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</si>
  <si>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</si>
  <si>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</si>
  <si>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</si>
  <si>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</si>
  <si>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</si>
  <si>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</si>
  <si>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</si>
  <si>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</si>
  <si>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</si>
  <si>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</si>
  <si>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</si>
  <si>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</si>
  <si>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</si>
  <si>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</si>
  <si>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</si>
  <si>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</si>
  <si>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</si>
  <si>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</si>
  <si>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</si>
  <si>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</si>
  <si>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</si>
  <si>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</si>
  <si>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</si>
  <si>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</si>
  <si>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</si>
  <si>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</si>
  <si>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</si>
  <si>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</si>
  <si>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</si>
  <si>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</si>
  <si>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</si>
  <si>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</si>
  <si>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</si>
  <si>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</si>
  <si>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</si>
  <si>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</si>
  <si>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</si>
  <si>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</si>
  <si>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</si>
  <si>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</si>
  <si>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</si>
  <si>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</si>
  <si>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</si>
  <si>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</si>
  <si>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</si>
  <si>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</si>
  <si>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</si>
  <si>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</si>
  <si>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</si>
  <si>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</si>
  <si>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</si>
  <si>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</si>
  <si>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</si>
  <si>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</si>
  <si>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</si>
  <si>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</si>
  <si>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</si>
  <si>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</si>
  <si>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</si>
  <si>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</si>
  <si>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</si>
  <si>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</si>
  <si>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</si>
  <si>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</si>
  <si>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</si>
  <si>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</si>
  <si>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</si>
  <si>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</si>
  <si>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</si>
  <si>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</si>
  <si>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</si>
  <si>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</si>
  <si>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</si>
  <si>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</si>
  <si>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</si>
  <si>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</si>
  <si>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</si>
  <si>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</si>
  <si>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</si>
  <si>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</si>
  <si>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</si>
  <si>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</si>
  <si>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</si>
  <si>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</si>
  <si>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</si>
  <si>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</si>
  <si>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</si>
  <si>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</si>
  <si>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</si>
  <si>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</si>
  <si>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</si>
  <si>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</si>
  <si>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</si>
  <si>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</si>
  <si>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</si>
  <si>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</si>
  <si>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</si>
  <si>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</si>
  <si>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</si>
  <si>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</si>
  <si>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</si>
  <si>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</si>
  <si>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</si>
  <si>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</si>
  <si>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</si>
  <si>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</si>
  <si>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</si>
  <si>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</si>
  <si>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</si>
  <si>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</si>
  <si>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</si>
  <si>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</si>
  <si>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t>1kg x 6ea</t>
    <phoneticPr fontId="17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</si>
  <si>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</si>
  <si>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</si>
  <si>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500g * 12ea</t>
    <phoneticPr fontId="17" type="noConversion"/>
  </si>
  <si>
    <t>ea</t>
    <phoneticPr fontId="17" type="noConversion"/>
  </si>
  <si>
    <t>휴럼</t>
    <phoneticPr fontId="17" type="noConversion"/>
  </si>
  <si>
    <t>전월 재고</t>
  </si>
  <si>
    <t>1주차 발주</t>
  </si>
  <si>
    <t>2주차 발주</t>
  </si>
  <si>
    <t>3주차 발주</t>
  </si>
  <si>
    <t>4주차 발주</t>
  </si>
  <si>
    <t>5주차 발주</t>
  </si>
  <si>
    <t>ea</t>
    <phoneticPr fontId="17" type="noConversion"/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</si>
  <si>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  <phoneticPr fontId="17" type="noConversion"/>
  </si>
  <si>
    <t>카페 쿠피 11월 발주 관리 대장 (교육용,R&amp;D,삼의원(잇다카페))</t>
    <phoneticPr fontId="17" type="noConversion"/>
  </si>
  <si>
    <t>카페 쿠피 11월 입출고 관리 대장 (본사창고)</t>
    <phoneticPr fontId="17" type="noConversion"/>
  </si>
  <si>
    <t>카페 쿠피 11월 발주 관리 대장 (교육용,R&amp;D,삼의원(잇다카페))</t>
    <phoneticPr fontId="17" type="noConversion"/>
  </si>
  <si>
    <t>카페 쿠피 11월 발주 관리 대장 (푸른솔)</t>
    <phoneticPr fontId="17" type="noConversion"/>
  </si>
  <si>
    <t>카페 쿠피 11월 발주 관리 대장 (의과대학)</t>
    <phoneticPr fontId="17" type="noConversion"/>
  </si>
  <si>
    <t>카페 쿠피 11월 발주 관리 대장 (중앙도서관)</t>
    <phoneticPr fontId="17" type="noConversion"/>
  </si>
  <si>
    <t>카페 쿠피 11월 발주 관리 대장 (예술디자인대)</t>
    <phoneticPr fontId="17" type="noConversion"/>
  </si>
  <si>
    <t>카페 쿠피 11월 발주 관리 대장 (선승관)</t>
    <phoneticPr fontId="17" type="noConversion"/>
  </si>
  <si>
    <t>카페 쿠피 11월 발주 관리 대장 (공학관)</t>
    <phoneticPr fontId="17" type="noConversion"/>
  </si>
  <si>
    <t>카페 쿠피 11월 발주 관리 대장 (멀티미디어관)</t>
    <phoneticPr fontId="17" type="noConversion"/>
  </si>
  <si>
    <t>카페 쿠피 11월 발주 관리 대장 (제2기숙사)</t>
    <phoneticPr fontId="17" type="noConversion"/>
  </si>
  <si>
    <t>카페 쿠피 11월 발주 관리 대장 (학생회관)</t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</si>
  <si>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11</t>
    </r>
    <r>
      <rPr>
        <b/>
        <sz val="10"/>
        <rFont val="돋움"/>
        <family val="3"/>
        <charset val="129"/>
      </rPr>
      <t>월
출고량</t>
    </r>
    <phoneticPr fontId="17" type="noConversion"/>
  </si>
  <si>
    <r>
      <rPr>
        <sz val="10"/>
        <rFont val="돋움"/>
        <family val="3"/>
        <charset val="129"/>
      </rPr>
      <t>공주밤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</si>
  <si>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피스타치오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</si>
</sst>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0_);[Red]\(0\)"/>
    <numFmt numFmtId="181" formatCode="0.00_);[Red]\(0.00\)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5960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418">
    <xf numFmtId="0" fontId="0" fillId="0" borderId="0" xfId="0">
      <alignment vertical="center"/>
    </xf>
    <xf numFmtId="0" fontId="5" fillId="0" borderId="0" xfId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4" xfId="9488" applyFont="1" applyBorder="1" applyAlignment="1" applyProtection="1">
      <alignment horizontal="center" vertical="center"/>
      <protection locked="0"/>
    </xf>
    <xf numFmtId="41" fontId="3" fillId="0" borderId="44" xfId="9488" applyFont="1" applyBorder="1" applyAlignment="1" applyProtection="1">
      <alignment horizontal="center" vertical="center" wrapText="1"/>
      <protection locked="0"/>
    </xf>
    <xf numFmtId="41" fontId="3" fillId="0" borderId="28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8" xfId="9488" applyFont="1" applyFill="1" applyBorder="1" applyAlignment="1" applyProtection="1">
      <alignment horizontal="center" vertical="center" wrapText="1"/>
      <protection locked="0"/>
    </xf>
    <xf numFmtId="41" fontId="3" fillId="5" borderId="43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4" xfId="9488" applyFont="1" applyBorder="1" applyAlignment="1" applyProtection="1">
      <alignment horizontal="left" vertical="center"/>
      <protection locked="0"/>
    </xf>
    <xf numFmtId="41" fontId="4" fillId="0" borderId="24" xfId="9488" applyFont="1" applyBorder="1" applyAlignment="1" applyProtection="1">
      <alignment horizontal="right" vertical="center"/>
      <protection locked="0"/>
    </xf>
    <xf numFmtId="41" fontId="4" fillId="0" borderId="24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2" borderId="19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39" xfId="9488" applyFont="1" applyFill="1" applyBorder="1" applyAlignment="1" applyProtection="1">
      <alignment horizontal="right" vertical="center"/>
      <protection locked="0"/>
    </xf>
    <xf numFmtId="41" fontId="4" fillId="3" borderId="19" xfId="9488" applyFont="1" applyFill="1" applyBorder="1" applyAlignment="1" applyProtection="1">
      <alignment horizontal="right" vertical="center"/>
      <protection locked="0"/>
    </xf>
    <xf numFmtId="41" fontId="5" fillId="0" borderId="29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0" xfId="9488" applyFont="1" applyFill="1" applyBorder="1" applyAlignment="1" applyProtection="1">
      <alignment horizontal="right" vertical="center"/>
      <protection locked="0"/>
    </xf>
    <xf numFmtId="41" fontId="4" fillId="2" borderId="36" xfId="9488" applyFont="1" applyFill="1" applyBorder="1" applyAlignment="1" applyProtection="1">
      <alignment horizontal="right" vertical="center"/>
      <protection locked="0"/>
    </xf>
    <xf numFmtId="41" fontId="4" fillId="5" borderId="17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0" xfId="9488" applyFont="1" applyFill="1" applyBorder="1" applyAlignment="1" applyProtection="1">
      <alignment horizontal="right" vertical="center"/>
      <protection locked="0"/>
    </xf>
    <xf numFmtId="41" fontId="4" fillId="3" borderId="36" xfId="9488" applyFont="1" applyFill="1" applyBorder="1" applyAlignment="1" applyProtection="1">
      <alignment horizontal="right" vertical="center"/>
      <protection locked="0"/>
    </xf>
    <xf numFmtId="41" fontId="14" fillId="0" borderId="23" xfId="9488" applyFont="1" applyBorder="1">
      <alignment vertical="center"/>
    </xf>
    <xf numFmtId="41" fontId="4" fillId="0" borderId="31" xfId="9488" applyFont="1" applyBorder="1" applyAlignment="1" applyProtection="1">
      <alignment horizontal="lef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8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0" borderId="35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20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4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4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0" xfId="9488" applyFont="1" applyFill="1" applyBorder="1" applyAlignment="1" applyProtection="1">
      <alignment horizontal="right" vertical="center"/>
      <protection locked="0"/>
    </xf>
    <xf numFmtId="41" fontId="11" fillId="2" borderId="36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41" fontId="4" fillId="5" borderId="34" xfId="9488" applyFont="1" applyFill="1" applyBorder="1" applyAlignment="1" applyProtection="1">
      <alignment horizontal="right" vertical="center"/>
      <protection locked="0"/>
    </xf>
    <xf numFmtId="41" fontId="11" fillId="0" borderId="25" xfId="9488" applyFont="1" applyBorder="1" applyAlignment="1" applyProtection="1">
      <alignment horizontal="left" vertical="center"/>
      <protection locked="0"/>
    </xf>
    <xf numFmtId="41" fontId="11" fillId="0" borderId="25" xfId="9488" applyFont="1" applyFill="1" applyBorder="1" applyAlignment="1" applyProtection="1">
      <alignment horizontal="right" vertical="center"/>
      <protection locked="0"/>
    </xf>
    <xf numFmtId="41" fontId="11" fillId="0" borderId="39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5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7" xfId="9488" applyFont="1" applyBorder="1">
      <alignment vertical="center"/>
    </xf>
    <xf numFmtId="41" fontId="5" fillId="0" borderId="38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6" xfId="9488" applyFont="1" applyBorder="1">
      <alignment vertical="center"/>
    </xf>
    <xf numFmtId="41" fontId="4" fillId="4" borderId="49" xfId="9488" applyFont="1" applyFill="1" applyBorder="1" applyAlignment="1" applyProtection="1">
      <alignment horizontal="right" vertical="center"/>
      <protection locked="0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1" xfId="9488" applyFont="1" applyBorder="1">
      <alignment vertical="center"/>
    </xf>
    <xf numFmtId="41" fontId="4" fillId="3" borderId="16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39" xfId="9488" applyFont="1" applyFill="1" applyBorder="1" applyAlignment="1" applyProtection="1">
      <alignment horizontal="right" vertical="center"/>
      <protection locked="0"/>
    </xf>
    <xf numFmtId="41" fontId="4" fillId="5" borderId="17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0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0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0" xfId="9488" applyFont="1" applyFill="1" applyBorder="1" applyAlignment="1" applyProtection="1">
      <alignment horizontal="right" vertical="center"/>
      <protection locked="0"/>
    </xf>
    <xf numFmtId="41" fontId="4" fillId="5" borderId="34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6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8" fontId="4" fillId="2" borderId="36" xfId="9488" applyNumberFormat="1" applyFont="1" applyFill="1" applyBorder="1" applyAlignment="1" applyProtection="1">
      <alignment horizontal="right" vertical="center"/>
      <protection locked="0"/>
    </xf>
    <xf numFmtId="41" fontId="11" fillId="5" borderId="30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39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0" xfId="9488" applyNumberFormat="1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178" fontId="4" fillId="2" borderId="19" xfId="9488" applyNumberFormat="1" applyFont="1" applyFill="1" applyBorder="1" applyAlignment="1" applyProtection="1">
      <alignment horizontal="right" vertical="center"/>
      <protection locked="0"/>
    </xf>
    <xf numFmtId="178" fontId="11" fillId="2" borderId="36" xfId="9488" applyNumberFormat="1" applyFont="1" applyFill="1" applyBorder="1" applyAlignment="1" applyProtection="1">
      <alignment horizontal="right" vertical="center"/>
      <protection locked="0"/>
    </xf>
    <xf numFmtId="176" fontId="4" fillId="2" borderId="19" xfId="9488" applyNumberFormat="1" applyFont="1" applyFill="1" applyBorder="1" applyAlignment="1" applyProtection="1">
      <alignment horizontal="right" vertical="center"/>
      <protection locked="0"/>
    </xf>
    <xf numFmtId="176" fontId="11" fillId="2" borderId="36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5" fillId="0" borderId="54" xfId="9488" applyFont="1" applyBorder="1">
      <alignment vertical="center"/>
    </xf>
    <xf numFmtId="41" fontId="9" fillId="0" borderId="3" xfId="9488" applyFont="1" applyBorder="1">
      <alignment vertical="center"/>
    </xf>
    <xf numFmtId="41" fontId="23" fillId="0" borderId="7" xfId="9488" applyFont="1" applyBorder="1" applyAlignment="1">
      <alignment horizontal="center" vertical="center"/>
    </xf>
    <xf numFmtId="41" fontId="21" fillId="0" borderId="41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1" xfId="9488" applyFont="1" applyBorder="1" applyAlignment="1">
      <alignment horizontal="center" vertical="center" wrapText="1"/>
    </xf>
    <xf numFmtId="41" fontId="25" fillId="0" borderId="29" xfId="9488" applyFont="1" applyBorder="1">
      <alignment vertical="center"/>
    </xf>
    <xf numFmtId="41" fontId="11" fillId="0" borderId="23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0" xfId="9488" applyFont="1" applyBorder="1">
      <alignment vertical="center"/>
    </xf>
    <xf numFmtId="41" fontId="11" fillId="0" borderId="34" xfId="9488" applyFont="1" applyBorder="1">
      <alignment vertical="center"/>
    </xf>
    <xf numFmtId="41" fontId="25" fillId="0" borderId="35" xfId="9488" applyFont="1" applyBorder="1">
      <alignment vertical="center"/>
    </xf>
    <xf numFmtId="41" fontId="25" fillId="0" borderId="54" xfId="9488" applyFont="1" applyBorder="1">
      <alignment vertical="center"/>
    </xf>
    <xf numFmtId="41" fontId="25" fillId="0" borderId="38" xfId="9488" applyFont="1" applyBorder="1">
      <alignment vertical="center"/>
    </xf>
    <xf numFmtId="41" fontId="25" fillId="0" borderId="33" xfId="9488" applyFont="1" applyBorder="1">
      <alignment vertical="center"/>
    </xf>
    <xf numFmtId="176" fontId="4" fillId="0" borderId="31" xfId="9488" applyNumberFormat="1" applyFont="1" applyBorder="1" applyAlignment="1" applyProtection="1">
      <alignment horizontal="right" vertical="center"/>
      <protection locked="0"/>
    </xf>
    <xf numFmtId="41" fontId="25" fillId="0" borderId="55" xfId="9488" applyFont="1" applyBorder="1">
      <alignment vertical="center"/>
    </xf>
    <xf numFmtId="41" fontId="13" fillId="0" borderId="25" xfId="9488" applyFont="1" applyBorder="1" applyAlignment="1" applyProtection="1">
      <alignment horizontal="left" vertical="center"/>
      <protection locked="0"/>
    </xf>
    <xf numFmtId="41" fontId="9" fillId="0" borderId="57" xfId="9488" applyFont="1" applyBorder="1">
      <alignment vertical="center"/>
    </xf>
    <xf numFmtId="41" fontId="9" fillId="0" borderId="58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11" fillId="0" borderId="27" xfId="9488" applyFont="1" applyBorder="1">
      <alignment vertical="center"/>
    </xf>
    <xf numFmtId="41" fontId="4" fillId="5" borderId="67" xfId="9488" applyFont="1" applyFill="1" applyBorder="1" applyAlignment="1" applyProtection="1">
      <alignment horizontal="right" vertical="center"/>
      <protection locked="0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11" fillId="5" borderId="68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11" fillId="5" borderId="25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11" fillId="5" borderId="1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4" fillId="5" borderId="47" xfId="9488" applyFont="1" applyFill="1" applyBorder="1" applyAlignment="1" applyProtection="1">
      <alignment horizontal="right" vertical="center"/>
      <protection locked="0"/>
    </xf>
    <xf numFmtId="41" fontId="11" fillId="5" borderId="47" xfId="9488" applyFont="1" applyFill="1" applyBorder="1" applyAlignment="1" applyProtection="1">
      <alignment horizontal="right" vertical="center"/>
      <protection locked="0"/>
    </xf>
    <xf numFmtId="41" fontId="27" fillId="10" borderId="61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9" borderId="73" xfId="9488" applyNumberFormat="1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10" borderId="73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27" fillId="10" borderId="61" xfId="9488" applyNumberFormat="1" applyFont="1" applyFill="1" applyBorder="1" applyAlignment="1" applyProtection="1">
      <alignment horizontal="right" vertical="center"/>
      <protection locked="0"/>
    </xf>
    <xf numFmtId="41" fontId="4" fillId="5" borderId="17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11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72" xfId="9488" applyNumberFormat="1" applyFont="1" applyFill="1" applyBorder="1" applyAlignment="1" applyProtection="1">
      <alignment horizontal="right" vertical="center"/>
      <protection locked="0"/>
    </xf>
    <xf numFmtId="178" fontId="27" fillId="11" borderId="77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176" fontId="27" fillId="11" borderId="77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41" fontId="4" fillId="5" borderId="23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23" xfId="9488" applyFont="1" applyFill="1" applyBorder="1" applyAlignment="1" applyProtection="1">
      <alignment horizontal="right" vertical="center"/>
      <protection locked="0"/>
    </xf>
    <xf numFmtId="178" fontId="11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180" fontId="4" fillId="5" borderId="10" xfId="9488" applyNumberFormat="1" applyFont="1" applyFill="1" applyBorder="1" applyAlignment="1" applyProtection="1">
      <alignment horizontal="right" vertical="center"/>
      <protection locked="0"/>
    </xf>
    <xf numFmtId="180" fontId="4" fillId="5" borderId="17" xfId="9488" applyNumberFormat="1" applyFont="1" applyFill="1" applyBorder="1" applyAlignment="1" applyProtection="1">
      <alignment horizontal="right" vertical="center"/>
      <protection locked="0"/>
    </xf>
    <xf numFmtId="180" fontId="4" fillId="5" borderId="18" xfId="9488" applyNumberFormat="1" applyFont="1" applyFill="1" applyBorder="1" applyAlignment="1" applyProtection="1">
      <alignment horizontal="right" vertical="center"/>
      <protection locked="0"/>
    </xf>
    <xf numFmtId="180" fontId="4" fillId="5" borderId="9" xfId="9488" applyNumberFormat="1" applyFont="1" applyFill="1" applyBorder="1" applyAlignment="1" applyProtection="1">
      <alignment horizontal="right" vertical="center"/>
      <protection locked="0"/>
    </xf>
    <xf numFmtId="180" fontId="4" fillId="5" borderId="34" xfId="9488" applyNumberFormat="1" applyFont="1" applyFill="1" applyBorder="1" applyAlignment="1" applyProtection="1">
      <alignment horizontal="right" vertical="center"/>
      <protection locked="0"/>
    </xf>
    <xf numFmtId="180" fontId="4" fillId="5" borderId="20" xfId="9488" applyNumberFormat="1" applyFont="1" applyFill="1" applyBorder="1" applyAlignment="1" applyProtection="1">
      <alignment horizontal="right" vertical="center"/>
      <protection locked="0"/>
    </xf>
    <xf numFmtId="41" fontId="27" fillId="10" borderId="61" xfId="45957" applyNumberFormat="1" applyFont="1" applyFill="1" applyBorder="1" applyAlignment="1" applyProtection="1">
      <alignment horizontal="right" vertical="center"/>
      <protection locked="0"/>
    </xf>
    <xf numFmtId="41" fontId="27" fillId="10" borderId="62" xfId="45957" applyNumberFormat="1" applyFont="1" applyFill="1" applyBorder="1" applyAlignment="1" applyProtection="1">
      <alignment horizontal="right" vertical="center"/>
      <protection locked="0"/>
    </xf>
    <xf numFmtId="41" fontId="11" fillId="10" borderId="62" xfId="45957" applyNumberFormat="1" applyFont="1" applyFill="1" applyBorder="1" applyAlignment="1" applyProtection="1">
      <alignment horizontal="right" vertical="center"/>
      <protection locked="0"/>
    </xf>
    <xf numFmtId="41" fontId="27" fillId="10" borderId="63" xfId="45957" applyNumberFormat="1" applyFont="1" applyFill="1" applyBorder="1" applyAlignment="1" applyProtection="1">
      <alignment horizontal="right" vertical="center"/>
      <protection locked="0"/>
    </xf>
    <xf numFmtId="41" fontId="27" fillId="10" borderId="64" xfId="45957" applyNumberFormat="1" applyFont="1" applyFill="1" applyBorder="1" applyAlignment="1" applyProtection="1">
      <alignment horizontal="right" vertical="center"/>
      <protection locked="0"/>
    </xf>
    <xf numFmtId="41" fontId="5" fillId="0" borderId="0" xfId="45957" applyFont="1" applyAlignment="1">
      <alignment vertical="center"/>
    </xf>
    <xf numFmtId="41" fontId="5" fillId="0" borderId="0" xfId="45957" applyFont="1">
      <alignment vertical="center"/>
    </xf>
    <xf numFmtId="41" fontId="5" fillId="0" borderId="0" xfId="45957" applyFont="1" applyFill="1">
      <alignment vertical="center"/>
    </xf>
    <xf numFmtId="41" fontId="5" fillId="0" borderId="1" xfId="45957" applyFont="1" applyFill="1" applyBorder="1">
      <alignment vertical="center"/>
    </xf>
    <xf numFmtId="41" fontId="21" fillId="0" borderId="2" xfId="45957" applyFont="1" applyBorder="1" applyAlignment="1">
      <alignment horizontal="center" vertical="center"/>
    </xf>
    <xf numFmtId="41" fontId="19" fillId="0" borderId="44" xfId="45957" applyFont="1" applyBorder="1" applyAlignment="1" applyProtection="1">
      <alignment horizontal="center" vertical="center"/>
      <protection locked="0"/>
    </xf>
    <xf numFmtId="41" fontId="20" fillId="0" borderId="44" xfId="45957" applyFont="1" applyBorder="1" applyAlignment="1" applyProtection="1">
      <alignment horizontal="center" vertical="center" wrapText="1"/>
      <protection locked="0"/>
    </xf>
    <xf numFmtId="41" fontId="20" fillId="0" borderId="28" xfId="45957" applyFont="1" applyFill="1" applyBorder="1" applyAlignment="1" applyProtection="1">
      <alignment horizontal="center" vertical="center" wrapText="1"/>
      <protection locked="0"/>
    </xf>
    <xf numFmtId="41" fontId="19" fillId="2" borderId="4" xfId="45957" applyFont="1" applyFill="1" applyBorder="1" applyAlignment="1" applyProtection="1">
      <alignment horizontal="center" vertical="center" wrapText="1"/>
      <protection locked="0"/>
    </xf>
    <xf numFmtId="41" fontId="19" fillId="5" borderId="3" xfId="45957" applyFont="1" applyFill="1" applyBorder="1" applyAlignment="1" applyProtection="1">
      <alignment horizontal="center" vertical="center" wrapText="1"/>
      <protection locked="0"/>
    </xf>
    <xf numFmtId="41" fontId="19" fillId="5" borderId="28" xfId="45957" applyFont="1" applyFill="1" applyBorder="1" applyAlignment="1" applyProtection="1">
      <alignment horizontal="center" vertical="center" wrapText="1"/>
      <protection locked="0"/>
    </xf>
    <xf numFmtId="41" fontId="19" fillId="5" borderId="43" xfId="45957" applyFont="1" applyFill="1" applyBorder="1" applyAlignment="1" applyProtection="1">
      <alignment horizontal="center" vertical="center" wrapText="1"/>
      <protection locked="0"/>
    </xf>
    <xf numFmtId="41" fontId="19" fillId="4" borderId="4" xfId="45957" applyFont="1" applyFill="1" applyBorder="1" applyAlignment="1" applyProtection="1">
      <alignment horizontal="center" vertical="center" wrapText="1"/>
      <protection locked="0"/>
    </xf>
    <xf numFmtId="41" fontId="19" fillId="3" borderId="4" xfId="45957" applyFont="1" applyFill="1" applyBorder="1" applyAlignment="1" applyProtection="1">
      <alignment horizontal="center" vertical="center" wrapText="1"/>
      <protection locked="0"/>
    </xf>
    <xf numFmtId="41" fontId="19" fillId="0" borderId="5" xfId="45957" applyFont="1" applyFill="1" applyBorder="1" applyAlignment="1" applyProtection="1">
      <alignment horizontal="center" vertical="center" wrapText="1"/>
      <protection locked="0"/>
    </xf>
    <xf numFmtId="41" fontId="19" fillId="0" borderId="4" xfId="45957" applyFont="1" applyFill="1" applyBorder="1" applyAlignment="1" applyProtection="1">
      <alignment horizontal="center" vertical="center" wrapText="1"/>
      <protection locked="0"/>
    </xf>
    <xf numFmtId="41" fontId="19" fillId="0" borderId="3" xfId="45957" applyFont="1" applyFill="1" applyBorder="1" applyAlignment="1" applyProtection="1">
      <alignment horizontal="center" vertical="center" wrapText="1"/>
      <protection locked="0"/>
    </xf>
    <xf numFmtId="41" fontId="19" fillId="0" borderId="6" xfId="45957" applyFont="1" applyFill="1" applyBorder="1" applyAlignment="1" applyProtection="1">
      <alignment horizontal="center" vertical="center" wrapText="1"/>
      <protection locked="0"/>
    </xf>
    <xf numFmtId="41" fontId="19" fillId="6" borderId="4" xfId="45957" applyFont="1" applyFill="1" applyBorder="1" applyAlignment="1" applyProtection="1">
      <alignment horizontal="center" vertical="center" wrapText="1"/>
      <protection locked="0"/>
    </xf>
    <xf numFmtId="41" fontId="20" fillId="8" borderId="4" xfId="45957" applyFont="1" applyFill="1" applyBorder="1" applyAlignment="1" applyProtection="1">
      <alignment horizontal="center" vertical="center" wrapText="1"/>
      <protection locked="0"/>
    </xf>
    <xf numFmtId="41" fontId="19" fillId="7" borderId="4" xfId="45957" applyFont="1" applyFill="1" applyBorder="1" applyAlignment="1" applyProtection="1">
      <alignment horizontal="center" vertical="center" wrapText="1"/>
      <protection locked="0"/>
    </xf>
    <xf numFmtId="41" fontId="4" fillId="0" borderId="24" xfId="45957" applyFont="1" applyFill="1" applyBorder="1" applyAlignment="1" applyProtection="1">
      <alignment horizontal="left" vertical="center"/>
      <protection locked="0"/>
    </xf>
    <xf numFmtId="41" fontId="4" fillId="0" borderId="24" xfId="45957" applyFont="1" applyBorder="1" applyAlignment="1" applyProtection="1">
      <alignment horizontal="left" vertical="center"/>
      <protection locked="0"/>
    </xf>
    <xf numFmtId="41" fontId="4" fillId="0" borderId="24" xfId="45957" applyFont="1" applyBorder="1" applyAlignment="1" applyProtection="1">
      <alignment horizontal="right" vertical="center"/>
      <protection locked="0"/>
    </xf>
    <xf numFmtId="41" fontId="4" fillId="0" borderId="24" xfId="45957" applyFont="1" applyFill="1" applyBorder="1" applyAlignment="1" applyProtection="1">
      <alignment horizontal="right" vertical="center"/>
      <protection locked="0"/>
    </xf>
    <xf numFmtId="41" fontId="4" fillId="0" borderId="40" xfId="45957" applyFont="1" applyFill="1" applyBorder="1" applyAlignment="1" applyProtection="1">
      <alignment horizontal="right" vertical="center"/>
      <protection locked="0"/>
    </xf>
    <xf numFmtId="41" fontId="4" fillId="2" borderId="12" xfId="45957" applyFont="1" applyFill="1" applyBorder="1" applyAlignment="1" applyProtection="1">
      <alignment horizontal="right" vertical="center"/>
      <protection locked="0"/>
    </xf>
    <xf numFmtId="41" fontId="4" fillId="5" borderId="10" xfId="45957" applyFont="1" applyFill="1" applyBorder="1" applyAlignment="1" applyProtection="1">
      <alignment horizontal="right" vertical="center"/>
      <protection locked="0"/>
    </xf>
    <xf numFmtId="41" fontId="4" fillId="5" borderId="24" xfId="45957" applyFont="1" applyFill="1" applyBorder="1" applyAlignment="1" applyProtection="1">
      <alignment horizontal="right" vertical="center"/>
      <protection locked="0"/>
    </xf>
    <xf numFmtId="41" fontId="4" fillId="5" borderId="40" xfId="45957" applyFont="1" applyFill="1" applyBorder="1" applyAlignment="1" applyProtection="1">
      <alignment horizontal="right" vertical="center"/>
      <protection locked="0"/>
    </xf>
    <xf numFmtId="41" fontId="4" fillId="4" borderId="49" xfId="45957" applyFont="1" applyFill="1" applyBorder="1" applyAlignment="1" applyProtection="1">
      <alignment horizontal="right" vertical="center"/>
      <protection locked="0"/>
    </xf>
    <xf numFmtId="41" fontId="4" fillId="3" borderId="49" xfId="45957" applyFont="1" applyFill="1" applyBorder="1" applyAlignment="1" applyProtection="1">
      <alignment horizontal="right" vertical="center"/>
      <protection locked="0"/>
    </xf>
    <xf numFmtId="41" fontId="4" fillId="0" borderId="2" xfId="45957" applyFont="1" applyFill="1" applyBorder="1" applyAlignment="1" applyProtection="1">
      <alignment horizontal="right" vertical="center"/>
      <protection locked="0"/>
    </xf>
    <xf numFmtId="41" fontId="4" fillId="0" borderId="38" xfId="45957" applyFont="1" applyFill="1" applyBorder="1" applyAlignment="1" applyProtection="1">
      <alignment horizontal="right" vertical="center"/>
      <protection locked="0"/>
    </xf>
    <xf numFmtId="41" fontId="4" fillId="6" borderId="11" xfId="45957" applyFont="1" applyFill="1" applyBorder="1" applyAlignment="1" applyProtection="1">
      <alignment horizontal="right" vertical="center"/>
    </xf>
    <xf numFmtId="41" fontId="4" fillId="6" borderId="49" xfId="45957" applyFont="1" applyFill="1" applyBorder="1" applyAlignment="1" applyProtection="1">
      <alignment horizontal="right" vertical="center"/>
    </xf>
    <xf numFmtId="41" fontId="4" fillId="8" borderId="49" xfId="45957" applyFont="1" applyFill="1" applyBorder="1" applyAlignment="1" applyProtection="1">
      <alignment horizontal="right" vertical="center"/>
      <protection locked="0"/>
    </xf>
    <xf numFmtId="41" fontId="4" fillId="7" borderId="12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Border="1" applyAlignment="1" applyProtection="1">
      <alignment horizontal="left" vertical="center"/>
      <protection locked="0"/>
    </xf>
    <xf numFmtId="41" fontId="4" fillId="0" borderId="8" xfId="45957" applyFont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right" vertical="center"/>
      <protection locked="0"/>
    </xf>
    <xf numFmtId="41" fontId="4" fillId="0" borderId="30" xfId="45957" applyFont="1" applyFill="1" applyBorder="1" applyAlignment="1" applyProtection="1">
      <alignment horizontal="right" vertical="center"/>
      <protection locked="0"/>
    </xf>
    <xf numFmtId="41" fontId="4" fillId="2" borderId="36" xfId="45957" applyFont="1" applyFill="1" applyBorder="1" applyAlignment="1" applyProtection="1">
      <alignment horizontal="right" vertical="center"/>
      <protection locked="0"/>
    </xf>
    <xf numFmtId="41" fontId="4" fillId="5" borderId="17" xfId="45957" applyFont="1" applyFill="1" applyBorder="1" applyAlignment="1" applyProtection="1">
      <alignment horizontal="right" vertical="center"/>
      <protection locked="0"/>
    </xf>
    <xf numFmtId="41" fontId="4" fillId="5" borderId="8" xfId="45957" applyFont="1" applyFill="1" applyBorder="1" applyAlignment="1" applyProtection="1">
      <alignment horizontal="right" vertical="center"/>
      <protection locked="0"/>
    </xf>
    <xf numFmtId="41" fontId="4" fillId="5" borderId="30" xfId="45957" applyFont="1" applyFill="1" applyBorder="1" applyAlignment="1" applyProtection="1">
      <alignment horizontal="right" vertical="center"/>
      <protection locked="0"/>
    </xf>
    <xf numFmtId="41" fontId="4" fillId="4" borderId="50" xfId="45957" applyFont="1" applyFill="1" applyBorder="1" applyAlignment="1" applyProtection="1">
      <alignment horizontal="right" vertical="center"/>
      <protection locked="0"/>
    </xf>
    <xf numFmtId="41" fontId="4" fillId="3" borderId="50" xfId="45957" applyFont="1" applyFill="1" applyBorder="1" applyAlignment="1" applyProtection="1">
      <alignment horizontal="right" vertical="center"/>
      <protection locked="0"/>
    </xf>
    <xf numFmtId="41" fontId="4" fillId="0" borderId="27" xfId="45957" applyFont="1" applyFill="1" applyBorder="1" applyAlignment="1" applyProtection="1">
      <alignment horizontal="right" vertical="center"/>
      <protection locked="0"/>
    </xf>
    <xf numFmtId="41" fontId="4" fillId="0" borderId="32" xfId="45957" applyFont="1" applyFill="1" applyBorder="1" applyAlignment="1" applyProtection="1">
      <alignment horizontal="right" vertical="center"/>
      <protection locked="0"/>
    </xf>
    <xf numFmtId="41" fontId="4" fillId="6" borderId="47" xfId="45957" applyFont="1" applyFill="1" applyBorder="1" applyAlignment="1" applyProtection="1">
      <alignment horizontal="right" vertical="center"/>
    </xf>
    <xf numFmtId="41" fontId="4" fillId="6" borderId="50" xfId="45957" applyFont="1" applyFill="1" applyBorder="1" applyAlignment="1" applyProtection="1">
      <alignment horizontal="right" vertical="center"/>
    </xf>
    <xf numFmtId="41" fontId="4" fillId="8" borderId="50" xfId="45957" applyFont="1" applyFill="1" applyBorder="1" applyAlignment="1" applyProtection="1">
      <alignment horizontal="right" vertical="center"/>
      <protection locked="0"/>
    </xf>
    <xf numFmtId="41" fontId="4" fillId="7" borderId="36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right" vertical="center"/>
      <protection locked="0"/>
    </xf>
    <xf numFmtId="41" fontId="11" fillId="0" borderId="30" xfId="45957" applyFont="1" applyFill="1" applyBorder="1" applyAlignment="1" applyProtection="1">
      <alignment horizontal="right" vertical="center"/>
      <protection locked="0"/>
    </xf>
    <xf numFmtId="41" fontId="11" fillId="2" borderId="36" xfId="45957" applyFont="1" applyFill="1" applyBorder="1" applyAlignment="1" applyProtection="1">
      <alignment horizontal="right" vertical="center"/>
      <protection locked="0"/>
    </xf>
    <xf numFmtId="41" fontId="11" fillId="5" borderId="8" xfId="45957" applyFont="1" applyFill="1" applyBorder="1" applyAlignment="1" applyProtection="1">
      <alignment horizontal="right" vertical="center"/>
      <protection locked="0"/>
    </xf>
    <xf numFmtId="41" fontId="11" fillId="5" borderId="30" xfId="45957" applyFont="1" applyFill="1" applyBorder="1" applyAlignment="1" applyProtection="1">
      <alignment horizontal="right" vertical="center"/>
      <protection locked="0"/>
    </xf>
    <xf numFmtId="41" fontId="4" fillId="0" borderId="22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Border="1" applyAlignment="1" applyProtection="1">
      <alignment horizontal="left" vertical="center"/>
      <protection locked="0"/>
    </xf>
    <xf numFmtId="41" fontId="11" fillId="0" borderId="25" xfId="45957" applyFont="1" applyBorder="1" applyAlignment="1" applyProtection="1">
      <alignment horizontal="left" vertical="center"/>
      <protection locked="0"/>
    </xf>
    <xf numFmtId="41" fontId="11" fillId="0" borderId="25" xfId="45957" applyFont="1" applyFill="1" applyBorder="1" applyAlignment="1" applyProtection="1">
      <alignment horizontal="right" vertical="center"/>
      <protection locked="0"/>
    </xf>
    <xf numFmtId="41" fontId="11" fillId="0" borderId="39" xfId="45957" applyFont="1" applyFill="1" applyBorder="1" applyAlignment="1" applyProtection="1">
      <alignment horizontal="right" vertical="center"/>
      <protection locked="0"/>
    </xf>
    <xf numFmtId="41" fontId="4" fillId="6" borderId="36" xfId="45957" applyFont="1" applyFill="1" applyBorder="1" applyAlignment="1" applyProtection="1">
      <alignment horizontal="right" vertical="center"/>
    </xf>
    <xf numFmtId="41" fontId="28" fillId="0" borderId="8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left" vertical="center"/>
      <protection locked="0"/>
    </xf>
    <xf numFmtId="41" fontId="4" fillId="0" borderId="14" xfId="45957" applyFont="1" applyFill="1" applyBorder="1" applyAlignment="1" applyProtection="1">
      <alignment horizontal="right" vertical="center"/>
      <protection locked="0"/>
    </xf>
    <xf numFmtId="41" fontId="4" fillId="2" borderId="16" xfId="45957" applyFont="1" applyFill="1" applyBorder="1" applyAlignment="1" applyProtection="1">
      <alignment horizontal="right" vertical="center"/>
      <protection locked="0"/>
    </xf>
    <xf numFmtId="41" fontId="4" fillId="5" borderId="65" xfId="45957" applyFont="1" applyFill="1" applyBorder="1" applyAlignment="1" applyProtection="1">
      <alignment horizontal="right" vertical="center"/>
      <protection locked="0"/>
    </xf>
    <xf numFmtId="41" fontId="4" fillId="5" borderId="14" xfId="45957" applyFont="1" applyFill="1" applyBorder="1" applyAlignment="1" applyProtection="1">
      <alignment horizontal="right" vertical="center"/>
      <protection locked="0"/>
    </xf>
    <xf numFmtId="41" fontId="4" fillId="5" borderId="29" xfId="45957" applyFont="1" applyFill="1" applyBorder="1" applyAlignment="1" applyProtection="1">
      <alignment horizontal="right" vertical="center"/>
      <protection locked="0"/>
    </xf>
    <xf numFmtId="41" fontId="4" fillId="4" borderId="13" xfId="45957" applyFont="1" applyFill="1" applyBorder="1" applyAlignment="1" applyProtection="1">
      <alignment horizontal="right" vertical="center"/>
      <protection locked="0"/>
    </xf>
    <xf numFmtId="41" fontId="4" fillId="3" borderId="13" xfId="45957" applyFont="1" applyFill="1" applyBorder="1" applyAlignment="1" applyProtection="1">
      <alignment horizontal="right" vertical="center"/>
      <protection locked="0"/>
    </xf>
    <xf numFmtId="41" fontId="4" fillId="6" borderId="13" xfId="45957" applyFont="1" applyFill="1" applyBorder="1" applyAlignment="1" applyProtection="1">
      <alignment horizontal="right" vertical="center"/>
    </xf>
    <xf numFmtId="41" fontId="4" fillId="8" borderId="13" xfId="45957" applyFont="1" applyFill="1" applyBorder="1" applyAlignment="1" applyProtection="1">
      <alignment horizontal="right" vertical="center"/>
      <protection locked="0"/>
    </xf>
    <xf numFmtId="41" fontId="4" fillId="7" borderId="16" xfId="45957" applyFont="1" applyFill="1" applyBorder="1" applyAlignment="1" applyProtection="1">
      <alignment horizontal="right" vertical="center"/>
      <protection locked="0"/>
    </xf>
    <xf numFmtId="41" fontId="4" fillId="0" borderId="31" xfId="45957" applyFont="1" applyBorder="1" applyAlignment="1" applyProtection="1">
      <alignment horizontal="left" vertical="center"/>
      <protection locked="0"/>
    </xf>
    <xf numFmtId="41" fontId="4" fillId="0" borderId="31" xfId="45957" applyFont="1" applyFill="1" applyBorder="1" applyAlignment="1" applyProtection="1">
      <alignment horizontal="right" vertical="center"/>
      <protection locked="0"/>
    </xf>
    <xf numFmtId="41" fontId="4" fillId="2" borderId="37" xfId="45957" applyFont="1" applyFill="1" applyBorder="1" applyAlignment="1" applyProtection="1">
      <alignment horizontal="right" vertical="center"/>
      <protection locked="0"/>
    </xf>
    <xf numFmtId="41" fontId="4" fillId="5" borderId="20" xfId="45957" applyFont="1" applyFill="1" applyBorder="1" applyAlignment="1" applyProtection="1">
      <alignment horizontal="right" vertical="center"/>
      <protection locked="0"/>
    </xf>
    <xf numFmtId="41" fontId="4" fillId="5" borderId="31" xfId="45957" applyFont="1" applyFill="1" applyBorder="1" applyAlignment="1" applyProtection="1">
      <alignment horizontal="right" vertical="center"/>
      <protection locked="0"/>
    </xf>
    <xf numFmtId="41" fontId="4" fillId="5" borderId="35" xfId="45957" applyFont="1" applyFill="1" applyBorder="1" applyAlignment="1" applyProtection="1">
      <alignment horizontal="right" vertical="center"/>
      <protection locked="0"/>
    </xf>
    <xf numFmtId="41" fontId="4" fillId="4" borderId="52" xfId="45957" applyFont="1" applyFill="1" applyBorder="1" applyAlignment="1" applyProtection="1">
      <alignment horizontal="right" vertical="center"/>
      <protection locked="0"/>
    </xf>
    <xf numFmtId="41" fontId="4" fillId="3" borderId="52" xfId="45957" applyFont="1" applyFill="1" applyBorder="1" applyAlignment="1" applyProtection="1">
      <alignment horizontal="right" vertical="center"/>
      <protection locked="0"/>
    </xf>
    <xf numFmtId="41" fontId="4" fillId="0" borderId="34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right" vertical="center"/>
      <protection locked="0"/>
    </xf>
    <xf numFmtId="41" fontId="4" fillId="0" borderId="59" xfId="45957" applyFont="1" applyFill="1" applyBorder="1" applyAlignment="1" applyProtection="1">
      <alignment horizontal="right" vertical="center"/>
      <protection locked="0"/>
    </xf>
    <xf numFmtId="41" fontId="4" fillId="6" borderId="52" xfId="45957" applyFont="1" applyFill="1" applyBorder="1" applyAlignment="1" applyProtection="1">
      <alignment horizontal="right" vertical="center"/>
    </xf>
    <xf numFmtId="41" fontId="4" fillId="8" borderId="52" xfId="45957" applyFont="1" applyFill="1" applyBorder="1" applyAlignment="1" applyProtection="1">
      <alignment horizontal="right" vertical="center"/>
      <protection locked="0"/>
    </xf>
    <xf numFmtId="41" fontId="4" fillId="7" borderId="37" xfId="45957" applyFont="1" applyFill="1" applyBorder="1" applyAlignment="1" applyProtection="1">
      <alignment horizontal="right" vertical="center"/>
      <protection locked="0"/>
    </xf>
    <xf numFmtId="41" fontId="4" fillId="0" borderId="39" xfId="45957" applyFont="1" applyFill="1" applyBorder="1" applyAlignment="1" applyProtection="1">
      <alignment horizontal="right" vertical="center"/>
      <protection locked="0"/>
    </xf>
    <xf numFmtId="41" fontId="4" fillId="2" borderId="19" xfId="45957" applyFont="1" applyFill="1" applyBorder="1" applyAlignment="1" applyProtection="1">
      <alignment horizontal="right" vertical="center"/>
      <protection locked="0"/>
    </xf>
    <xf numFmtId="41" fontId="4" fillId="5" borderId="18" xfId="45957" applyFont="1" applyFill="1" applyBorder="1" applyAlignment="1" applyProtection="1">
      <alignment horizontal="right" vertical="center"/>
      <protection locked="0"/>
    </xf>
    <xf numFmtId="41" fontId="4" fillId="5" borderId="25" xfId="45957" applyFont="1" applyFill="1" applyBorder="1" applyAlignment="1" applyProtection="1">
      <alignment horizontal="right" vertical="center"/>
      <protection locked="0"/>
    </xf>
    <xf numFmtId="41" fontId="4" fillId="5" borderId="39" xfId="45957" applyFont="1" applyFill="1" applyBorder="1" applyAlignment="1" applyProtection="1">
      <alignment horizontal="right" vertical="center"/>
      <protection locked="0"/>
    </xf>
    <xf numFmtId="41" fontId="4" fillId="0" borderId="33" xfId="45957" applyFont="1" applyFill="1" applyBorder="1" applyAlignment="1" applyProtection="1">
      <alignment horizontal="right" vertical="center"/>
      <protection locked="0"/>
    </xf>
    <xf numFmtId="41" fontId="4" fillId="6" borderId="48" xfId="45957" applyFont="1" applyFill="1" applyBorder="1" applyAlignment="1" applyProtection="1">
      <alignment horizontal="right" vertical="center"/>
    </xf>
    <xf numFmtId="41" fontId="4" fillId="0" borderId="60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left" vertical="center"/>
      <protection locked="0"/>
    </xf>
    <xf numFmtId="41" fontId="4" fillId="4" borderId="51" xfId="45957" applyFont="1" applyFill="1" applyBorder="1" applyAlignment="1" applyProtection="1">
      <alignment horizontal="right" vertical="center"/>
      <protection locked="0"/>
    </xf>
    <xf numFmtId="41" fontId="4" fillId="8" borderId="37" xfId="45957" applyFont="1" applyFill="1" applyBorder="1" applyAlignment="1" applyProtection="1">
      <alignment horizontal="right" vertical="center"/>
      <protection locked="0"/>
    </xf>
    <xf numFmtId="41" fontId="4" fillId="0" borderId="9" xfId="45957" applyFont="1" applyFill="1" applyBorder="1" applyAlignment="1" applyProtection="1">
      <alignment horizontal="right" vertical="center"/>
      <protection locked="0"/>
    </xf>
    <xf numFmtId="41" fontId="4" fillId="3" borderId="51" xfId="45957" applyFont="1" applyFill="1" applyBorder="1" applyAlignment="1" applyProtection="1">
      <alignment horizontal="right" vertical="center"/>
      <protection locked="0"/>
    </xf>
    <xf numFmtId="41" fontId="4" fillId="0" borderId="56" xfId="45957" applyFont="1" applyBorder="1" applyAlignment="1" applyProtection="1">
      <alignment horizontal="left" vertical="center"/>
      <protection locked="0"/>
    </xf>
    <xf numFmtId="41" fontId="4" fillId="0" borderId="35" xfId="45957" applyFont="1" applyFill="1" applyBorder="1" applyAlignment="1" applyProtection="1">
      <alignment horizontal="right" vertical="center"/>
      <protection locked="0"/>
    </xf>
    <xf numFmtId="41" fontId="9" fillId="0" borderId="0" xfId="45957" applyFont="1">
      <alignment vertical="center"/>
    </xf>
    <xf numFmtId="41" fontId="9" fillId="0" borderId="46" xfId="45957" applyFont="1" applyBorder="1">
      <alignment vertical="center"/>
    </xf>
    <xf numFmtId="41" fontId="9" fillId="0" borderId="21" xfId="45957" applyFont="1" applyBorder="1">
      <alignment vertical="center"/>
    </xf>
    <xf numFmtId="41" fontId="9" fillId="0" borderId="6" xfId="45957" applyFont="1" applyBorder="1">
      <alignment vertical="center"/>
    </xf>
    <xf numFmtId="41" fontId="9" fillId="0" borderId="3" xfId="45957" applyFont="1" applyBorder="1">
      <alignment vertical="center"/>
    </xf>
    <xf numFmtId="41" fontId="9" fillId="0" borderId="53" xfId="45957" applyFont="1" applyBorder="1">
      <alignment vertical="center"/>
    </xf>
    <xf numFmtId="41" fontId="0" fillId="0" borderId="0" xfId="45957" applyFont="1">
      <alignment vertical="center"/>
    </xf>
    <xf numFmtId="41" fontId="18" fillId="0" borderId="0" xfId="45957" applyFont="1">
      <alignment vertical="center"/>
    </xf>
    <xf numFmtId="181" fontId="4" fillId="2" borderId="12" xfId="9488" applyNumberFormat="1" applyFont="1" applyFill="1" applyBorder="1" applyAlignment="1" applyProtection="1">
      <alignment horizontal="right" vertical="center"/>
      <protection locked="0"/>
    </xf>
    <xf numFmtId="181" fontId="4" fillId="2" borderId="36" xfId="9488" applyNumberFormat="1" applyFont="1" applyFill="1" applyBorder="1" applyAlignment="1" applyProtection="1">
      <alignment horizontal="right" vertical="center"/>
      <protection locked="0"/>
    </xf>
    <xf numFmtId="181" fontId="11" fillId="2" borderId="36" xfId="9488" applyNumberFormat="1" applyFont="1" applyFill="1" applyBorder="1" applyAlignment="1" applyProtection="1">
      <alignment horizontal="right" vertical="center"/>
      <protection locked="0"/>
    </xf>
    <xf numFmtId="181" fontId="4" fillId="2" borderId="36" xfId="9488" applyNumberFormat="1" applyFont="1" applyFill="1" applyBorder="1" applyAlignment="1" applyProtection="1">
      <alignment horizontal="right" vertical="center" indent="1"/>
      <protection locked="0"/>
    </xf>
    <xf numFmtId="181" fontId="11" fillId="2" borderId="36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19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19" xfId="9488" applyNumberFormat="1" applyFont="1" applyFill="1" applyBorder="1" applyAlignment="1" applyProtection="1">
      <alignment horizontal="right" vertical="center"/>
      <protection locked="0"/>
    </xf>
    <xf numFmtId="181" fontId="27" fillId="11" borderId="77" xfId="9488" applyNumberFormat="1" applyFont="1" applyFill="1" applyBorder="1" applyAlignment="1" applyProtection="1">
      <alignment horizontal="right" vertical="center"/>
      <protection locked="0"/>
    </xf>
    <xf numFmtId="181" fontId="27" fillId="11" borderId="78" xfId="9488" applyNumberFormat="1" applyFont="1" applyFill="1" applyBorder="1" applyAlignment="1" applyProtection="1">
      <alignment horizontal="right" vertical="center"/>
      <protection locked="0"/>
    </xf>
    <xf numFmtId="181" fontId="27" fillId="11" borderId="79" xfId="9488" applyNumberFormat="1" applyFont="1" applyFill="1" applyBorder="1" applyAlignment="1" applyProtection="1">
      <alignment horizontal="right" vertical="center"/>
      <protection locked="0"/>
    </xf>
    <xf numFmtId="181" fontId="27" fillId="11" borderId="80" xfId="9488" applyNumberFormat="1" applyFont="1" applyFill="1" applyBorder="1" applyAlignment="1" applyProtection="1">
      <alignment horizontal="right" vertical="center"/>
      <protection locked="0"/>
    </xf>
    <xf numFmtId="0" fontId="27" fillId="11" borderId="77" xfId="45957" applyNumberFormat="1" applyFont="1" applyFill="1" applyBorder="1" applyAlignment="1" applyProtection="1">
      <alignment horizontal="right" vertical="center"/>
      <protection locked="0"/>
    </xf>
    <xf numFmtId="0" fontId="27" fillId="11" borderId="78" xfId="45957" applyNumberFormat="1" applyFont="1" applyFill="1" applyBorder="1" applyAlignment="1" applyProtection="1">
      <alignment horizontal="right" vertical="center"/>
      <protection locked="0"/>
    </xf>
    <xf numFmtId="0" fontId="27" fillId="11" borderId="80" xfId="45957" applyNumberFormat="1" applyFont="1" applyFill="1" applyBorder="1" applyAlignment="1" applyProtection="1">
      <alignment horizontal="right" vertical="center"/>
      <protection locked="0"/>
    </xf>
    <xf numFmtId="176" fontId="4" fillId="0" borderId="8" xfId="45957" applyNumberFormat="1" applyFont="1" applyBorder="1" applyAlignment="1" applyProtection="1">
      <alignment horizontal="right" vertical="center"/>
      <protection locked="0"/>
    </xf>
    <xf numFmtId="176" fontId="4" fillId="0" borderId="8" xfId="45957" applyNumberFormat="1" applyFont="1" applyFill="1" applyBorder="1" applyAlignment="1" applyProtection="1">
      <alignment horizontal="right" vertical="center"/>
      <protection locked="0"/>
    </xf>
    <xf numFmtId="176" fontId="11" fillId="0" borderId="8" xfId="45957" applyNumberFormat="1" applyFont="1" applyBorder="1" applyAlignment="1" applyProtection="1">
      <alignment horizontal="right" vertical="center"/>
      <protection locked="0"/>
    </xf>
    <xf numFmtId="177" fontId="11" fillId="0" borderId="8" xfId="45957" applyNumberFormat="1" applyFont="1" applyBorder="1" applyAlignment="1" applyProtection="1">
      <alignment horizontal="right" vertical="center"/>
      <protection locked="0"/>
    </xf>
    <xf numFmtId="179" fontId="11" fillId="0" borderId="8" xfId="45957" applyNumberFormat="1" applyFont="1" applyBorder="1" applyAlignment="1" applyProtection="1">
      <alignment horizontal="right" vertical="center"/>
      <protection locked="0"/>
    </xf>
    <xf numFmtId="179" fontId="4" fillId="0" borderId="8" xfId="45957" applyNumberFormat="1" applyFont="1" applyBorder="1" applyAlignment="1" applyProtection="1">
      <alignment horizontal="right" vertical="center"/>
      <protection locked="0"/>
    </xf>
    <xf numFmtId="176" fontId="11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14" xfId="45957" applyNumberFormat="1" applyFont="1" applyBorder="1" applyAlignment="1" applyProtection="1">
      <alignment horizontal="right" vertical="center"/>
      <protection locked="0"/>
    </xf>
    <xf numFmtId="176" fontId="4" fillId="0" borderId="31" xfId="45957" applyNumberFormat="1" applyFont="1" applyBorder="1" applyAlignment="1" applyProtection="1">
      <alignment horizontal="right" vertical="center"/>
      <protection locked="0"/>
    </xf>
    <xf numFmtId="176" fontId="4" fillId="0" borderId="24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Fill="1" applyBorder="1" applyAlignment="1" applyProtection="1">
      <alignment horizontal="right" vertical="center"/>
      <protection locked="0"/>
    </xf>
    <xf numFmtId="176" fontId="4" fillId="0" borderId="24" xfId="45957" applyNumberFormat="1" applyFont="1" applyFill="1" applyBorder="1" applyAlignment="1" applyProtection="1">
      <alignment horizontal="right" vertical="center"/>
      <protection locked="0"/>
    </xf>
    <xf numFmtId="41" fontId="4" fillId="0" borderId="8" xfId="45957" applyNumberFormat="1" applyFont="1" applyFill="1" applyBorder="1" applyAlignment="1" applyProtection="1">
      <alignment horizontal="right" vertical="center"/>
      <protection locked="0"/>
    </xf>
    <xf numFmtId="41" fontId="30" fillId="0" borderId="0" xfId="45957" applyFont="1">
      <alignment vertical="center"/>
    </xf>
    <xf numFmtId="41" fontId="31" fillId="0" borderId="0" xfId="45957" applyFont="1">
      <alignment vertical="center"/>
    </xf>
    <xf numFmtId="178" fontId="4" fillId="2" borderId="36" xfId="9488" applyNumberFormat="1" applyFont="1" applyFill="1" applyBorder="1" applyAlignment="1" applyProtection="1">
      <alignment horizontal="right" vertical="center" indent="2"/>
      <protection locked="0"/>
    </xf>
    <xf numFmtId="41" fontId="5" fillId="0" borderId="0" xfId="45957" applyFont="1" applyFill="1" applyBorder="1">
      <alignment vertical="center"/>
    </xf>
    <xf numFmtId="41" fontId="6" fillId="0" borderId="0" xfId="45957" applyFont="1" applyFill="1" applyAlignment="1">
      <alignment horizontal="left" vertical="center"/>
    </xf>
    <xf numFmtId="41" fontId="19" fillId="0" borderId="57" xfId="45957" applyFont="1" applyFill="1" applyBorder="1" applyAlignment="1" applyProtection="1">
      <alignment horizontal="center" vertical="center" wrapText="1"/>
      <protection locked="0"/>
    </xf>
    <xf numFmtId="41" fontId="4" fillId="0" borderId="13" xfId="45957" applyFont="1" applyFill="1" applyBorder="1" applyAlignment="1" applyProtection="1">
      <alignment horizontal="right" vertical="center"/>
      <protection locked="0"/>
    </xf>
    <xf numFmtId="41" fontId="4" fillId="0" borderId="50" xfId="45957" applyFont="1" applyFill="1" applyBorder="1" applyAlignment="1" applyProtection="1">
      <alignment horizontal="right" vertical="center"/>
      <protection locked="0"/>
    </xf>
    <xf numFmtId="41" fontId="4" fillId="0" borderId="51" xfId="45957" applyFont="1" applyFill="1" applyBorder="1" applyAlignment="1" applyProtection="1">
      <alignment horizontal="right" vertical="center"/>
      <protection locked="0"/>
    </xf>
    <xf numFmtId="41" fontId="4" fillId="0" borderId="49" xfId="45957" applyFont="1" applyFill="1" applyBorder="1" applyAlignment="1" applyProtection="1">
      <alignment horizontal="right" vertical="center"/>
      <protection locked="0"/>
    </xf>
    <xf numFmtId="41" fontId="4" fillId="0" borderId="52" xfId="45957" applyFont="1" applyFill="1" applyBorder="1" applyAlignment="1" applyProtection="1">
      <alignment horizontal="right" vertical="center"/>
      <protection locked="0"/>
    </xf>
    <xf numFmtId="41" fontId="4" fillId="0" borderId="46" xfId="45957" applyFont="1" applyFill="1" applyBorder="1" applyAlignment="1" applyProtection="1">
      <alignment horizontal="right" vertical="center"/>
      <protection locked="0"/>
    </xf>
    <xf numFmtId="41" fontId="9" fillId="0" borderId="0" xfId="45957" applyFont="1" applyFill="1" applyBorder="1">
      <alignment vertical="center"/>
    </xf>
    <xf numFmtId="41" fontId="0" fillId="0" borderId="0" xfId="45957" applyFont="1" applyFill="1">
      <alignment vertical="center"/>
    </xf>
    <xf numFmtId="41" fontId="27" fillId="10" borderId="61" xfId="45957" applyFont="1" applyFill="1" applyBorder="1" applyAlignment="1" applyProtection="1">
      <alignment horizontal="right" vertical="center"/>
      <protection locked="0"/>
    </xf>
    <xf numFmtId="41" fontId="27" fillId="10" borderId="62" xfId="45957" applyFont="1" applyFill="1" applyBorder="1" applyAlignment="1" applyProtection="1">
      <alignment horizontal="right" vertical="center"/>
      <protection locked="0"/>
    </xf>
    <xf numFmtId="41" fontId="11" fillId="10" borderId="62" xfId="45957" applyFont="1" applyFill="1" applyBorder="1" applyAlignment="1" applyProtection="1">
      <alignment horizontal="right" vertical="center"/>
      <protection locked="0"/>
    </xf>
    <xf numFmtId="41" fontId="27" fillId="10" borderId="63" xfId="45957" applyFont="1" applyFill="1" applyBorder="1" applyAlignment="1" applyProtection="1">
      <alignment horizontal="right" vertical="center"/>
      <protection locked="0"/>
    </xf>
    <xf numFmtId="41" fontId="27" fillId="10" borderId="64" xfId="45957" applyFont="1" applyFill="1" applyBorder="1" applyAlignment="1" applyProtection="1">
      <alignment horizontal="right" vertical="center"/>
      <protection locked="0"/>
    </xf>
    <xf numFmtId="41" fontId="4" fillId="0" borderId="23" xfId="45957" applyFont="1" applyFill="1" applyBorder="1" applyAlignment="1" applyProtection="1">
      <alignment horizontal="right" vertical="center"/>
      <protection locked="0"/>
    </xf>
    <xf numFmtId="41" fontId="4" fillId="0" borderId="17" xfId="45957" applyFont="1" applyFill="1" applyBorder="1" applyAlignment="1" applyProtection="1">
      <alignment horizontal="right" vertical="center"/>
      <protection locked="0"/>
    </xf>
    <xf numFmtId="41" fontId="4" fillId="0" borderId="81" xfId="45957" applyFont="1" applyFill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176" fontId="4" fillId="0" borderId="25" xfId="9488" applyNumberFormat="1" applyFont="1" applyFill="1" applyBorder="1" applyAlignment="1" applyProtection="1">
      <alignment horizontal="right" vertical="center"/>
      <protection locked="0"/>
    </xf>
    <xf numFmtId="176" fontId="4" fillId="0" borderId="24" xfId="9488" applyNumberFormat="1" applyFont="1" applyFill="1" applyBorder="1" applyAlignment="1" applyProtection="1">
      <alignment horizontal="right" vertical="center"/>
      <protection locked="0"/>
    </xf>
    <xf numFmtId="41" fontId="6" fillId="0" borderId="0" xfId="45957" applyFont="1" applyAlignment="1">
      <alignment horizontal="left" vertical="center"/>
    </xf>
    <xf numFmtId="41" fontId="21" fillId="0" borderId="9" xfId="45957" applyFont="1" applyBorder="1" applyAlignment="1">
      <alignment horizontal="center" vertical="center"/>
    </xf>
    <xf numFmtId="41" fontId="21" fillId="0" borderId="23" xfId="45957" applyFont="1" applyBorder="1" applyAlignment="1">
      <alignment horizontal="center" vertical="center"/>
    </xf>
    <xf numFmtId="41" fontId="21" fillId="0" borderId="34" xfId="45957" applyFont="1" applyBorder="1" applyAlignment="1">
      <alignment horizontal="center" vertical="center"/>
    </xf>
    <xf numFmtId="41" fontId="7" fillId="0" borderId="9" xfId="45957" applyFont="1" applyBorder="1" applyAlignment="1">
      <alignment horizontal="center" vertical="center"/>
    </xf>
    <xf numFmtId="41" fontId="7" fillId="0" borderId="23" xfId="45957" applyFont="1" applyBorder="1" applyAlignment="1">
      <alignment horizontal="center" vertical="center"/>
    </xf>
    <xf numFmtId="41" fontId="7" fillId="0" borderId="34" xfId="45957" applyFont="1" applyBorder="1" applyAlignment="1">
      <alignment horizontal="center" vertical="center"/>
    </xf>
    <xf numFmtId="41" fontId="21" fillId="0" borderId="27" xfId="45957" applyFont="1" applyBorder="1" applyAlignment="1">
      <alignment horizontal="center" vertical="center"/>
    </xf>
    <xf numFmtId="41" fontId="21" fillId="0" borderId="2" xfId="45957" applyFont="1" applyBorder="1" applyAlignment="1">
      <alignment horizontal="center" vertical="center"/>
    </xf>
    <xf numFmtId="41" fontId="21" fillId="0" borderId="15" xfId="45957" applyFont="1" applyBorder="1" applyAlignment="1">
      <alignment horizontal="center" vertical="center"/>
    </xf>
    <xf numFmtId="41" fontId="21" fillId="0" borderId="22" xfId="45957" applyFont="1" applyBorder="1" applyAlignment="1">
      <alignment horizontal="center" vertical="center"/>
    </xf>
    <xf numFmtId="41" fontId="25" fillId="0" borderId="2" xfId="9488" applyFont="1" applyBorder="1" applyAlignment="1">
      <alignment horizontal="center" vertical="center"/>
    </xf>
    <xf numFmtId="41" fontId="25" fillId="0" borderId="22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5" xfId="9488" applyFont="1" applyBorder="1" applyAlignment="1">
      <alignment horizontal="center" vertical="center"/>
    </xf>
    <xf numFmtId="41" fontId="25" fillId="0" borderId="42" xfId="9488" applyFont="1" applyBorder="1" applyAlignment="1">
      <alignment horizontal="center" vertical="center"/>
    </xf>
    <xf numFmtId="41" fontId="25" fillId="0" borderId="66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38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25" fillId="0" borderId="32" xfId="9488" applyFont="1" applyBorder="1" applyAlignment="1">
      <alignment horizontal="center" vertical="center"/>
    </xf>
    <xf numFmtId="41" fontId="5" fillId="0" borderId="38" xfId="9488" applyFont="1" applyBorder="1" applyAlignment="1">
      <alignment horizontal="center" vertical="center"/>
    </xf>
    <xf numFmtId="41" fontId="5" fillId="0" borderId="32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34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7" fillId="0" borderId="27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2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60">
    <cellStyle name="백분율 2" xfId="30709"/>
    <cellStyle name="백분율 2 2" xfId="30712"/>
    <cellStyle name="백분율 2 3" xfId="45959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3 3" xfId="45957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23" xfId="45958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autoPageBreaks="0" fitToPage="1"/>
  </sheetPr>
  <dimension ref="A1:AC102"/>
  <sheetViews>
    <sheetView tabSelected="1" zoomScale="112" zoomScaleNormal="112" zoomScalePageLayoutView="85" workbookViewId="0">
      <selection activeCell="V76" sqref="V76"/>
    </sheetView>
  </sheetViews>
  <sheetFormatPr defaultColWidth="6.625" defaultRowHeight="16.5"/>
  <cols>
    <col min="1" max="1" width="20.875" style="326" bestFit="1" customWidth="1"/>
    <col min="2" max="2" width="31.125" style="326" bestFit="1" customWidth="1"/>
    <col min="3" max="3" width="15.25" style="326" customWidth="1"/>
    <col min="4" max="4" width="6.5" style="326" customWidth="1"/>
    <col min="5" max="6" width="9.5" style="326" customWidth="1"/>
    <col min="7" max="7" width="13.375" style="326" customWidth="1"/>
    <col min="8" max="8" width="9.625" style="326" customWidth="1"/>
    <col min="9" max="13" width="10.5" style="326" customWidth="1"/>
    <col min="14" max="14" width="9.625" style="326" customWidth="1"/>
    <col min="15" max="15" width="11.75" style="326" customWidth="1"/>
    <col min="16" max="20" width="12.25" style="326" customWidth="1"/>
    <col min="21" max="21" width="9.625" style="326" customWidth="1"/>
    <col min="22" max="22" width="11.75" style="326" customWidth="1"/>
    <col min="23" max="23" width="11.125" style="326" customWidth="1"/>
    <col min="24" max="24" width="11.25" style="326" customWidth="1"/>
    <col min="25" max="25" width="11.75" style="369" customWidth="1"/>
    <col min="26" max="26" width="8.125" bestFit="1" customWidth="1"/>
    <col min="27" max="27" width="10.5" bestFit="1" customWidth="1"/>
    <col min="28" max="29" width="11.75" bestFit="1" customWidth="1"/>
  </cols>
  <sheetData>
    <row r="1" spans="1:29" ht="20.25">
      <c r="A1" s="381" t="s">
        <v>168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60"/>
      <c r="Z1" s="1"/>
      <c r="AA1" s="1"/>
      <c r="AB1" s="1"/>
      <c r="AC1" s="1"/>
    </row>
    <row r="2" spans="1:29" ht="20.25">
      <c r="A2" s="381"/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60"/>
      <c r="Z2" s="1"/>
      <c r="AA2" s="1"/>
      <c r="AB2" s="1"/>
      <c r="AC2" s="1"/>
    </row>
    <row r="3" spans="1:29" ht="17.25" thickBot="1">
      <c r="A3" s="210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2" t="s">
        <v>0</v>
      </c>
      <c r="W3" s="211"/>
      <c r="X3" s="213"/>
      <c r="Y3" s="359"/>
      <c r="Z3" s="1"/>
      <c r="AA3" s="1"/>
      <c r="AB3" s="1"/>
      <c r="AC3" s="1"/>
    </row>
    <row r="4" spans="1:29" ht="26.25" thickBot="1">
      <c r="A4" s="214" t="s">
        <v>107</v>
      </c>
      <c r="B4" s="215" t="s">
        <v>2</v>
      </c>
      <c r="C4" s="215" t="s">
        <v>3</v>
      </c>
      <c r="D4" s="215" t="s">
        <v>4</v>
      </c>
      <c r="E4" s="216" t="s">
        <v>123</v>
      </c>
      <c r="F4" s="217" t="s">
        <v>124</v>
      </c>
      <c r="G4" s="217" t="s">
        <v>125</v>
      </c>
      <c r="H4" s="218" t="s">
        <v>126</v>
      </c>
      <c r="I4" s="219" t="s">
        <v>127</v>
      </c>
      <c r="J4" s="220" t="s">
        <v>128</v>
      </c>
      <c r="K4" s="220" t="s">
        <v>129</v>
      </c>
      <c r="L4" s="221" t="s">
        <v>130</v>
      </c>
      <c r="M4" s="220" t="s">
        <v>131</v>
      </c>
      <c r="N4" s="222" t="s">
        <v>132</v>
      </c>
      <c r="O4" s="223" t="s">
        <v>133</v>
      </c>
      <c r="P4" s="224" t="s">
        <v>134</v>
      </c>
      <c r="Q4" s="225" t="s">
        <v>135</v>
      </c>
      <c r="R4" s="225" t="s">
        <v>136</v>
      </c>
      <c r="S4" s="226" t="s">
        <v>137</v>
      </c>
      <c r="T4" s="227" t="s">
        <v>138</v>
      </c>
      <c r="U4" s="228" t="s">
        <v>139</v>
      </c>
      <c r="V4" s="228" t="s">
        <v>140</v>
      </c>
      <c r="W4" s="229" t="s">
        <v>141</v>
      </c>
      <c r="X4" s="230" t="s">
        <v>142</v>
      </c>
      <c r="Y4" s="361" t="s">
        <v>179</v>
      </c>
      <c r="Z4" s="128" t="s">
        <v>108</v>
      </c>
      <c r="AA4" s="129" t="s">
        <v>109</v>
      </c>
      <c r="AB4" s="130" t="s">
        <v>110</v>
      </c>
      <c r="AC4" s="131" t="s">
        <v>111</v>
      </c>
    </row>
    <row r="5" spans="1:29">
      <c r="A5" s="389" t="s">
        <v>112</v>
      </c>
      <c r="B5" s="231" t="s">
        <v>8</v>
      </c>
      <c r="C5" s="232" t="s">
        <v>9</v>
      </c>
      <c r="D5" s="232" t="s">
        <v>6</v>
      </c>
      <c r="E5" s="233">
        <v>37</v>
      </c>
      <c r="F5" s="234">
        <v>1000</v>
      </c>
      <c r="G5" s="235">
        <v>37000</v>
      </c>
      <c r="H5" s="236">
        <v>4000</v>
      </c>
      <c r="I5" s="237"/>
      <c r="J5" s="238"/>
      <c r="K5" s="238"/>
      <c r="L5" s="238"/>
      <c r="M5" s="239"/>
      <c r="N5" s="240">
        <f>I5+J5+K5+L5+M5</f>
        <v>0</v>
      </c>
      <c r="O5" s="241">
        <f>E5*N5</f>
        <v>0</v>
      </c>
      <c r="P5" s="242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234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234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234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243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44">
        <f>P5+Q5+R5+S5+T5</f>
        <v>0</v>
      </c>
      <c r="V5" s="245">
        <f>E5*U5</f>
        <v>0</v>
      </c>
      <c r="W5" s="246">
        <f>(H5+N5)-U5</f>
        <v>4000</v>
      </c>
      <c r="X5" s="247">
        <f t="shared" ref="X5:X36" si="0">E5*W5</f>
        <v>148000</v>
      </c>
      <c r="Y5" s="362"/>
      <c r="Z5" s="133"/>
      <c r="AA5" s="135">
        <f t="shared" ref="AA5:AA41" si="1">Z5*E5</f>
        <v>0</v>
      </c>
      <c r="AB5" s="392">
        <f>SUM(AA5:AA40)</f>
        <v>0</v>
      </c>
      <c r="AC5" s="395">
        <f>AB5*1.1</f>
        <v>0</v>
      </c>
    </row>
    <row r="6" spans="1:29">
      <c r="A6" s="391"/>
      <c r="B6" s="248" t="s">
        <v>10</v>
      </c>
      <c r="C6" s="248" t="s">
        <v>9</v>
      </c>
      <c r="D6" s="248" t="s">
        <v>6</v>
      </c>
      <c r="E6" s="249">
        <v>43</v>
      </c>
      <c r="F6" s="250">
        <v>1000</v>
      </c>
      <c r="G6" s="251">
        <v>43000</v>
      </c>
      <c r="H6" s="252">
        <v>10000</v>
      </c>
      <c r="I6" s="253"/>
      <c r="J6" s="254"/>
      <c r="K6" s="254"/>
      <c r="L6" s="254"/>
      <c r="M6" s="255"/>
      <c r="N6" s="256">
        <f t="shared" ref="N6:N74" si="2">I6+J6+K6+L6+M6</f>
        <v>0</v>
      </c>
      <c r="O6" s="257">
        <f t="shared" ref="O6:O74" si="3">E6*N6</f>
        <v>0</v>
      </c>
      <c r="P6" s="258">
        <f>캠퍼스타운_외부원두영업!I6+잇다카페_외부원두영업!I6+푸른솔!I6+의과대학!I6+중앙도서관!I6+학생회관!I6+제2기숙사!I6+멀티미디어관!I6+선승관!I6+예술디자인대!I6+공학관!I6</f>
        <v>1000</v>
      </c>
      <c r="Q6" s="250">
        <f>캠퍼스타운_외부원두영업!J6+잇다카페_외부원두영업!J6+푸른솔!J6+의과대학!J6+중앙도서관!J6+학생회관!J6+멀티미디어관!J6+제2기숙사!J6+선승관!J6+예술디자인대!J6+공학관!J6</f>
        <v>2000</v>
      </c>
      <c r="R6" s="250">
        <f>캠퍼스타운_외부원두영업!K6+잇다카페_외부원두영업!K6+푸른솔!K6+의과대학!K6+중앙도서관!K6+학생회관!K6+제2기숙사!K6+멀티미디어관!K6+선승관!K6+예술디자인대!K6+공학관!K6</f>
        <v>1000</v>
      </c>
      <c r="S6" s="250">
        <f>캠퍼스타운_외부원두영업!L6+잇다카페_외부원두영업!L6+푸른솔!L6+의과대학!L6+중앙도서관!L6+학생회관!L6+멀티미디어관!L6+제2기숙사!L6+선승관!L6+예술디자인대!L6+공학관!L6</f>
        <v>2000</v>
      </c>
      <c r="T6" s="259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60">
        <f>P6+Q6+R6+S6+T6</f>
        <v>6000</v>
      </c>
      <c r="V6" s="261">
        <f t="shared" ref="V6:V74" si="4">E6*U6</f>
        <v>258000</v>
      </c>
      <c r="W6" s="262">
        <f>(H6+N6)-U6</f>
        <v>4000</v>
      </c>
      <c r="X6" s="263">
        <f t="shared" si="0"/>
        <v>172000</v>
      </c>
      <c r="Y6" s="363"/>
      <c r="Z6" s="133"/>
      <c r="AA6" s="132">
        <f t="shared" si="1"/>
        <v>0</v>
      </c>
      <c r="AB6" s="393"/>
      <c r="AC6" s="396"/>
    </row>
    <row r="7" spans="1:29">
      <c r="A7" s="391"/>
      <c r="B7" s="264" t="s">
        <v>11</v>
      </c>
      <c r="C7" s="264" t="s">
        <v>9</v>
      </c>
      <c r="D7" s="264" t="s">
        <v>6</v>
      </c>
      <c r="E7" s="250">
        <v>20</v>
      </c>
      <c r="F7" s="250">
        <v>1000</v>
      </c>
      <c r="G7" s="251">
        <v>20000</v>
      </c>
      <c r="H7" s="252">
        <v>9000</v>
      </c>
      <c r="I7" s="253"/>
      <c r="J7" s="254">
        <v>2000</v>
      </c>
      <c r="K7" s="254"/>
      <c r="L7" s="254"/>
      <c r="M7" s="255"/>
      <c r="N7" s="256">
        <f t="shared" si="2"/>
        <v>2000</v>
      </c>
      <c r="O7" s="257">
        <f t="shared" si="3"/>
        <v>40000</v>
      </c>
      <c r="P7" s="258">
        <f>캠퍼스타운_외부원두영업!I7+잇다카페_외부원두영업!I7+푸른솔!I7+의과대학!I7+중앙도서관!I7+학생회관!I7+제2기숙사!I7+멀티미디어관!I7+선승관!I7+예술디자인대!I7+공학관!I7</f>
        <v>2000</v>
      </c>
      <c r="Q7" s="250">
        <f>캠퍼스타운_외부원두영업!J7+잇다카페_외부원두영업!J7+푸른솔!J7+의과대학!J7+중앙도서관!J7+학생회관!J7+멀티미디어관!J7+제2기숙사!J7+선승관!J7+예술디자인대!J7+공학관!J7</f>
        <v>0</v>
      </c>
      <c r="R7" s="250">
        <f>캠퍼스타운_외부원두영업!K7+잇다카페_외부원두영업!K7+푸른솔!K7+의과대학!K7+중앙도서관!K7+학생회관!K7+제2기숙사!K7+멀티미디어관!K7+선승관!K7+예술디자인대!K7+공학관!K7</f>
        <v>1000</v>
      </c>
      <c r="S7" s="250">
        <f>캠퍼스타운_외부원두영업!L7+잇다카페_외부원두영업!L7+푸른솔!L7+의과대학!L7+중앙도서관!L7+학생회관!L7+멀티미디어관!L7+제2기숙사!L7+선승관!L7+예술디자인대!L7+공학관!L7</f>
        <v>1000</v>
      </c>
      <c r="T7" s="259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260">
        <f t="shared" ref="U7:U40" si="5">P7+Q7+R7+S7+T7</f>
        <v>4000</v>
      </c>
      <c r="V7" s="261">
        <f t="shared" si="4"/>
        <v>80000</v>
      </c>
      <c r="W7" s="262">
        <f>(H7+N7)-U7</f>
        <v>7000</v>
      </c>
      <c r="X7" s="263">
        <f t="shared" si="0"/>
        <v>140000</v>
      </c>
      <c r="Y7" s="363"/>
      <c r="Z7" s="133"/>
      <c r="AA7" s="132">
        <f t="shared" si="1"/>
        <v>0</v>
      </c>
      <c r="AB7" s="393"/>
      <c r="AC7" s="396"/>
    </row>
    <row r="8" spans="1:29">
      <c r="A8" s="391"/>
      <c r="B8" s="265" t="s">
        <v>12</v>
      </c>
      <c r="C8" s="266" t="s">
        <v>9</v>
      </c>
      <c r="D8" s="266" t="s">
        <v>6</v>
      </c>
      <c r="E8" s="267">
        <v>42</v>
      </c>
      <c r="F8" s="268">
        <v>1000</v>
      </c>
      <c r="G8" s="269">
        <v>42000</v>
      </c>
      <c r="H8" s="270">
        <v>0</v>
      </c>
      <c r="I8" s="253"/>
      <c r="J8" s="271"/>
      <c r="K8" s="271"/>
      <c r="L8" s="254"/>
      <c r="M8" s="272"/>
      <c r="N8" s="256">
        <f t="shared" si="2"/>
        <v>0</v>
      </c>
      <c r="O8" s="257">
        <f t="shared" si="3"/>
        <v>0</v>
      </c>
      <c r="P8" s="258">
        <f>캠퍼스타운_외부원두영업!I8+잇다카페_외부원두영업!I8+푸른솔!I8+의과대학!I8+중앙도서관!I8+학생회관!I8+제2기숙사!I8+멀티미디어관!I8+선승관!I8+예술디자인대!I8+공학관!I8</f>
        <v>0</v>
      </c>
      <c r="Q8" s="250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250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250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259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60">
        <f t="shared" si="5"/>
        <v>0</v>
      </c>
      <c r="V8" s="261">
        <f t="shared" si="4"/>
        <v>0</v>
      </c>
      <c r="W8" s="262">
        <f t="shared" ref="W8:W74" si="6">(H8+N8)-U8</f>
        <v>0</v>
      </c>
      <c r="X8" s="263">
        <f t="shared" si="0"/>
        <v>0</v>
      </c>
      <c r="Y8" s="363"/>
      <c r="Z8" s="133"/>
      <c r="AA8" s="132">
        <f t="shared" si="1"/>
        <v>0</v>
      </c>
      <c r="AB8" s="393"/>
      <c r="AC8" s="396"/>
    </row>
    <row r="9" spans="1:29">
      <c r="A9" s="391"/>
      <c r="B9" s="264" t="s">
        <v>13</v>
      </c>
      <c r="C9" s="248" t="s">
        <v>9</v>
      </c>
      <c r="D9" s="248" t="s">
        <v>6</v>
      </c>
      <c r="E9" s="342">
        <v>53</v>
      </c>
      <c r="F9" s="250">
        <v>1000</v>
      </c>
      <c r="G9" s="251">
        <v>53000</v>
      </c>
      <c r="H9" s="252">
        <v>8000</v>
      </c>
      <c r="I9" s="253"/>
      <c r="J9" s="254">
        <v>10000</v>
      </c>
      <c r="K9" s="254"/>
      <c r="L9" s="254"/>
      <c r="M9" s="255"/>
      <c r="N9" s="256">
        <f t="shared" si="2"/>
        <v>10000</v>
      </c>
      <c r="O9" s="257">
        <f t="shared" si="3"/>
        <v>530000</v>
      </c>
      <c r="P9" s="258">
        <f>캠퍼스타운_외부원두영업!I9+잇다카페_외부원두영업!I9+푸른솔!I9+의과대학!I9+중앙도서관!I9+학생회관!I9+제2기숙사!I9+멀티미디어관!I9+선승관!I9+예술디자인대!I9+공학관!I9</f>
        <v>2000</v>
      </c>
      <c r="Q9" s="250">
        <f>캠퍼스타운_외부원두영업!J9+잇다카페_외부원두영업!J9+푸른솔!J9+의과대학!J9+중앙도서관!J9+학생회관!J9+멀티미디어관!J9+제2기숙사!J9+선승관!J9+예술디자인대!J9+공학관!J9</f>
        <v>3000</v>
      </c>
      <c r="R9" s="250">
        <f>캠퍼스타운_외부원두영업!K9+잇다카페_외부원두영업!K9+푸른솔!K9+의과대학!K9+중앙도서관!K9+학생회관!K9+제2기숙사!K9+멀티미디어관!K9+선승관!K9+예술디자인대!K9+공학관!K9</f>
        <v>2000</v>
      </c>
      <c r="S9" s="250">
        <f>캠퍼스타운_외부원두영업!L9+잇다카페_외부원두영업!L9+푸른솔!L9+의과대학!L9+중앙도서관!L9+학생회관!L9+멀티미디어관!L9+제2기숙사!L9+선승관!L9+예술디자인대!L9+공학관!L9</f>
        <v>3000</v>
      </c>
      <c r="T9" s="259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260">
        <f t="shared" si="5"/>
        <v>10000</v>
      </c>
      <c r="V9" s="261">
        <f t="shared" si="4"/>
        <v>530000</v>
      </c>
      <c r="W9" s="262">
        <f t="shared" ref="W9:W15" si="7">(H9+N9)-U9</f>
        <v>8000</v>
      </c>
      <c r="X9" s="263">
        <f t="shared" si="0"/>
        <v>424000</v>
      </c>
      <c r="Y9" s="363"/>
      <c r="Z9" s="133"/>
      <c r="AA9" s="132">
        <f t="shared" si="1"/>
        <v>0</v>
      </c>
      <c r="AB9" s="393"/>
      <c r="AC9" s="396"/>
    </row>
    <row r="10" spans="1:29">
      <c r="A10" s="391"/>
      <c r="B10" s="264" t="s">
        <v>14</v>
      </c>
      <c r="C10" s="264" t="s">
        <v>9</v>
      </c>
      <c r="D10" s="264" t="s">
        <v>6</v>
      </c>
      <c r="E10" s="343">
        <v>65</v>
      </c>
      <c r="F10" s="250">
        <v>1000</v>
      </c>
      <c r="G10" s="251">
        <v>65000</v>
      </c>
      <c r="H10" s="252">
        <v>7000</v>
      </c>
      <c r="I10" s="253"/>
      <c r="J10" s="254">
        <v>1000</v>
      </c>
      <c r="K10" s="254"/>
      <c r="L10" s="254"/>
      <c r="M10" s="255"/>
      <c r="N10" s="256">
        <f t="shared" si="2"/>
        <v>1000</v>
      </c>
      <c r="O10" s="257">
        <f t="shared" si="3"/>
        <v>65000</v>
      </c>
      <c r="P10" s="258">
        <f>캠퍼스타운_외부원두영업!I10+잇다카페_외부원두영업!I10+푸른솔!I10+의과대학!I10+중앙도서관!I10+학생회관!I10+제2기숙사!I10+멀티미디어관!I10+선승관!I10+예술디자인대!I10+공학관!I10</f>
        <v>4000</v>
      </c>
      <c r="Q10" s="250">
        <f>캠퍼스타운_외부원두영업!J10+잇다카페_외부원두영업!J10+푸른솔!J10+의과대학!J10+중앙도서관!J10+학생회관!J10+멀티미디어관!J10+제2기숙사!J10+선승관!J10+예술디자인대!J10+공학관!J10</f>
        <v>1000</v>
      </c>
      <c r="R10" s="250">
        <f>캠퍼스타운_외부원두영업!K10+잇다카페_외부원두영업!K10+푸른솔!K10+의과대학!K10+중앙도서관!K10+학생회관!K10+제2기숙사!K10+멀티미디어관!K10+선승관!K10+예술디자인대!K10+공학관!K10</f>
        <v>0</v>
      </c>
      <c r="S10" s="250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259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60">
        <f t="shared" si="5"/>
        <v>5000</v>
      </c>
      <c r="V10" s="261">
        <f t="shared" si="4"/>
        <v>325000</v>
      </c>
      <c r="W10" s="262">
        <f t="shared" si="7"/>
        <v>3000</v>
      </c>
      <c r="X10" s="263">
        <f t="shared" si="0"/>
        <v>195000</v>
      </c>
      <c r="Y10" s="363"/>
      <c r="Z10" s="133"/>
      <c r="AA10" s="132">
        <f t="shared" si="1"/>
        <v>0</v>
      </c>
      <c r="AB10" s="393"/>
      <c r="AC10" s="396"/>
    </row>
    <row r="11" spans="1:29" ht="15.75" customHeight="1">
      <c r="A11" s="391"/>
      <c r="B11" s="265" t="s">
        <v>15</v>
      </c>
      <c r="C11" s="266" t="s">
        <v>9</v>
      </c>
      <c r="D11" s="266" t="s">
        <v>6</v>
      </c>
      <c r="E11" s="344">
        <v>18.5</v>
      </c>
      <c r="F11" s="268">
        <v>1000</v>
      </c>
      <c r="G11" s="269">
        <v>18500</v>
      </c>
      <c r="H11" s="270">
        <v>8000</v>
      </c>
      <c r="I11" s="253"/>
      <c r="J11" s="271">
        <v>11000</v>
      </c>
      <c r="K11" s="271"/>
      <c r="L11" s="254"/>
      <c r="M11" s="272"/>
      <c r="N11" s="256">
        <f t="shared" si="2"/>
        <v>11000</v>
      </c>
      <c r="O11" s="257">
        <f t="shared" si="3"/>
        <v>203500</v>
      </c>
      <c r="P11" s="258">
        <f>캠퍼스타운_외부원두영업!I11+잇다카페_외부원두영업!I11+푸른솔!I11+의과대학!I11+중앙도서관!I11+학생회관!I11+제2기숙사!I11+멀티미디어관!I11+선승관!I11+예술디자인대!I11+공학관!I11</f>
        <v>2000</v>
      </c>
      <c r="Q11" s="250">
        <f>캠퍼스타운_외부원두영업!J11+잇다카페_외부원두영업!J11+푸른솔!J11+의과대학!J11+중앙도서관!J11+학생회관!J11+멀티미디어관!J11+제2기숙사!J11+선승관!J11+예술디자인대!J11+공학관!J11</f>
        <v>2000</v>
      </c>
      <c r="R11" s="250">
        <f>캠퍼스타운_외부원두영업!K11+잇다카페_외부원두영업!K11+푸른솔!K11+의과대학!K11+중앙도서관!K11+학생회관!K11+제2기숙사!K11+멀티미디어관!K11+선승관!K11+예술디자인대!K11+공학관!K11</f>
        <v>2000</v>
      </c>
      <c r="S11" s="250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259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260">
        <f t="shared" si="5"/>
        <v>10000</v>
      </c>
      <c r="V11" s="261">
        <f t="shared" si="4"/>
        <v>185000</v>
      </c>
      <c r="W11" s="262">
        <f t="shared" si="7"/>
        <v>9000</v>
      </c>
      <c r="X11" s="263">
        <f t="shared" si="0"/>
        <v>166500</v>
      </c>
      <c r="Y11" s="363"/>
      <c r="Z11" s="133"/>
      <c r="AA11" s="132">
        <f t="shared" si="1"/>
        <v>0</v>
      </c>
      <c r="AB11" s="393"/>
      <c r="AC11" s="396"/>
    </row>
    <row r="12" spans="1:29">
      <c r="A12" s="391"/>
      <c r="B12" s="264" t="s">
        <v>16</v>
      </c>
      <c r="C12" s="248" t="s">
        <v>9</v>
      </c>
      <c r="D12" s="248" t="s">
        <v>6</v>
      </c>
      <c r="E12" s="342">
        <v>20</v>
      </c>
      <c r="F12" s="250">
        <v>1000</v>
      </c>
      <c r="G12" s="251">
        <v>20000</v>
      </c>
      <c r="H12" s="252">
        <v>6000</v>
      </c>
      <c r="I12" s="253"/>
      <c r="J12" s="254">
        <v>1000</v>
      </c>
      <c r="K12" s="254"/>
      <c r="L12" s="254"/>
      <c r="M12" s="255"/>
      <c r="N12" s="256">
        <f t="shared" si="2"/>
        <v>1000</v>
      </c>
      <c r="O12" s="257">
        <f t="shared" si="3"/>
        <v>20000</v>
      </c>
      <c r="P12" s="258">
        <f>캠퍼스타운_외부원두영업!I12+잇다카페_외부원두영업!I12+푸른솔!I12+의과대학!I12+중앙도서관!I12+학생회관!I12+제2기숙사!I12+멀티미디어관!I12+선승관!I12+예술디자인대!I12+공학관!I12</f>
        <v>3000</v>
      </c>
      <c r="Q12" s="250">
        <f>캠퍼스타운_외부원두영업!J12+잇다카페_외부원두영업!J12+푸른솔!J12+의과대학!J12+중앙도서관!J12+학생회관!J12+멀티미디어관!J12+제2기숙사!J12+선승관!J12+예술디자인대!J12+공학관!J12</f>
        <v>0</v>
      </c>
      <c r="R12" s="250">
        <f>캠퍼스타운_외부원두영업!K12+잇다카페_외부원두영업!K12+푸른솔!K12+의과대학!K12+중앙도서관!K12+학생회관!K12+제2기숙사!K12+멀티미디어관!K12+선승관!K12+예술디자인대!K12+공학관!K12</f>
        <v>1000</v>
      </c>
      <c r="S12" s="250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259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260">
        <f t="shared" si="5"/>
        <v>4000</v>
      </c>
      <c r="V12" s="261">
        <f t="shared" si="4"/>
        <v>80000</v>
      </c>
      <c r="W12" s="262">
        <f t="shared" si="7"/>
        <v>3000</v>
      </c>
      <c r="X12" s="263">
        <f t="shared" si="0"/>
        <v>60000</v>
      </c>
      <c r="Y12" s="363"/>
      <c r="Z12" s="133"/>
      <c r="AA12" s="132">
        <f t="shared" si="1"/>
        <v>0</v>
      </c>
      <c r="AB12" s="393"/>
      <c r="AC12" s="396"/>
    </row>
    <row r="13" spans="1:29">
      <c r="A13" s="391"/>
      <c r="B13" s="264" t="s">
        <v>17</v>
      </c>
      <c r="C13" s="248" t="s">
        <v>9</v>
      </c>
      <c r="D13" s="248" t="s">
        <v>6</v>
      </c>
      <c r="E13" s="342">
        <v>19</v>
      </c>
      <c r="F13" s="250">
        <v>1000</v>
      </c>
      <c r="G13" s="251">
        <v>19000</v>
      </c>
      <c r="H13" s="252">
        <v>0</v>
      </c>
      <c r="I13" s="253"/>
      <c r="J13" s="254"/>
      <c r="K13" s="254"/>
      <c r="L13" s="254"/>
      <c r="M13" s="255"/>
      <c r="N13" s="256">
        <f t="shared" si="2"/>
        <v>0</v>
      </c>
      <c r="O13" s="257">
        <f t="shared" si="3"/>
        <v>0</v>
      </c>
      <c r="P13" s="258">
        <f>캠퍼스타운_외부원두영업!I13+잇다카페_외부원두영업!I13+푸른솔!I13+의과대학!I13+중앙도서관!I13+학생회관!I13+제2기숙사!I13+멀티미디어관!I13+선승관!I13+예술디자인대!I13+공학관!I13</f>
        <v>0</v>
      </c>
      <c r="Q13" s="250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250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250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259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60">
        <f t="shared" si="5"/>
        <v>0</v>
      </c>
      <c r="V13" s="261">
        <f t="shared" si="4"/>
        <v>0</v>
      </c>
      <c r="W13" s="262">
        <f t="shared" si="7"/>
        <v>0</v>
      </c>
      <c r="X13" s="263">
        <f t="shared" si="0"/>
        <v>0</v>
      </c>
      <c r="Y13" s="363"/>
      <c r="Z13" s="133"/>
      <c r="AA13" s="132">
        <f t="shared" si="1"/>
        <v>0</v>
      </c>
      <c r="AB13" s="393"/>
      <c r="AC13" s="396"/>
    </row>
    <row r="14" spans="1:29">
      <c r="A14" s="391"/>
      <c r="B14" s="264" t="s">
        <v>148</v>
      </c>
      <c r="C14" s="248" t="s">
        <v>9</v>
      </c>
      <c r="D14" s="248" t="s">
        <v>6</v>
      </c>
      <c r="E14" s="342">
        <v>17.5</v>
      </c>
      <c r="F14" s="250">
        <v>1000</v>
      </c>
      <c r="G14" s="251">
        <v>17500</v>
      </c>
      <c r="H14" s="252">
        <v>3000</v>
      </c>
      <c r="I14" s="253"/>
      <c r="J14" s="254"/>
      <c r="K14" s="254"/>
      <c r="L14" s="254"/>
      <c r="M14" s="255"/>
      <c r="N14" s="256">
        <f t="shared" si="2"/>
        <v>0</v>
      </c>
      <c r="O14" s="257">
        <f t="shared" si="3"/>
        <v>0</v>
      </c>
      <c r="P14" s="258">
        <f>캠퍼스타운_외부원두영업!I14+잇다카페_외부원두영업!I14+푸른솔!I14+의과대학!I14+중앙도서관!I14+학생회관!I14+제2기숙사!I14+멀티미디어관!I14+선승관!I14+예술디자인대!I14+공학관!I14</f>
        <v>0</v>
      </c>
      <c r="Q14" s="250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250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250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259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60">
        <f t="shared" si="5"/>
        <v>0</v>
      </c>
      <c r="V14" s="261">
        <f t="shared" si="4"/>
        <v>0</v>
      </c>
      <c r="W14" s="262">
        <f t="shared" si="7"/>
        <v>3000</v>
      </c>
      <c r="X14" s="263">
        <f t="shared" si="0"/>
        <v>52500</v>
      </c>
      <c r="Y14" s="363"/>
      <c r="Z14" s="133"/>
      <c r="AA14" s="132">
        <f t="shared" si="1"/>
        <v>0</v>
      </c>
      <c r="AB14" s="393"/>
      <c r="AC14" s="396"/>
    </row>
    <row r="15" spans="1:29">
      <c r="A15" s="391"/>
      <c r="B15" s="264" t="s">
        <v>147</v>
      </c>
      <c r="C15" s="248" t="s">
        <v>9</v>
      </c>
      <c r="D15" s="248" t="s">
        <v>6</v>
      </c>
      <c r="E15" s="342">
        <v>18</v>
      </c>
      <c r="F15" s="250">
        <v>1000</v>
      </c>
      <c r="G15" s="251">
        <v>18000</v>
      </c>
      <c r="H15" s="252">
        <v>14000</v>
      </c>
      <c r="I15" s="253"/>
      <c r="J15" s="254">
        <v>15000</v>
      </c>
      <c r="K15" s="254"/>
      <c r="L15" s="254"/>
      <c r="M15" s="255"/>
      <c r="N15" s="256">
        <f t="shared" si="2"/>
        <v>15000</v>
      </c>
      <c r="O15" s="257">
        <f t="shared" si="3"/>
        <v>270000</v>
      </c>
      <c r="P15" s="258">
        <f>캠퍼스타운_외부원두영업!I15+잇다카페_외부원두영업!I15+푸른솔!I15+의과대학!I15+중앙도서관!I15+학생회관!I15+제2기숙사!I15+멀티미디어관!I15+선승관!I15+예술디자인대!I15+공학관!I15</f>
        <v>4000</v>
      </c>
      <c r="Q15" s="250">
        <f>캠퍼스타운_외부원두영업!J15+잇다카페_외부원두영업!J15+푸른솔!J15+의과대학!J15+중앙도서관!J15+학생회관!J15+멀티미디어관!J15+제2기숙사!J15+선승관!J15+예술디자인대!J15+공학관!J15</f>
        <v>4000</v>
      </c>
      <c r="R15" s="250">
        <f>캠퍼스타운_외부원두영업!K15+잇다카페_외부원두영업!K15+푸른솔!K15+의과대학!K15+중앙도서관!K15+학생회관!K15+제2기숙사!K15+멀티미디어관!K15+선승관!K15+예술디자인대!K15+공학관!K15</f>
        <v>4000</v>
      </c>
      <c r="S15" s="250">
        <f>캠퍼스타운_외부원두영업!L15+잇다카페_외부원두영업!L15+푸른솔!L15+의과대학!L15+중앙도서관!L15+학생회관!L15+멀티미디어관!L15+제2기숙사!L15+선승관!L15+예술디자인대!L15+공학관!L15</f>
        <v>5000</v>
      </c>
      <c r="T15" s="259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260">
        <f t="shared" si="5"/>
        <v>17000</v>
      </c>
      <c r="V15" s="261">
        <f t="shared" si="4"/>
        <v>306000</v>
      </c>
      <c r="W15" s="262">
        <f t="shared" si="7"/>
        <v>12000</v>
      </c>
      <c r="X15" s="263">
        <f t="shared" si="0"/>
        <v>216000</v>
      </c>
      <c r="Y15" s="363"/>
      <c r="Z15" s="133"/>
      <c r="AA15" s="132">
        <f t="shared" si="1"/>
        <v>0</v>
      </c>
      <c r="AB15" s="393"/>
      <c r="AC15" s="396"/>
    </row>
    <row r="16" spans="1:29">
      <c r="A16" s="391"/>
      <c r="B16" s="264" t="s">
        <v>20</v>
      </c>
      <c r="C16" s="264" t="s">
        <v>21</v>
      </c>
      <c r="D16" s="264" t="s">
        <v>6</v>
      </c>
      <c r="E16" s="343">
        <v>6.9</v>
      </c>
      <c r="F16" s="250">
        <v>10000</v>
      </c>
      <c r="G16" s="251">
        <v>69000</v>
      </c>
      <c r="H16" s="252">
        <v>10000</v>
      </c>
      <c r="I16" s="253"/>
      <c r="J16" s="254">
        <v>10000</v>
      </c>
      <c r="K16" s="254"/>
      <c r="L16" s="254"/>
      <c r="M16" s="255"/>
      <c r="N16" s="256">
        <f t="shared" si="2"/>
        <v>10000</v>
      </c>
      <c r="O16" s="257">
        <f t="shared" si="3"/>
        <v>69000</v>
      </c>
      <c r="P16" s="258">
        <f>캠퍼스타운_외부원두영업!I16+잇다카페_외부원두영업!I16+푸른솔!I16+의과대학!I16+중앙도서관!I16+학생회관!I16+제2기숙사!I16+멀티미디어관!I16+선승관!I16+예술디자인대!I16+공학관!I16</f>
        <v>500</v>
      </c>
      <c r="Q16" s="250">
        <f>캠퍼스타운_외부원두영업!J16+잇다카페_외부원두영업!J16+푸른솔!J16+의과대학!J16+중앙도서관!J16+학생회관!J16+멀티미디어관!J16+제2기숙사!J16+선승관!J16+예술디자인대!J16+공학관!J16</f>
        <v>1500</v>
      </c>
      <c r="R16" s="250">
        <f>캠퍼스타운_외부원두영업!K16+잇다카페_외부원두영업!K16+푸른솔!K16+의과대학!K16+중앙도서관!K16+학생회관!K16+제2기숙사!K16+멀티미디어관!K16+선승관!K16+예술디자인대!K16+공학관!K16</f>
        <v>1500</v>
      </c>
      <c r="S16" s="250">
        <f>캠퍼스타운_외부원두영업!L16+잇다카페_외부원두영업!L16+푸른솔!L16+의과대학!L16+중앙도서관!L16+학생회관!L16+멀티미디어관!L16+제2기숙사!L16+선승관!L16+예술디자인대!L16+공학관!L16</f>
        <v>2000</v>
      </c>
      <c r="T16" s="259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260">
        <f t="shared" si="5"/>
        <v>5500</v>
      </c>
      <c r="V16" s="261">
        <f t="shared" si="4"/>
        <v>37950</v>
      </c>
      <c r="W16" s="262">
        <f t="shared" si="6"/>
        <v>14500</v>
      </c>
      <c r="X16" s="263">
        <f t="shared" si="0"/>
        <v>100050</v>
      </c>
      <c r="Y16" s="363"/>
      <c r="Z16" s="133"/>
      <c r="AA16" s="132">
        <f t="shared" si="1"/>
        <v>0</v>
      </c>
      <c r="AB16" s="393"/>
      <c r="AC16" s="396"/>
    </row>
    <row r="17" spans="1:29">
      <c r="A17" s="391"/>
      <c r="B17" s="264" t="s">
        <v>22</v>
      </c>
      <c r="C17" s="266" t="s">
        <v>23</v>
      </c>
      <c r="D17" s="266" t="s">
        <v>6</v>
      </c>
      <c r="E17" s="346">
        <v>22.1875</v>
      </c>
      <c r="F17" s="268">
        <v>3200</v>
      </c>
      <c r="G17" s="269">
        <v>71000</v>
      </c>
      <c r="H17" s="270">
        <v>2200</v>
      </c>
      <c r="I17" s="253"/>
      <c r="J17" s="271">
        <v>3200</v>
      </c>
      <c r="K17" s="254"/>
      <c r="L17" s="254"/>
      <c r="M17" s="272"/>
      <c r="N17" s="256">
        <f t="shared" si="2"/>
        <v>3200</v>
      </c>
      <c r="O17" s="257">
        <f t="shared" si="3"/>
        <v>71000</v>
      </c>
      <c r="P17" s="258">
        <f>캠퍼스타운_외부원두영업!I17+잇다카페_외부원두영업!I17+푸른솔!I17+의과대학!I17+중앙도서관!I17+학생회관!I17+제2기숙사!I17+멀티미디어관!I17+선승관!I17+예술디자인대!I17+공학관!I17</f>
        <v>200</v>
      </c>
      <c r="Q17" s="250">
        <f>캠퍼스타운_외부원두영업!J17+잇다카페_외부원두영업!J17+푸른솔!J17+의과대학!J17+중앙도서관!J17+학생회관!J17+멀티미디어관!J17+제2기숙사!J17+선승관!J17+예술디자인대!J17+공학관!J17</f>
        <v>0</v>
      </c>
      <c r="R17" s="250">
        <f>캠퍼스타운_외부원두영업!K17+잇다카페_외부원두영업!K17+푸른솔!K17+의과대학!K17+중앙도서관!K17+학생회관!K17+제2기숙사!K17+멀티미디어관!K17+선승관!K17+예술디자인대!K17+공학관!K17</f>
        <v>0</v>
      </c>
      <c r="S17" s="250">
        <f>캠퍼스타운_외부원두영업!L17+잇다카페_외부원두영업!L17+푸른솔!L17+의과대학!L17+중앙도서관!L17+학생회관!L17+멀티미디어관!L17+제2기숙사!L17+선승관!L17+예술디자인대!L17+공학관!L17</f>
        <v>200</v>
      </c>
      <c r="T17" s="259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260">
        <f t="shared" si="5"/>
        <v>400</v>
      </c>
      <c r="V17" s="261">
        <f t="shared" si="4"/>
        <v>8875</v>
      </c>
      <c r="W17" s="262">
        <f t="shared" si="6"/>
        <v>5000</v>
      </c>
      <c r="X17" s="263">
        <f t="shared" si="0"/>
        <v>110937.5</v>
      </c>
      <c r="Y17" s="363"/>
      <c r="Z17" s="133"/>
      <c r="AA17" s="132">
        <f t="shared" si="1"/>
        <v>0</v>
      </c>
      <c r="AB17" s="393"/>
      <c r="AC17" s="396"/>
    </row>
    <row r="18" spans="1:29">
      <c r="A18" s="391"/>
      <c r="B18" s="264" t="s">
        <v>24</v>
      </c>
      <c r="C18" s="248" t="s">
        <v>21</v>
      </c>
      <c r="D18" s="248" t="s">
        <v>6</v>
      </c>
      <c r="E18" s="342">
        <v>7.2</v>
      </c>
      <c r="F18" s="250">
        <v>10000</v>
      </c>
      <c r="G18" s="251">
        <v>72000</v>
      </c>
      <c r="H18" s="252">
        <v>9000</v>
      </c>
      <c r="I18" s="253"/>
      <c r="J18" s="254">
        <v>10000</v>
      </c>
      <c r="K18" s="254"/>
      <c r="L18" s="254"/>
      <c r="M18" s="255"/>
      <c r="N18" s="256">
        <f t="shared" si="2"/>
        <v>10000</v>
      </c>
      <c r="O18" s="257">
        <f t="shared" si="3"/>
        <v>72000</v>
      </c>
      <c r="P18" s="258">
        <f>캠퍼스타운_외부원두영업!I18+잇다카페_외부원두영업!I18+푸른솔!I18+의과대학!I18+중앙도서관!I18+학생회관!I18+제2기숙사!I18+멀티미디어관!I18+선승관!I18+예술디자인대!I18+공학관!I18</f>
        <v>1500</v>
      </c>
      <c r="Q18" s="250">
        <f>캠퍼스타운_외부원두영업!J18+잇다카페_외부원두영업!J18+푸른솔!J18+의과대학!J18+중앙도서관!J18+학생회관!J18+멀티미디어관!J18+제2기숙사!J18+선승관!J18+예술디자인대!J18+공학관!J18</f>
        <v>2500</v>
      </c>
      <c r="R18" s="250">
        <f>캠퍼스타운_외부원두영업!K18+잇다카페_외부원두영업!K18+푸른솔!K18+의과대학!K18+중앙도서관!K18+학생회관!K18+제2기숙사!K18+멀티미디어관!K18+선승관!K18+예술디자인대!K18+공학관!K18</f>
        <v>0</v>
      </c>
      <c r="S18" s="250">
        <f>캠퍼스타운_외부원두영업!L18+잇다카페_외부원두영업!L18+푸른솔!L18+의과대학!L18+중앙도서관!L18+학생회관!L18+멀티미디어관!L18+제2기숙사!L18+선승관!L18+예술디자인대!L18+공학관!L18</f>
        <v>1000</v>
      </c>
      <c r="T18" s="259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260">
        <f t="shared" si="5"/>
        <v>5000</v>
      </c>
      <c r="V18" s="261">
        <f t="shared" si="4"/>
        <v>36000</v>
      </c>
      <c r="W18" s="262">
        <f t="shared" si="6"/>
        <v>14000</v>
      </c>
      <c r="X18" s="263">
        <f t="shared" si="0"/>
        <v>100800</v>
      </c>
      <c r="Y18" s="363"/>
      <c r="Z18" s="133"/>
      <c r="AA18" s="132">
        <f t="shared" si="1"/>
        <v>0</v>
      </c>
      <c r="AB18" s="393"/>
      <c r="AC18" s="396"/>
    </row>
    <row r="19" spans="1:29">
      <c r="A19" s="391"/>
      <c r="B19" s="264" t="s">
        <v>25</v>
      </c>
      <c r="C19" s="248" t="s">
        <v>26</v>
      </c>
      <c r="D19" s="248" t="s">
        <v>6</v>
      </c>
      <c r="E19" s="342">
        <v>18</v>
      </c>
      <c r="F19" s="250">
        <v>5000</v>
      </c>
      <c r="G19" s="251">
        <v>90000</v>
      </c>
      <c r="H19" s="252">
        <v>3500</v>
      </c>
      <c r="I19" s="253"/>
      <c r="J19" s="254"/>
      <c r="K19" s="254"/>
      <c r="L19" s="254"/>
      <c r="M19" s="255"/>
      <c r="N19" s="256">
        <f t="shared" si="2"/>
        <v>0</v>
      </c>
      <c r="O19" s="257">
        <f t="shared" si="3"/>
        <v>0</v>
      </c>
      <c r="P19" s="258">
        <f>캠퍼스타운_외부원두영업!I19+잇다카페_외부원두영업!I19+푸른솔!I19+의과대학!I19+중앙도서관!I19+학생회관!I19+제2기숙사!I19+멀티미디어관!I19+선승관!I19+예술디자인대!I19+공학관!I19</f>
        <v>0</v>
      </c>
      <c r="Q19" s="250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250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250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259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60">
        <f t="shared" si="5"/>
        <v>0</v>
      </c>
      <c r="V19" s="261">
        <f t="shared" si="4"/>
        <v>0</v>
      </c>
      <c r="W19" s="262">
        <f t="shared" si="6"/>
        <v>3500</v>
      </c>
      <c r="X19" s="263">
        <f t="shared" si="0"/>
        <v>63000</v>
      </c>
      <c r="Y19" s="363"/>
      <c r="Z19" s="133"/>
      <c r="AA19" s="132">
        <f t="shared" si="1"/>
        <v>0</v>
      </c>
      <c r="AB19" s="393"/>
      <c r="AC19" s="396"/>
    </row>
    <row r="20" spans="1:29">
      <c r="A20" s="391"/>
      <c r="B20" s="265" t="s">
        <v>27</v>
      </c>
      <c r="C20" s="266" t="s">
        <v>28</v>
      </c>
      <c r="D20" s="266" t="s">
        <v>6</v>
      </c>
      <c r="E20" s="344">
        <v>26.7</v>
      </c>
      <c r="F20" s="268">
        <v>4000</v>
      </c>
      <c r="G20" s="269">
        <v>106800</v>
      </c>
      <c r="H20" s="270">
        <v>4600</v>
      </c>
      <c r="I20" s="253"/>
      <c r="J20" s="271"/>
      <c r="K20" s="254"/>
      <c r="L20" s="254"/>
      <c r="M20" s="272"/>
      <c r="N20" s="256">
        <f t="shared" si="2"/>
        <v>0</v>
      </c>
      <c r="O20" s="257">
        <f t="shared" si="3"/>
        <v>0</v>
      </c>
      <c r="P20" s="258">
        <f>캠퍼스타운_외부원두영업!I20+잇다카페_외부원두영업!I20+푸른솔!I20+의과대학!I20+중앙도서관!I20+학생회관!I20+제2기숙사!I20+멀티미디어관!I20+선승관!I20+예술디자인대!I20+공학관!I20</f>
        <v>0</v>
      </c>
      <c r="Q20" s="250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250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250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259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60">
        <f t="shared" si="5"/>
        <v>0</v>
      </c>
      <c r="V20" s="261">
        <f t="shared" si="4"/>
        <v>0</v>
      </c>
      <c r="W20" s="262">
        <f t="shared" si="6"/>
        <v>4600</v>
      </c>
      <c r="X20" s="263">
        <f t="shared" si="0"/>
        <v>122820</v>
      </c>
      <c r="Y20" s="363"/>
      <c r="Z20" s="133"/>
      <c r="AA20" s="132">
        <f t="shared" si="1"/>
        <v>0</v>
      </c>
      <c r="AB20" s="393"/>
      <c r="AC20" s="396"/>
    </row>
    <row r="21" spans="1:29">
      <c r="A21" s="391"/>
      <c r="B21" s="264" t="s">
        <v>29</v>
      </c>
      <c r="C21" s="248" t="s">
        <v>23</v>
      </c>
      <c r="D21" s="248" t="s">
        <v>6</v>
      </c>
      <c r="E21" s="347">
        <v>22.8125</v>
      </c>
      <c r="F21" s="250">
        <v>3200</v>
      </c>
      <c r="G21" s="251">
        <v>73000</v>
      </c>
      <c r="H21" s="252">
        <v>4200</v>
      </c>
      <c r="I21" s="253"/>
      <c r="J21" s="254"/>
      <c r="K21" s="254"/>
      <c r="L21" s="254"/>
      <c r="M21" s="255"/>
      <c r="N21" s="256">
        <f t="shared" si="2"/>
        <v>0</v>
      </c>
      <c r="O21" s="257">
        <f t="shared" si="3"/>
        <v>0</v>
      </c>
      <c r="P21" s="258">
        <f>캠퍼스타운_외부원두영업!I21+잇다카페_외부원두영업!I21+푸른솔!I21+의과대학!I21+중앙도서관!I21+학생회관!I21+제2기숙사!I21+멀티미디어관!I21+선승관!I21+예술디자인대!I21+공학관!I21</f>
        <v>200</v>
      </c>
      <c r="Q21" s="250">
        <f>캠퍼스타운_외부원두영업!J21+잇다카페_외부원두영업!J21+푸른솔!J21+의과대학!J21+중앙도서관!J21+학생회관!J21+멀티미디어관!J21+제2기숙사!J21+선승관!J21+예술디자인대!J21+공학관!J21</f>
        <v>0</v>
      </c>
      <c r="R21" s="250">
        <f>캠퍼스타운_외부원두영업!K21+잇다카페_외부원두영업!K21+푸른솔!K21+의과대학!K21+중앙도서관!K21+학생회관!K21+제2기숙사!K21+멀티미디어관!K21+선승관!K21+예술디자인대!K21+공학관!K21</f>
        <v>0</v>
      </c>
      <c r="S21" s="250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259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260">
        <f t="shared" si="5"/>
        <v>200</v>
      </c>
      <c r="V21" s="261">
        <f t="shared" si="4"/>
        <v>4562.5</v>
      </c>
      <c r="W21" s="262">
        <f t="shared" si="6"/>
        <v>4000</v>
      </c>
      <c r="X21" s="263">
        <f t="shared" si="0"/>
        <v>91250</v>
      </c>
      <c r="Y21" s="363"/>
      <c r="Z21" s="133"/>
      <c r="AA21" s="132">
        <f t="shared" si="1"/>
        <v>0</v>
      </c>
      <c r="AB21" s="393"/>
      <c r="AC21" s="396"/>
    </row>
    <row r="22" spans="1:29">
      <c r="A22" s="391"/>
      <c r="B22" s="264" t="s">
        <v>30</v>
      </c>
      <c r="C22" s="264" t="s">
        <v>31</v>
      </c>
      <c r="D22" s="264" t="s">
        <v>6</v>
      </c>
      <c r="E22" s="343">
        <v>112.5</v>
      </c>
      <c r="F22" s="250">
        <v>200</v>
      </c>
      <c r="G22" s="251">
        <v>22500</v>
      </c>
      <c r="H22" s="252">
        <v>1400</v>
      </c>
      <c r="I22" s="253"/>
      <c r="J22" s="254">
        <v>1000</v>
      </c>
      <c r="K22" s="254"/>
      <c r="L22" s="254"/>
      <c r="M22" s="255"/>
      <c r="N22" s="256">
        <f t="shared" si="2"/>
        <v>1000</v>
      </c>
      <c r="O22" s="257">
        <f t="shared" si="3"/>
        <v>112500</v>
      </c>
      <c r="P22" s="258">
        <f>캠퍼스타운_외부원두영업!I22+잇다카페_외부원두영업!I22+푸른솔!I22+의과대학!I22+중앙도서관!I22+학생회관!I22+제2기숙사!I22+멀티미디어관!I22+선승관!I22+예술디자인대!I22+공학관!I22</f>
        <v>400</v>
      </c>
      <c r="Q22" s="250">
        <f>캠퍼스타운_외부원두영업!J22+잇다카페_외부원두영업!J22+푸른솔!J22+의과대학!J22+중앙도서관!J22+학생회관!J22+멀티미디어관!J22+제2기숙사!J22+선승관!J22+예술디자인대!J22+공학관!J22</f>
        <v>400</v>
      </c>
      <c r="R22" s="250">
        <f>캠퍼스타운_외부원두영업!K22+잇다카페_외부원두영업!K22+푸른솔!K22+의과대학!K22+중앙도서관!K22+학생회관!K22+제2기숙사!K22+멀티미디어관!K22+선승관!K22+예술디자인대!K22+공학관!K22</f>
        <v>0</v>
      </c>
      <c r="S22" s="250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259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60">
        <f t="shared" si="5"/>
        <v>1000</v>
      </c>
      <c r="V22" s="261">
        <f t="shared" si="4"/>
        <v>112500</v>
      </c>
      <c r="W22" s="262">
        <f t="shared" si="6"/>
        <v>1400</v>
      </c>
      <c r="X22" s="263">
        <f t="shared" si="0"/>
        <v>157500</v>
      </c>
      <c r="Y22" s="363"/>
      <c r="Z22" s="133"/>
      <c r="AA22" s="132">
        <f t="shared" si="1"/>
        <v>0</v>
      </c>
      <c r="AB22" s="393"/>
      <c r="AC22" s="396"/>
    </row>
    <row r="23" spans="1:29">
      <c r="A23" s="391"/>
      <c r="B23" s="264" t="s">
        <v>32</v>
      </c>
      <c r="C23" s="266" t="s">
        <v>33</v>
      </c>
      <c r="D23" s="266" t="s">
        <v>6</v>
      </c>
      <c r="E23" s="345">
        <v>3.625</v>
      </c>
      <c r="F23" s="268">
        <v>8000</v>
      </c>
      <c r="G23" s="269">
        <v>29000</v>
      </c>
      <c r="H23" s="270">
        <v>40000</v>
      </c>
      <c r="I23" s="253"/>
      <c r="J23" s="271"/>
      <c r="K23" s="254"/>
      <c r="L23" s="254"/>
      <c r="M23" s="272"/>
      <c r="N23" s="256">
        <f t="shared" si="2"/>
        <v>0</v>
      </c>
      <c r="O23" s="257">
        <f t="shared" si="3"/>
        <v>0</v>
      </c>
      <c r="P23" s="258">
        <f>캠퍼스타운_외부원두영업!I23+잇다카페_외부원두영업!I23+푸른솔!I23+의과대학!I23+중앙도서관!I23+학생회관!I23+제2기숙사!I23+멀티미디어관!I23+선승관!I23+예술디자인대!I23+공학관!I23</f>
        <v>8000</v>
      </c>
      <c r="Q23" s="250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250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250">
        <f>캠퍼스타운_외부원두영업!L23+잇다카페_외부원두영업!L23+푸른솔!L23+의과대학!L23+중앙도서관!L23+학생회관!L23+멀티미디어관!L23+제2기숙사!L23+선승관!L23+예술디자인대!L23+공학관!L23</f>
        <v>16000</v>
      </c>
      <c r="T23" s="259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60">
        <f t="shared" si="5"/>
        <v>24000</v>
      </c>
      <c r="V23" s="261">
        <f t="shared" si="4"/>
        <v>87000</v>
      </c>
      <c r="W23" s="262">
        <f t="shared" si="6"/>
        <v>16000</v>
      </c>
      <c r="X23" s="263">
        <f t="shared" si="0"/>
        <v>58000</v>
      </c>
      <c r="Y23" s="363"/>
      <c r="Z23" s="133"/>
      <c r="AA23" s="132">
        <f t="shared" si="1"/>
        <v>0</v>
      </c>
      <c r="AB23" s="393"/>
      <c r="AC23" s="396"/>
    </row>
    <row r="24" spans="1:29">
      <c r="A24" s="391"/>
      <c r="B24" s="264" t="s">
        <v>34</v>
      </c>
      <c r="C24" s="248" t="s">
        <v>35</v>
      </c>
      <c r="D24" s="248" t="s">
        <v>36</v>
      </c>
      <c r="E24" s="342">
        <v>12000</v>
      </c>
      <c r="F24" s="250">
        <v>1</v>
      </c>
      <c r="G24" s="251">
        <v>12000</v>
      </c>
      <c r="H24" s="252">
        <v>4</v>
      </c>
      <c r="I24" s="253"/>
      <c r="J24" s="254"/>
      <c r="K24" s="254"/>
      <c r="L24" s="254"/>
      <c r="M24" s="255"/>
      <c r="N24" s="256">
        <f t="shared" si="2"/>
        <v>0</v>
      </c>
      <c r="O24" s="257">
        <f t="shared" si="3"/>
        <v>0</v>
      </c>
      <c r="P24" s="258">
        <f>캠퍼스타운_외부원두영업!I24+잇다카페_외부원두영업!I24+푸른솔!I24+의과대학!I24+중앙도서관!I24+학생회관!I24+제2기숙사!I24+멀티미디어관!I24+선승관!I24+예술디자인대!I24+공학관!I24</f>
        <v>0</v>
      </c>
      <c r="Q24" s="250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250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250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259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260">
        <f t="shared" si="5"/>
        <v>0</v>
      </c>
      <c r="V24" s="261">
        <f t="shared" si="4"/>
        <v>0</v>
      </c>
      <c r="W24" s="262">
        <f t="shared" si="6"/>
        <v>4</v>
      </c>
      <c r="X24" s="263">
        <f t="shared" si="0"/>
        <v>48000</v>
      </c>
      <c r="Y24" s="363"/>
      <c r="Z24" s="133"/>
      <c r="AA24" s="132">
        <f t="shared" si="1"/>
        <v>0</v>
      </c>
      <c r="AB24" s="393"/>
      <c r="AC24" s="396"/>
    </row>
    <row r="25" spans="1:29">
      <c r="A25" s="391"/>
      <c r="B25" s="248" t="s">
        <v>37</v>
      </c>
      <c r="C25" s="248" t="s">
        <v>21</v>
      </c>
      <c r="D25" s="248" t="s">
        <v>6</v>
      </c>
      <c r="E25" s="342">
        <v>6.4</v>
      </c>
      <c r="F25" s="250">
        <v>10000</v>
      </c>
      <c r="G25" s="251">
        <v>64000</v>
      </c>
      <c r="H25" s="252">
        <v>3000</v>
      </c>
      <c r="I25" s="253"/>
      <c r="J25" s="254">
        <v>10000</v>
      </c>
      <c r="K25" s="254"/>
      <c r="L25" s="254"/>
      <c r="M25" s="255"/>
      <c r="N25" s="256">
        <f t="shared" si="2"/>
        <v>10000</v>
      </c>
      <c r="O25" s="257">
        <f t="shared" si="3"/>
        <v>64000</v>
      </c>
      <c r="P25" s="258">
        <f>캠퍼스타운_외부원두영업!I25+잇다카페_외부원두영업!I25+푸른솔!I25+의과대학!I25+중앙도서관!I25+학생회관!I25+제2기숙사!I25+멀티미디어관!I25+선승관!I25+예술디자인대!I25+공학관!I25</f>
        <v>0</v>
      </c>
      <c r="Q25" s="250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250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250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259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60">
        <f t="shared" si="5"/>
        <v>0</v>
      </c>
      <c r="V25" s="261">
        <f t="shared" si="4"/>
        <v>0</v>
      </c>
      <c r="W25" s="262">
        <f t="shared" si="6"/>
        <v>13000</v>
      </c>
      <c r="X25" s="263">
        <f t="shared" si="0"/>
        <v>83200</v>
      </c>
      <c r="Y25" s="363"/>
      <c r="Z25" s="133"/>
      <c r="AA25" s="132">
        <f t="shared" si="1"/>
        <v>0</v>
      </c>
      <c r="AB25" s="393"/>
      <c r="AC25" s="396"/>
    </row>
    <row r="26" spans="1:29">
      <c r="A26" s="391"/>
      <c r="B26" s="248" t="s">
        <v>38</v>
      </c>
      <c r="C26" s="248" t="s">
        <v>21</v>
      </c>
      <c r="D26" s="248" t="s">
        <v>6</v>
      </c>
      <c r="E26" s="342">
        <v>6.8</v>
      </c>
      <c r="F26" s="250">
        <v>10000</v>
      </c>
      <c r="G26" s="251">
        <v>68000</v>
      </c>
      <c r="H26" s="252">
        <v>3000</v>
      </c>
      <c r="I26" s="253"/>
      <c r="J26" s="254">
        <v>10000</v>
      </c>
      <c r="K26" s="254"/>
      <c r="L26" s="254"/>
      <c r="M26" s="255"/>
      <c r="N26" s="256">
        <f t="shared" si="2"/>
        <v>10000</v>
      </c>
      <c r="O26" s="257">
        <f t="shared" si="3"/>
        <v>68000</v>
      </c>
      <c r="P26" s="258">
        <f>캠퍼스타운_외부원두영업!I26+잇다카페_외부원두영업!I26+푸른솔!I26+의과대학!I26+중앙도서관!I26+학생회관!I26+제2기숙사!I26+멀티미디어관!I26+선승관!I26+예술디자인대!I26+공학관!I26</f>
        <v>1000</v>
      </c>
      <c r="Q26" s="250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250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250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259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60">
        <f t="shared" si="5"/>
        <v>1000</v>
      </c>
      <c r="V26" s="261">
        <f t="shared" si="4"/>
        <v>6800</v>
      </c>
      <c r="W26" s="262">
        <f t="shared" si="6"/>
        <v>12000</v>
      </c>
      <c r="X26" s="263">
        <f t="shared" si="0"/>
        <v>81600</v>
      </c>
      <c r="Y26" s="363"/>
      <c r="Z26" s="133"/>
      <c r="AA26" s="132">
        <f t="shared" si="1"/>
        <v>0</v>
      </c>
      <c r="AB26" s="393"/>
      <c r="AC26" s="396"/>
    </row>
    <row r="27" spans="1:29">
      <c r="A27" s="391"/>
      <c r="B27" s="248" t="s">
        <v>39</v>
      </c>
      <c r="C27" s="248" t="s">
        <v>40</v>
      </c>
      <c r="D27" s="248" t="s">
        <v>6</v>
      </c>
      <c r="E27" s="342">
        <v>25</v>
      </c>
      <c r="F27" s="250">
        <v>200</v>
      </c>
      <c r="G27" s="251">
        <v>5000</v>
      </c>
      <c r="H27" s="252">
        <v>600</v>
      </c>
      <c r="I27" s="253"/>
      <c r="J27" s="254"/>
      <c r="K27" s="254"/>
      <c r="L27" s="254"/>
      <c r="M27" s="255"/>
      <c r="N27" s="256">
        <f t="shared" si="2"/>
        <v>0</v>
      </c>
      <c r="O27" s="257">
        <f t="shared" si="3"/>
        <v>0</v>
      </c>
      <c r="P27" s="258">
        <f>캠퍼스타운_외부원두영업!I27+잇다카페_외부원두영업!I27+푸른솔!I27+의과대학!I27+중앙도서관!I27+학생회관!I27+제2기숙사!I27+멀티미디어관!I27+선승관!I27+예술디자인대!I27+공학관!I27</f>
        <v>0</v>
      </c>
      <c r="Q27" s="250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250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250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259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60">
        <f t="shared" si="5"/>
        <v>0</v>
      </c>
      <c r="V27" s="261">
        <f t="shared" si="4"/>
        <v>0</v>
      </c>
      <c r="W27" s="262">
        <f t="shared" si="6"/>
        <v>600</v>
      </c>
      <c r="X27" s="263">
        <f t="shared" si="0"/>
        <v>15000</v>
      </c>
      <c r="Y27" s="363"/>
      <c r="Z27" s="133"/>
      <c r="AA27" s="132">
        <f t="shared" si="1"/>
        <v>0</v>
      </c>
      <c r="AB27" s="393"/>
      <c r="AC27" s="396"/>
    </row>
    <row r="28" spans="1:29">
      <c r="A28" s="391"/>
      <c r="B28" s="264" t="s">
        <v>41</v>
      </c>
      <c r="C28" s="266" t="s">
        <v>5</v>
      </c>
      <c r="D28" s="266" t="s">
        <v>6</v>
      </c>
      <c r="E28" s="344">
        <v>2100</v>
      </c>
      <c r="F28" s="268">
        <v>12</v>
      </c>
      <c r="G28" s="269">
        <v>25200</v>
      </c>
      <c r="H28" s="270">
        <v>27</v>
      </c>
      <c r="I28" s="253"/>
      <c r="J28" s="271">
        <v>24</v>
      </c>
      <c r="K28" s="254"/>
      <c r="L28" s="254"/>
      <c r="M28" s="272"/>
      <c r="N28" s="256">
        <f t="shared" si="2"/>
        <v>24</v>
      </c>
      <c r="O28" s="257">
        <f t="shared" si="3"/>
        <v>50400</v>
      </c>
      <c r="P28" s="258">
        <f>캠퍼스타운_외부원두영업!I28+잇다카페_외부원두영업!I28+푸른솔!I28+의과대학!I28+중앙도서관!I28+학생회관!I28+제2기숙사!I28+멀티미디어관!I28+선승관!I28+예술디자인대!I28+공학관!I28</f>
        <v>0</v>
      </c>
      <c r="Q28" s="250">
        <f>캠퍼스타운_외부원두영업!J28+잇다카페_외부원두영업!J28+푸른솔!J28+의과대학!J28+중앙도서관!J28+학생회관!J28+멀티미디어관!J28+제2기숙사!J28+선승관!J28+예술디자인대!J28+공학관!J28</f>
        <v>6</v>
      </c>
      <c r="R28" s="250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250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259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260">
        <f t="shared" si="5"/>
        <v>6</v>
      </c>
      <c r="V28" s="261">
        <f t="shared" si="4"/>
        <v>12600</v>
      </c>
      <c r="W28" s="262">
        <f t="shared" si="6"/>
        <v>45</v>
      </c>
      <c r="X28" s="263">
        <f t="shared" si="0"/>
        <v>94500</v>
      </c>
      <c r="Y28" s="363"/>
      <c r="Z28" s="133"/>
      <c r="AA28" s="132">
        <f t="shared" si="1"/>
        <v>0</v>
      </c>
      <c r="AB28" s="393"/>
      <c r="AC28" s="396"/>
    </row>
    <row r="29" spans="1:29">
      <c r="A29" s="391"/>
      <c r="B29" s="264" t="s">
        <v>42</v>
      </c>
      <c r="C29" s="264" t="s">
        <v>5</v>
      </c>
      <c r="D29" s="264" t="s">
        <v>6</v>
      </c>
      <c r="E29" s="343">
        <v>2100</v>
      </c>
      <c r="F29" s="250">
        <v>12</v>
      </c>
      <c r="G29" s="251">
        <v>25200</v>
      </c>
      <c r="H29" s="252">
        <v>19</v>
      </c>
      <c r="I29" s="253"/>
      <c r="J29" s="254">
        <v>12</v>
      </c>
      <c r="K29" s="254"/>
      <c r="L29" s="254"/>
      <c r="M29" s="255"/>
      <c r="N29" s="256">
        <f t="shared" si="2"/>
        <v>12</v>
      </c>
      <c r="O29" s="257">
        <f t="shared" si="3"/>
        <v>25200</v>
      </c>
      <c r="P29" s="258">
        <f>캠퍼스타운_외부원두영업!I29+잇다카페_외부원두영업!I29+푸른솔!I29+의과대학!I29+중앙도서관!I29+학생회관!I29+제2기숙사!I29+멀티미디어관!I29+선승관!I29+예술디자인대!I29+공학관!I29</f>
        <v>0</v>
      </c>
      <c r="Q29" s="250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250">
        <f>캠퍼스타운_외부원두영업!K29+잇다카페_외부원두영업!K29+푸른솔!K29+의과대학!K29+중앙도서관!K29+학생회관!K29+제2기숙사!K29+멀티미디어관!K29+선승관!K29+예술디자인대!K29+공학관!K29</f>
        <v>6</v>
      </c>
      <c r="S29" s="250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259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60">
        <f>P29+Q29+R29+S29+T29</f>
        <v>6</v>
      </c>
      <c r="V29" s="261">
        <f t="shared" si="4"/>
        <v>12600</v>
      </c>
      <c r="W29" s="262">
        <f t="shared" si="6"/>
        <v>25</v>
      </c>
      <c r="X29" s="263">
        <f t="shared" si="0"/>
        <v>52500</v>
      </c>
      <c r="Y29" s="363"/>
      <c r="Z29" s="133"/>
      <c r="AA29" s="132">
        <f t="shared" si="1"/>
        <v>0</v>
      </c>
      <c r="AB29" s="393"/>
      <c r="AC29" s="396"/>
    </row>
    <row r="30" spans="1:29">
      <c r="A30" s="391"/>
      <c r="B30" s="264" t="s">
        <v>43</v>
      </c>
      <c r="C30" s="248" t="s">
        <v>5</v>
      </c>
      <c r="D30" s="248" t="s">
        <v>6</v>
      </c>
      <c r="E30" s="342">
        <v>2100</v>
      </c>
      <c r="F30" s="250">
        <v>12</v>
      </c>
      <c r="G30" s="251">
        <v>25200</v>
      </c>
      <c r="H30" s="252">
        <v>14</v>
      </c>
      <c r="I30" s="253"/>
      <c r="J30" s="254">
        <v>12</v>
      </c>
      <c r="K30" s="254"/>
      <c r="L30" s="254"/>
      <c r="M30" s="255"/>
      <c r="N30" s="256">
        <f t="shared" si="2"/>
        <v>12</v>
      </c>
      <c r="O30" s="257">
        <f t="shared" si="3"/>
        <v>25200</v>
      </c>
      <c r="P30" s="258">
        <f>캠퍼스타운_외부원두영업!I30+잇다카페_외부원두영업!I30+푸른솔!I30+의과대학!I30+중앙도서관!I30+학생회관!I30+제2기숙사!I30+멀티미디어관!I30+선승관!I30+예술디자인대!I30+공학관!I30</f>
        <v>0</v>
      </c>
      <c r="Q30" s="250">
        <f>캠퍼스타운_외부원두영업!J30+잇다카페_외부원두영업!J30+푸른솔!J30+의과대학!J30+중앙도서관!J30+학생회관!J30+멀티미디어관!J30+제2기숙사!J30+선승관!J30+예술디자인대!J30+공학관!J30</f>
        <v>0</v>
      </c>
      <c r="R30" s="250">
        <f>캠퍼스타운_외부원두영업!K30+잇다카페_외부원두영업!K30+푸른솔!K30+의과대학!K30+중앙도서관!K30+학생회관!K30+제2기숙사!K30+멀티미디어관!K30+선승관!K30+예술디자인대!K30+공학관!K30</f>
        <v>6</v>
      </c>
      <c r="S30" s="250">
        <f>캠퍼스타운_외부원두영업!L30+잇다카페_외부원두영업!L30+푸른솔!L30+의과대학!L30+중앙도서관!L30+학생회관!L30+멀티미디어관!L30+제2기숙사!L30+선승관!L30+예술디자인대!L30+공학관!L30</f>
        <v>0</v>
      </c>
      <c r="T30" s="259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260">
        <f t="shared" si="5"/>
        <v>6</v>
      </c>
      <c r="V30" s="261">
        <f t="shared" si="4"/>
        <v>12600</v>
      </c>
      <c r="W30" s="262">
        <f t="shared" si="6"/>
        <v>20</v>
      </c>
      <c r="X30" s="263">
        <f t="shared" si="0"/>
        <v>42000</v>
      </c>
      <c r="Y30" s="363"/>
      <c r="Z30" s="133"/>
      <c r="AA30" s="132">
        <f t="shared" si="1"/>
        <v>0</v>
      </c>
      <c r="AB30" s="393"/>
      <c r="AC30" s="396"/>
    </row>
    <row r="31" spans="1:29">
      <c r="A31" s="391"/>
      <c r="B31" s="264" t="s">
        <v>44</v>
      </c>
      <c r="C31" s="264" t="s">
        <v>45</v>
      </c>
      <c r="D31" s="264" t="s">
        <v>6</v>
      </c>
      <c r="E31" s="343">
        <v>2800</v>
      </c>
      <c r="F31" s="250">
        <v>6</v>
      </c>
      <c r="G31" s="251">
        <v>16800</v>
      </c>
      <c r="H31" s="252">
        <v>0</v>
      </c>
      <c r="I31" s="253"/>
      <c r="J31" s="254"/>
      <c r="K31" s="254"/>
      <c r="L31" s="254"/>
      <c r="M31" s="255"/>
      <c r="N31" s="256">
        <f t="shared" si="2"/>
        <v>0</v>
      </c>
      <c r="O31" s="257">
        <f t="shared" si="3"/>
        <v>0</v>
      </c>
      <c r="P31" s="258">
        <f>캠퍼스타운_외부원두영업!I31+잇다카페_외부원두영업!I31+푸른솔!I31+의과대학!I31+중앙도서관!I31+학생회관!I31+제2기숙사!I31+멀티미디어관!I31+선승관!I31+예술디자인대!I31+공학관!I31</f>
        <v>0</v>
      </c>
      <c r="Q31" s="250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250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250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259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60">
        <f t="shared" si="5"/>
        <v>0</v>
      </c>
      <c r="V31" s="261">
        <f t="shared" si="4"/>
        <v>0</v>
      </c>
      <c r="W31" s="262">
        <f t="shared" si="6"/>
        <v>0</v>
      </c>
      <c r="X31" s="263">
        <f t="shared" si="0"/>
        <v>0</v>
      </c>
      <c r="Y31" s="363"/>
      <c r="Z31" s="133"/>
      <c r="AA31" s="132">
        <f t="shared" si="1"/>
        <v>0</v>
      </c>
      <c r="AB31" s="393"/>
      <c r="AC31" s="396"/>
    </row>
    <row r="32" spans="1:29">
      <c r="A32" s="391"/>
      <c r="B32" s="264" t="s">
        <v>121</v>
      </c>
      <c r="C32" s="264" t="s">
        <v>119</v>
      </c>
      <c r="D32" s="264" t="s">
        <v>6</v>
      </c>
      <c r="E32" s="343">
        <v>3200</v>
      </c>
      <c r="F32" s="250">
        <v>6</v>
      </c>
      <c r="G32" s="251">
        <v>19200</v>
      </c>
      <c r="H32" s="252">
        <v>34</v>
      </c>
      <c r="I32" s="253"/>
      <c r="J32" s="254">
        <v>12</v>
      </c>
      <c r="K32" s="254"/>
      <c r="L32" s="254"/>
      <c r="M32" s="255"/>
      <c r="N32" s="256">
        <f>I32+J32+K32+L32+M32</f>
        <v>12</v>
      </c>
      <c r="O32" s="257">
        <f>E32*N32</f>
        <v>38400</v>
      </c>
      <c r="P32" s="258">
        <f>캠퍼스타운_외부원두영업!I32+잇다카페_외부원두영업!I32+푸른솔!I32+의과대학!I32+중앙도서관!I32+학생회관!I32+제2기숙사!I32+멀티미디어관!I32+선승관!I32+예술디자인대!I32+공학관!I32</f>
        <v>4</v>
      </c>
      <c r="Q32" s="250">
        <f>캠퍼스타운_외부원두영업!J32+잇다카페_외부원두영업!J32+푸른솔!J32+의과대학!J32+중앙도서관!J32+학생회관!J32+멀티미디어관!J32+제2기숙사!J32+선승관!J32+예술디자인대!J32+공학관!J32</f>
        <v>5</v>
      </c>
      <c r="R32" s="250">
        <f>캠퍼스타운_외부원두영업!K32+잇다카페_외부원두영업!K32+푸른솔!K32+의과대학!K32+중앙도서관!K32+학생회관!K32+제2기숙사!K32+멀티미디어관!K32+선승관!K32+예술디자인대!K32+공학관!K32</f>
        <v>6</v>
      </c>
      <c r="S32" s="250">
        <f>캠퍼스타운_외부원두영업!L32+잇다카페_외부원두영업!L32+푸른솔!L32+의과대학!L32+중앙도서관!L32+학생회관!L32+멀티미디어관!L32+제2기숙사!L32+선승관!L32+예술디자인대!L32+공학관!L32</f>
        <v>3</v>
      </c>
      <c r="T32" s="259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260">
        <f t="shared" si="5"/>
        <v>18</v>
      </c>
      <c r="V32" s="261">
        <f>E32*U32</f>
        <v>57600</v>
      </c>
      <c r="W32" s="262">
        <f>(H32+N32)-U32</f>
        <v>28</v>
      </c>
      <c r="X32" s="263">
        <f t="shared" si="0"/>
        <v>89600</v>
      </c>
      <c r="Y32" s="363"/>
      <c r="Z32" s="133"/>
      <c r="AA32" s="132">
        <f t="shared" si="1"/>
        <v>0</v>
      </c>
      <c r="AB32" s="393"/>
      <c r="AC32" s="396"/>
    </row>
    <row r="33" spans="1:29">
      <c r="A33" s="391"/>
      <c r="B33" s="274" t="s">
        <v>46</v>
      </c>
      <c r="C33" s="275" t="s">
        <v>47</v>
      </c>
      <c r="D33" s="275" t="s">
        <v>6</v>
      </c>
      <c r="E33" s="348">
        <v>410</v>
      </c>
      <c r="F33" s="276">
        <v>20</v>
      </c>
      <c r="G33" s="277">
        <v>8200</v>
      </c>
      <c r="H33" s="270">
        <v>100</v>
      </c>
      <c r="I33" s="253"/>
      <c r="J33" s="271">
        <v>40</v>
      </c>
      <c r="K33" s="254"/>
      <c r="L33" s="254"/>
      <c r="M33" s="272"/>
      <c r="N33" s="256">
        <f t="shared" si="2"/>
        <v>40</v>
      </c>
      <c r="O33" s="257">
        <f t="shared" si="3"/>
        <v>16400</v>
      </c>
      <c r="P33" s="258">
        <f>캠퍼스타운_외부원두영업!I33+잇다카페_외부원두영업!I33+푸른솔!I33+의과대학!I33+중앙도서관!I33+학생회관!I33+제2기숙사!I33+멀티미디어관!I33+선승관!I33+예술디자인대!I33+공학관!I33</f>
        <v>20</v>
      </c>
      <c r="Q33" s="250">
        <f>캠퍼스타운_외부원두영업!J33+잇다카페_외부원두영업!J33+푸른솔!J33+의과대학!J33+중앙도서관!J33+학생회관!J33+멀티미디어관!J33+제2기숙사!J33+선승관!J33+예술디자인대!J33+공학관!J33</f>
        <v>20</v>
      </c>
      <c r="R33" s="250">
        <f>캠퍼스타운_외부원두영업!K33+잇다카페_외부원두영업!K33+푸른솔!K33+의과대학!K33+중앙도서관!K33+학생회관!K33+제2기숙사!K33+멀티미디어관!K33+선승관!K33+예술디자인대!K33+공학관!K33</f>
        <v>0</v>
      </c>
      <c r="S33" s="250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251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278">
        <f t="shared" si="5"/>
        <v>60</v>
      </c>
      <c r="V33" s="261">
        <f t="shared" si="4"/>
        <v>24600</v>
      </c>
      <c r="W33" s="262">
        <f t="shared" si="6"/>
        <v>80</v>
      </c>
      <c r="X33" s="263">
        <f t="shared" si="0"/>
        <v>32800</v>
      </c>
      <c r="Y33" s="363"/>
      <c r="Z33" s="133"/>
      <c r="AA33" s="132">
        <f t="shared" si="1"/>
        <v>0</v>
      </c>
      <c r="AB33" s="393"/>
      <c r="AC33" s="396"/>
    </row>
    <row r="34" spans="1:29" ht="18" customHeight="1">
      <c r="A34" s="391"/>
      <c r="B34" s="248" t="s">
        <v>48</v>
      </c>
      <c r="C34" s="248" t="s">
        <v>5</v>
      </c>
      <c r="D34" s="248" t="s">
        <v>6</v>
      </c>
      <c r="E34" s="342">
        <v>7200</v>
      </c>
      <c r="F34" s="250">
        <v>12</v>
      </c>
      <c r="G34" s="259">
        <v>86400</v>
      </c>
      <c r="H34" s="270">
        <v>0</v>
      </c>
      <c r="I34" s="253"/>
      <c r="J34" s="271"/>
      <c r="K34" s="254"/>
      <c r="L34" s="254"/>
      <c r="M34" s="272"/>
      <c r="N34" s="256">
        <f t="shared" si="2"/>
        <v>0</v>
      </c>
      <c r="O34" s="257">
        <f t="shared" si="3"/>
        <v>0</v>
      </c>
      <c r="P34" s="258">
        <f>캠퍼스타운_외부원두영업!I34+잇다카페_외부원두영업!I34+푸른솔!I34+의과대학!I34+중앙도서관!I34+학생회관!I34+제2기숙사!I34+멀티미디어관!I34+선승관!I34+예술디자인대!I34+공학관!I34</f>
        <v>0</v>
      </c>
      <c r="Q34" s="250">
        <f>캠퍼스타운_외부원두영업!J34+잇다카페_외부원두영업!J34+푸른솔!J34+의과대학!J34+중앙도서관!J34+학생회관!J34+멀티미디어관!J34+제2기숙사!J34+선승관!J34+예술디자인대!J34+공학관!J34</f>
        <v>0</v>
      </c>
      <c r="R34" s="250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250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259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60">
        <f t="shared" si="5"/>
        <v>0</v>
      </c>
      <c r="V34" s="261">
        <f t="shared" si="4"/>
        <v>0</v>
      </c>
      <c r="W34" s="262">
        <f>(H34+N34)-U34</f>
        <v>0</v>
      </c>
      <c r="X34" s="263">
        <f t="shared" si="0"/>
        <v>0</v>
      </c>
      <c r="Y34" s="363"/>
      <c r="Z34" s="133"/>
      <c r="AA34" s="132">
        <f t="shared" si="1"/>
        <v>0</v>
      </c>
      <c r="AB34" s="393"/>
      <c r="AC34" s="396"/>
    </row>
    <row r="35" spans="1:29">
      <c r="A35" s="391"/>
      <c r="B35" s="279" t="s">
        <v>150</v>
      </c>
      <c r="C35" s="248" t="s">
        <v>5</v>
      </c>
      <c r="D35" s="248" t="s">
        <v>6</v>
      </c>
      <c r="E35" s="342">
        <v>7700</v>
      </c>
      <c r="F35" s="250">
        <v>12</v>
      </c>
      <c r="G35" s="259">
        <f>E35*F35</f>
        <v>92400</v>
      </c>
      <c r="H35" s="270">
        <v>172</v>
      </c>
      <c r="I35" s="253"/>
      <c r="J35" s="271">
        <v>120</v>
      </c>
      <c r="K35" s="254"/>
      <c r="L35" s="254"/>
      <c r="M35" s="272"/>
      <c r="N35" s="256">
        <f>I35+J35+K35+L35+M35</f>
        <v>120</v>
      </c>
      <c r="O35" s="257">
        <f>E35*N35</f>
        <v>924000</v>
      </c>
      <c r="P35" s="258">
        <f>캠퍼스타운_외부원두영업!I35+잇다카페_외부원두영업!I35+푸른솔!I35+의과대학!I35+중앙도서관!I35+학생회관!I35+제2기숙사!I35+멀티미디어관!I35+선승관!I35+예술디자인대!I35+공학관!I35</f>
        <v>23</v>
      </c>
      <c r="Q35" s="250">
        <f>캠퍼스타운_외부원두영업!J35+잇다카페_외부원두영업!J35+푸른솔!J35+의과대학!J35+중앙도서관!J35+학생회관!J35+멀티미디어관!J35+제2기숙사!J35+선승관!J35+예술디자인대!J35+공학관!J35</f>
        <v>8</v>
      </c>
      <c r="R35" s="250">
        <f>캠퍼스타운_외부원두영업!K35+잇다카페_외부원두영업!K35+푸른솔!K35+의과대학!K35+중앙도서관!K35+학생회관!K35+제2기숙사!K35+멀티미디어관!K35+선승관!K35+예술디자인대!K35+공학관!K35</f>
        <v>27</v>
      </c>
      <c r="S35" s="250">
        <f>캠퍼스타운_외부원두영업!L35+잇다카페_외부원두영업!L35+푸른솔!L35+의과대학!L35+중앙도서관!L35+학생회관!L35+멀티미디어관!L35+제2기숙사!L35+선승관!L35+예술디자인대!L35+공학관!L35</f>
        <v>26</v>
      </c>
      <c r="T35" s="259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260">
        <f t="shared" si="5"/>
        <v>84</v>
      </c>
      <c r="V35" s="261">
        <f>E35*U35</f>
        <v>646800</v>
      </c>
      <c r="W35" s="262">
        <f>(H35+N35)-U35</f>
        <v>208</v>
      </c>
      <c r="X35" s="263">
        <f t="shared" si="0"/>
        <v>1601600</v>
      </c>
      <c r="Y35" s="363"/>
      <c r="Z35" s="133"/>
      <c r="AA35" s="132">
        <f t="shared" si="1"/>
        <v>0</v>
      </c>
      <c r="AB35" s="393"/>
      <c r="AC35" s="396"/>
    </row>
    <row r="36" spans="1:29">
      <c r="A36" s="391"/>
      <c r="B36" s="248" t="s">
        <v>49</v>
      </c>
      <c r="C36" s="248" t="s">
        <v>5</v>
      </c>
      <c r="D36" s="248" t="s">
        <v>6</v>
      </c>
      <c r="E36" s="342">
        <v>1350</v>
      </c>
      <c r="F36" s="250">
        <v>12</v>
      </c>
      <c r="G36" s="251">
        <v>16200</v>
      </c>
      <c r="H36" s="270">
        <v>104</v>
      </c>
      <c r="I36" s="253"/>
      <c r="J36" s="271">
        <v>60</v>
      </c>
      <c r="K36" s="254"/>
      <c r="L36" s="254"/>
      <c r="M36" s="272"/>
      <c r="N36" s="256">
        <f t="shared" si="2"/>
        <v>60</v>
      </c>
      <c r="O36" s="257">
        <f t="shared" si="3"/>
        <v>81000</v>
      </c>
      <c r="P36" s="258">
        <f>캠퍼스타운_외부원두영업!I36+잇다카페_외부원두영업!I36+푸른솔!I36+의과대학!I36+중앙도서관!I36+학생회관!I36+제2기숙사!I36+멀티미디어관!I36+선승관!I36+예술디자인대!I36+공학관!I36</f>
        <v>11</v>
      </c>
      <c r="Q36" s="250">
        <f>캠퍼스타운_외부원두영업!J36+잇다카페_외부원두영업!J36+푸른솔!J36+의과대학!J36+중앙도서관!J36+학생회관!J36+멀티미디어관!J36+제2기숙사!J36+선승관!J36+예술디자인대!J36+공학관!J36</f>
        <v>12</v>
      </c>
      <c r="R36" s="250">
        <f>캠퍼스타운_외부원두영업!K36+잇다카페_외부원두영업!K36+푸른솔!K36+의과대학!K36+중앙도서관!K36+학생회관!K36+제2기숙사!K36+멀티미디어관!K36+선승관!K36+예술디자인대!K36+공학관!K36</f>
        <v>12</v>
      </c>
      <c r="S36" s="250">
        <f>캠퍼스타운_외부원두영업!L36+잇다카페_외부원두영업!L36+푸른솔!L36+의과대학!L36+중앙도서관!L36+학생회관!L36+멀티미디어관!L36+제2기숙사!L36+선승관!L36+예술디자인대!L36+공학관!L36</f>
        <v>10</v>
      </c>
      <c r="T36" s="259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260">
        <f t="shared" si="5"/>
        <v>45</v>
      </c>
      <c r="V36" s="261">
        <f t="shared" si="4"/>
        <v>60750</v>
      </c>
      <c r="W36" s="262">
        <f t="shared" si="6"/>
        <v>119</v>
      </c>
      <c r="X36" s="263">
        <f t="shared" si="0"/>
        <v>160650</v>
      </c>
      <c r="Y36" s="363"/>
      <c r="Z36" s="133"/>
      <c r="AA36" s="132">
        <f t="shared" si="1"/>
        <v>0</v>
      </c>
      <c r="AB36" s="393"/>
      <c r="AC36" s="396"/>
    </row>
    <row r="37" spans="1:29">
      <c r="A37" s="391"/>
      <c r="B37" s="248" t="s">
        <v>117</v>
      </c>
      <c r="C37" s="248" t="s">
        <v>50</v>
      </c>
      <c r="D37" s="248" t="s">
        <v>6</v>
      </c>
      <c r="E37" s="342">
        <v>6870</v>
      </c>
      <c r="F37" s="250">
        <v>8</v>
      </c>
      <c r="G37" s="251">
        <v>54960</v>
      </c>
      <c r="H37" s="252">
        <v>0</v>
      </c>
      <c r="I37" s="253"/>
      <c r="J37" s="254"/>
      <c r="K37" s="254"/>
      <c r="L37" s="254"/>
      <c r="M37" s="255"/>
      <c r="N37" s="256">
        <f t="shared" si="2"/>
        <v>0</v>
      </c>
      <c r="O37" s="257">
        <f t="shared" si="3"/>
        <v>0</v>
      </c>
      <c r="P37" s="258">
        <f>캠퍼스타운_외부원두영업!I37+잇다카페_외부원두영업!I37+푸른솔!I37+의과대학!I37+중앙도서관!I37+학생회관!I37+제2기숙사!I37+멀티미디어관!I37+선승관!I37+예술디자인대!I37+공학관!I37</f>
        <v>0</v>
      </c>
      <c r="Q37" s="250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250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250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259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260">
        <f t="shared" si="5"/>
        <v>0</v>
      </c>
      <c r="V37" s="261">
        <f t="shared" si="4"/>
        <v>0</v>
      </c>
      <c r="W37" s="262">
        <f>(H37+N37)-U37</f>
        <v>0</v>
      </c>
      <c r="X37" s="263">
        <f t="shared" ref="X37:X70" si="8">E37*W37</f>
        <v>0</v>
      </c>
      <c r="Y37" s="363"/>
      <c r="Z37" s="133"/>
      <c r="AA37" s="132">
        <f t="shared" si="1"/>
        <v>0</v>
      </c>
      <c r="AB37" s="393"/>
      <c r="AC37" s="396"/>
    </row>
    <row r="38" spans="1:29">
      <c r="A38" s="391"/>
      <c r="B38" s="274" t="s">
        <v>118</v>
      </c>
      <c r="C38" s="248" t="s">
        <v>50</v>
      </c>
      <c r="D38" s="248" t="s">
        <v>6</v>
      </c>
      <c r="E38" s="342">
        <v>6870</v>
      </c>
      <c r="F38" s="250">
        <v>8</v>
      </c>
      <c r="G38" s="251">
        <v>54960</v>
      </c>
      <c r="H38" s="252">
        <v>0</v>
      </c>
      <c r="I38" s="253"/>
      <c r="J38" s="254"/>
      <c r="K38" s="254"/>
      <c r="L38" s="254"/>
      <c r="M38" s="255"/>
      <c r="N38" s="256">
        <f t="shared" si="2"/>
        <v>0</v>
      </c>
      <c r="O38" s="257">
        <f t="shared" si="3"/>
        <v>0</v>
      </c>
      <c r="P38" s="258">
        <f>캠퍼스타운_외부원두영업!I38+잇다카페_외부원두영업!I38+푸른솔!I38+의과대학!I38+중앙도서관!I38+학생회관!I38+제2기숙사!I38+멀티미디어관!I38+선승관!I38+예술디자인대!I38+공학관!I38</f>
        <v>0</v>
      </c>
      <c r="Q38" s="250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50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250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259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260">
        <f t="shared" si="5"/>
        <v>0</v>
      </c>
      <c r="V38" s="261">
        <f t="shared" si="4"/>
        <v>0</v>
      </c>
      <c r="W38" s="262">
        <f t="shared" si="6"/>
        <v>0</v>
      </c>
      <c r="X38" s="263">
        <f t="shared" si="8"/>
        <v>0</v>
      </c>
      <c r="Y38" s="363"/>
      <c r="Z38" s="133"/>
      <c r="AA38" s="132">
        <f t="shared" si="1"/>
        <v>0</v>
      </c>
      <c r="AB38" s="393"/>
      <c r="AC38" s="396"/>
    </row>
    <row r="39" spans="1:29">
      <c r="A39" s="391"/>
      <c r="B39" s="248" t="s">
        <v>145</v>
      </c>
      <c r="C39" s="280" t="s">
        <v>50</v>
      </c>
      <c r="D39" s="280" t="s">
        <v>6</v>
      </c>
      <c r="E39" s="349">
        <v>7360</v>
      </c>
      <c r="F39" s="281">
        <v>8</v>
      </c>
      <c r="G39" s="251">
        <f>E39*F39</f>
        <v>58880</v>
      </c>
      <c r="H39" s="282">
        <v>50</v>
      </c>
      <c r="I39" s="283"/>
      <c r="J39" s="284">
        <v>40</v>
      </c>
      <c r="K39" s="254"/>
      <c r="L39" s="284"/>
      <c r="M39" s="285"/>
      <c r="N39" s="286">
        <f>I39+J39+K39+L39+M39</f>
        <v>40</v>
      </c>
      <c r="O39" s="287">
        <f>E39*N39</f>
        <v>294400</v>
      </c>
      <c r="P39" s="258">
        <f>캠퍼스타운_외부원두영업!I39+잇다카페_외부원두영업!I39+푸른솔!I39+의과대학!I39+중앙도서관!I39+학생회관!I39+제2기숙사!I39+멀티미디어관!I39+선승관!I39+예술디자인대!I39+공학관!I39</f>
        <v>13</v>
      </c>
      <c r="Q39" s="250">
        <f>캠퍼스타운_외부원두영업!J39+잇다카페_외부원두영업!J39+푸른솔!J39+의과대학!J39+중앙도서관!J39+학생회관!J39+멀티미디어관!J39+제2기숙사!J39+선승관!J39+예술디자인대!J39+공학관!J39</f>
        <v>9</v>
      </c>
      <c r="R39" s="250">
        <f>캠퍼스타운_외부원두영업!K39+잇다카페_외부원두영업!K39+푸른솔!K39+의과대학!K39+중앙도서관!K39+학생회관!K39+제2기숙사!K39+멀티미디어관!K39+선승관!K39+예술디자인대!K39+공학관!K39</f>
        <v>10</v>
      </c>
      <c r="S39" s="250">
        <f>캠퍼스타운_외부원두영업!L39+잇다카페_외부원두영업!L39+푸른솔!L39+의과대학!L39+중앙도서관!L39+학생회관!L39+멀티미디어관!L39+제2기숙사!L39+선승관!L39+예술디자인대!L39+공학관!L39</f>
        <v>11</v>
      </c>
      <c r="T39" s="259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260">
        <f t="shared" si="5"/>
        <v>43</v>
      </c>
      <c r="V39" s="288">
        <f>E39*U39</f>
        <v>316480</v>
      </c>
      <c r="W39" s="289">
        <f>(H39+N39)-U39</f>
        <v>47</v>
      </c>
      <c r="X39" s="290">
        <f t="shared" si="8"/>
        <v>345920</v>
      </c>
      <c r="Y39" s="362"/>
      <c r="Z39" s="133"/>
      <c r="AA39" s="132">
        <f t="shared" si="1"/>
        <v>0</v>
      </c>
      <c r="AB39" s="393"/>
      <c r="AC39" s="396"/>
    </row>
    <row r="40" spans="1:29" ht="17.25" thickBot="1">
      <c r="A40" s="390"/>
      <c r="B40" s="274" t="s">
        <v>146</v>
      </c>
      <c r="C40" s="291" t="s">
        <v>50</v>
      </c>
      <c r="D40" s="291" t="s">
        <v>6</v>
      </c>
      <c r="E40" s="350">
        <v>7360</v>
      </c>
      <c r="F40" s="292">
        <v>8</v>
      </c>
      <c r="G40" s="251">
        <f>E40*F40</f>
        <v>58880</v>
      </c>
      <c r="H40" s="293">
        <v>18</v>
      </c>
      <c r="I40" s="294"/>
      <c r="J40" s="295">
        <v>24</v>
      </c>
      <c r="K40" s="254"/>
      <c r="L40" s="295"/>
      <c r="M40" s="296"/>
      <c r="N40" s="297">
        <f>I40+J40+K40+L40+M40</f>
        <v>24</v>
      </c>
      <c r="O40" s="298">
        <f>E40*N40</f>
        <v>176640</v>
      </c>
      <c r="P40" s="258">
        <f>캠퍼스타운_외부원두영업!I40+잇다카페_외부원두영업!I40+푸른솔!I40+의과대학!I40+중앙도서관!I40+학생회관!I40+제2기숙사!I40+멀티미디어관!I40+선승관!I40+예술디자인대!I40+공학관!I40</f>
        <v>4</v>
      </c>
      <c r="Q40" s="300">
        <f>캠퍼스타운_외부원두영업!J40+잇다카페_외부원두영업!J40+푸른솔!J40+의과대학!J40+중앙도서관!J40+학생회관!J40+멀티미디어관!J40+제2기숙사!J40+선승관!J40+예술디자인대!J40+공학관!J40</f>
        <v>4</v>
      </c>
      <c r="R40" s="300">
        <f>캠퍼스타운_외부원두영업!K40+잇다카페_외부원두영업!K40+푸른솔!K40+의과대학!K40+중앙도서관!K40+학생회관!K40+제2기숙사!K40+멀티미디어관!K40+선승관!K40+예술디자인대!K40+공학관!K40</f>
        <v>4</v>
      </c>
      <c r="S40" s="300">
        <f>캠퍼스타운_외부원두영업!L40+잇다카페_외부원두영업!L40+푸른솔!L40+의과대학!L40+중앙도서관!L40+학생회관!L40+멀티미디어관!L40+제2기숙사!L40+선승관!L40+예술디자인대!L40+공학관!L40</f>
        <v>5</v>
      </c>
      <c r="T40" s="301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260">
        <f t="shared" si="5"/>
        <v>17</v>
      </c>
      <c r="V40" s="302">
        <f>E40*U40</f>
        <v>125120</v>
      </c>
      <c r="W40" s="303">
        <f>(H40+N40)-U40</f>
        <v>25</v>
      </c>
      <c r="X40" s="304">
        <f t="shared" si="8"/>
        <v>184000</v>
      </c>
      <c r="Y40" s="364"/>
      <c r="Z40" s="133"/>
      <c r="AA40" s="142">
        <f t="shared" si="1"/>
        <v>0</v>
      </c>
      <c r="AB40" s="394"/>
      <c r="AC40" s="397"/>
    </row>
    <row r="41" spans="1:29">
      <c r="A41" s="382" t="s">
        <v>113</v>
      </c>
      <c r="B41" s="232" t="s">
        <v>52</v>
      </c>
      <c r="C41" s="232" t="s">
        <v>53</v>
      </c>
      <c r="D41" s="232" t="s">
        <v>6</v>
      </c>
      <c r="E41" s="351">
        <v>6.4</v>
      </c>
      <c r="F41" s="234">
        <v>500</v>
      </c>
      <c r="G41" s="235">
        <v>3200</v>
      </c>
      <c r="H41" s="236">
        <v>2300</v>
      </c>
      <c r="I41" s="237"/>
      <c r="J41" s="238"/>
      <c r="K41" s="238"/>
      <c r="L41" s="238"/>
      <c r="M41" s="239"/>
      <c r="N41" s="240">
        <f t="shared" si="2"/>
        <v>0</v>
      </c>
      <c r="O41" s="241">
        <f t="shared" si="3"/>
        <v>0</v>
      </c>
      <c r="P41" s="316">
        <f>캠퍼스타운_외부원두영업!I41+잇다카페_외부원두영업!I41+푸른솔!I41+의과대학!I41+중앙도서관!I41+학생회관!I41+제2기숙사!I41+멀티미디어관!I41+선승관!I41+예술디자인대!I41+공학관!I41</f>
        <v>300</v>
      </c>
      <c r="Q41" s="234">
        <f>캠퍼스타운_외부원두영업!J41+잇다카페_외부원두영업!J41+푸른솔!J41+의과대학!J41+중앙도서관!J41+학생회관!J41+멀티미디어관!J41+제2기숙사!J41+선승관!J41+예술디자인대!J41+공학관!J41</f>
        <v>500</v>
      </c>
      <c r="R41" s="234">
        <f>캠퍼스타운_외부원두영업!K41+잇다카페_외부원두영업!K41+푸른솔!K41+의과대학!K41+중앙도서관!K41+학생회관!K41+제2기숙사!K41+멀티미디어관!K41+선승관!K41+예술디자인대!K41+공학관!K41</f>
        <v>300</v>
      </c>
      <c r="S41" s="234">
        <f>캠퍼스타운_외부원두영업!L41+잇다카페_외부원두영업!L41+푸른솔!L41+의과대학!L41+중앙도서관!L41+학생회관!L41+멀티미디어관!L41+제2기숙사!L41+선승관!L41+예술디자인대!L41+공학관!L41</f>
        <v>100</v>
      </c>
      <c r="T41" s="243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244">
        <f t="shared" ref="U41:U74" si="9">P41+Q41+R41+S41+T41</f>
        <v>1200</v>
      </c>
      <c r="V41" s="245">
        <f t="shared" si="4"/>
        <v>7680</v>
      </c>
      <c r="W41" s="246">
        <f t="shared" si="6"/>
        <v>1100</v>
      </c>
      <c r="X41" s="247">
        <f t="shared" si="8"/>
        <v>7040</v>
      </c>
      <c r="Y41" s="365"/>
      <c r="Z41" s="134"/>
      <c r="AA41" s="135">
        <f t="shared" si="1"/>
        <v>0</v>
      </c>
      <c r="AB41" s="407">
        <f>SUM(AA41:AA42)</f>
        <v>0</v>
      </c>
      <c r="AC41" s="401">
        <f>AB41*1.1</f>
        <v>0</v>
      </c>
    </row>
    <row r="42" spans="1:29" ht="17.25" thickBot="1">
      <c r="A42" s="388"/>
      <c r="B42" s="274" t="s">
        <v>54</v>
      </c>
      <c r="C42" s="274" t="s">
        <v>55</v>
      </c>
      <c r="D42" s="274" t="s">
        <v>6</v>
      </c>
      <c r="E42" s="352">
        <v>4.6900000000000004</v>
      </c>
      <c r="F42" s="300">
        <v>1000</v>
      </c>
      <c r="G42" s="305">
        <v>4690</v>
      </c>
      <c r="H42" s="306">
        <v>2200</v>
      </c>
      <c r="I42" s="307"/>
      <c r="J42" s="308"/>
      <c r="K42" s="308"/>
      <c r="L42" s="308"/>
      <c r="M42" s="309"/>
      <c r="N42" s="297">
        <f t="shared" si="2"/>
        <v>0</v>
      </c>
      <c r="O42" s="298">
        <f t="shared" si="3"/>
        <v>0</v>
      </c>
      <c r="P42" s="258">
        <f>캠퍼스타운_외부원두영업!I42+잇다카페_외부원두영업!I42+푸른솔!I42+의과대학!I42+중앙도서관!I42+학생회관!I42+제2기숙사!I42+멀티미디어관!I42+선승관!I42+예술디자인대!I42+공학관!I42</f>
        <v>0</v>
      </c>
      <c r="Q42" s="292">
        <f>캠퍼스타운_외부원두영업!J42+잇다카페_외부원두영업!J42+푸른솔!J42+의과대학!J42+중앙도서관!J42+학생회관!J42+멀티미디어관!J42+제2기숙사!J42+선승관!J42+예술디자인대!J42+공학관!J42</f>
        <v>0</v>
      </c>
      <c r="R42" s="292">
        <f>캠퍼스타운_외부원두영업!K42+잇다카페_외부원두영업!K42+푸른솔!K42+의과대학!K42+중앙도서관!K42+학생회관!K42+제2기숙사!K42+멀티미디어관!K42+선승관!K42+예술디자인대!K42+공학관!K42</f>
        <v>0</v>
      </c>
      <c r="S42" s="292">
        <f>캠퍼스타운_외부원두영업!L42+잇다카페_외부원두영업!L42+푸른솔!L42+의과대학!L42+중앙도서관!L42+학생회관!L42+멀티미디어관!L42+제2기숙사!L42+선승관!L42+예술디자인대!L42+공학관!L42</f>
        <v>100</v>
      </c>
      <c r="T42" s="310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311">
        <f t="shared" si="9"/>
        <v>100</v>
      </c>
      <c r="V42" s="302">
        <f t="shared" si="4"/>
        <v>469.00000000000006</v>
      </c>
      <c r="W42" s="303">
        <f t="shared" si="6"/>
        <v>2100</v>
      </c>
      <c r="X42" s="304">
        <f t="shared" si="8"/>
        <v>9849</v>
      </c>
      <c r="Y42" s="366"/>
      <c r="Z42" s="136"/>
      <c r="AA42" s="137">
        <f xml:space="preserve"> Z42*E42</f>
        <v>0</v>
      </c>
      <c r="AB42" s="408"/>
      <c r="AC42" s="402"/>
    </row>
    <row r="43" spans="1:29">
      <c r="A43" s="389" t="s">
        <v>114</v>
      </c>
      <c r="B43" s="232" t="s">
        <v>57</v>
      </c>
      <c r="C43" s="232" t="s">
        <v>58</v>
      </c>
      <c r="D43" s="232" t="s">
        <v>6</v>
      </c>
      <c r="E43" s="351">
        <v>7700</v>
      </c>
      <c r="F43" s="234">
        <v>12</v>
      </c>
      <c r="G43" s="235">
        <v>92400</v>
      </c>
      <c r="H43" s="236">
        <v>23</v>
      </c>
      <c r="I43" s="237"/>
      <c r="J43" s="238"/>
      <c r="K43" s="238"/>
      <c r="L43" s="238"/>
      <c r="M43" s="239"/>
      <c r="N43" s="286">
        <f t="shared" si="2"/>
        <v>0</v>
      </c>
      <c r="O43" s="241">
        <f t="shared" si="3"/>
        <v>0</v>
      </c>
      <c r="P43" s="316">
        <f>캠퍼스타운_외부원두영업!I43+잇다카페_외부원두영업!I43+푸른솔!I43+의과대학!I43+중앙도서관!I43+학생회관!I43+제2기숙사!I43+멀티미디어관!I43+선승관!I43+예술디자인대!I43+공학관!I43</f>
        <v>4</v>
      </c>
      <c r="Q43" s="281">
        <f>캠퍼스타운_외부원두영업!J43+잇다카페_외부원두영업!J43+푸른솔!J43+의과대학!J43+중앙도서관!J43+학생회관!J43+멀티미디어관!J43+제2기숙사!J43+선승관!J43+예술디자인대!J43+공학관!J43</f>
        <v>1</v>
      </c>
      <c r="R43" s="281">
        <f>캠퍼스타운_외부원두영업!K43+잇다카페_외부원두영업!K43+푸른솔!K43+의과대학!K43+중앙도서관!K43+학생회관!K43+제2기숙사!K43+멀티미디어관!K43+선승관!K43+예술디자인대!K43+공학관!K43</f>
        <v>1</v>
      </c>
      <c r="S43" s="281">
        <f>캠퍼스타운_외부원두영업!L43+잇다카페_외부원두영업!L43+푸른솔!L43+의과대학!L43+중앙도서관!L43+학생회관!L43+멀티미디어관!L43+제2기숙사!L43+선승관!L43+예술디자인대!L43+공학관!L43</f>
        <v>2</v>
      </c>
      <c r="T43" s="312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244">
        <f t="shared" si="9"/>
        <v>8</v>
      </c>
      <c r="V43" s="245">
        <f t="shared" si="4"/>
        <v>61600</v>
      </c>
      <c r="W43" s="246">
        <f>(H43+N43)-U43</f>
        <v>15</v>
      </c>
      <c r="X43" s="247">
        <f t="shared" si="8"/>
        <v>115500</v>
      </c>
      <c r="Y43" s="362"/>
      <c r="Z43" s="133"/>
      <c r="AA43" s="132">
        <f t="shared" ref="AA43:AA74" si="10">Z43*E43</f>
        <v>0</v>
      </c>
      <c r="AB43" s="392">
        <f>SUM(AA43:AA57)</f>
        <v>0</v>
      </c>
      <c r="AC43" s="395">
        <f>AB43*1.1</f>
        <v>0</v>
      </c>
    </row>
    <row r="44" spans="1:29">
      <c r="A44" s="391"/>
      <c r="B44" s="248" t="s">
        <v>59</v>
      </c>
      <c r="C44" s="248" t="s">
        <v>58</v>
      </c>
      <c r="D44" s="248" t="s">
        <v>6</v>
      </c>
      <c r="E44" s="342">
        <v>6200</v>
      </c>
      <c r="F44" s="250">
        <v>12</v>
      </c>
      <c r="G44" s="251">
        <v>74400</v>
      </c>
      <c r="H44" s="252">
        <v>20</v>
      </c>
      <c r="I44" s="253"/>
      <c r="J44" s="254">
        <v>36</v>
      </c>
      <c r="K44" s="254"/>
      <c r="L44" s="254"/>
      <c r="M44" s="255"/>
      <c r="N44" s="256">
        <f t="shared" si="2"/>
        <v>36</v>
      </c>
      <c r="O44" s="257">
        <f t="shared" si="3"/>
        <v>223200</v>
      </c>
      <c r="P44" s="258">
        <f>캠퍼스타운_외부원두영업!I44+잇다카페_외부원두영업!I44+푸른솔!I44+의과대학!I44+중앙도서관!I44+학생회관!I44+제2기숙사!I44+멀티미디어관!I44+선승관!I44+예술디자인대!I44+공학관!I44</f>
        <v>5</v>
      </c>
      <c r="Q44" s="250">
        <f>캠퍼스타운_외부원두영업!J44+잇다카페_외부원두영업!J44+푸른솔!J44+의과대학!J44+중앙도서관!J44+학생회관!J44+멀티미디어관!J44+제2기숙사!J44+선승관!J44+예술디자인대!J44+공학관!J44</f>
        <v>10</v>
      </c>
      <c r="R44" s="250">
        <f>캠퍼스타운_외부원두영업!K44+잇다카페_외부원두영업!K44+푸른솔!K44+의과대학!K44+중앙도서관!K44+학생회관!K44+제2기숙사!K44+멀티미디어관!K44+선승관!K44+예술디자인대!K44+공학관!K44</f>
        <v>6</v>
      </c>
      <c r="S44" s="250">
        <f>캠퍼스타운_외부원두영업!L44+잇다카페_외부원두영업!L44+푸른솔!L44+의과대학!L44+중앙도서관!L44+학생회관!L44+멀티미디어관!L44+제2기숙사!L44+선승관!L44+예술디자인대!L44+공학관!L44</f>
        <v>7</v>
      </c>
      <c r="T44" s="259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260">
        <f t="shared" si="9"/>
        <v>28</v>
      </c>
      <c r="V44" s="261">
        <f t="shared" si="4"/>
        <v>173600</v>
      </c>
      <c r="W44" s="262">
        <f t="shared" si="6"/>
        <v>28</v>
      </c>
      <c r="X44" s="263">
        <f t="shared" si="8"/>
        <v>173600</v>
      </c>
      <c r="Y44" s="363"/>
      <c r="Z44" s="133"/>
      <c r="AA44" s="132">
        <f t="shared" si="10"/>
        <v>0</v>
      </c>
      <c r="AB44" s="393"/>
      <c r="AC44" s="396"/>
    </row>
    <row r="45" spans="1:29">
      <c r="A45" s="391"/>
      <c r="B45" s="248" t="s">
        <v>60</v>
      </c>
      <c r="C45" s="248" t="s">
        <v>58</v>
      </c>
      <c r="D45" s="248" t="s">
        <v>6</v>
      </c>
      <c r="E45" s="342">
        <v>6700</v>
      </c>
      <c r="F45" s="250">
        <v>12</v>
      </c>
      <c r="G45" s="251">
        <v>80400</v>
      </c>
      <c r="H45" s="252">
        <v>23</v>
      </c>
      <c r="I45" s="253"/>
      <c r="J45" s="254">
        <v>24</v>
      </c>
      <c r="K45" s="254"/>
      <c r="L45" s="254"/>
      <c r="M45" s="255"/>
      <c r="N45" s="256">
        <f t="shared" si="2"/>
        <v>24</v>
      </c>
      <c r="O45" s="257">
        <f t="shared" si="3"/>
        <v>160800</v>
      </c>
      <c r="P45" s="258">
        <f>캠퍼스타운_외부원두영업!I45+잇다카페_외부원두영업!I45+푸른솔!I45+의과대학!I45+중앙도서관!I45+학생회관!I45+제2기숙사!I45+멀티미디어관!I45+선승관!I45+예술디자인대!I45+공학관!I45</f>
        <v>5</v>
      </c>
      <c r="Q45" s="250">
        <f>캠퍼스타운_외부원두영업!J45+잇다카페_외부원두영업!J45+푸른솔!J45+의과대학!J45+중앙도서관!J45+학생회관!J45+멀티미디어관!J45+제2기숙사!J45+선승관!J45+예술디자인대!J45+공학관!J45</f>
        <v>5</v>
      </c>
      <c r="R45" s="250">
        <f>캠퍼스타운_외부원두영업!K45+잇다카페_외부원두영업!K45+푸른솔!K45+의과대학!K45+중앙도서관!K45+학생회관!K45+제2기숙사!K45+멀티미디어관!K45+선승관!K45+예술디자인대!K45+공학관!K45</f>
        <v>3</v>
      </c>
      <c r="S45" s="250">
        <f>캠퍼스타운_외부원두영업!L45+잇다카페_외부원두영업!L45+푸른솔!L45+의과대학!L45+중앙도서관!L45+학생회관!L45+멀티미디어관!L45+제2기숙사!L45+선승관!L45+예술디자인대!L45+공학관!L45</f>
        <v>6</v>
      </c>
      <c r="T45" s="259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260">
        <f t="shared" si="9"/>
        <v>19</v>
      </c>
      <c r="V45" s="261">
        <f t="shared" si="4"/>
        <v>127300</v>
      </c>
      <c r="W45" s="262">
        <f t="shared" si="6"/>
        <v>28</v>
      </c>
      <c r="X45" s="263">
        <f t="shared" si="8"/>
        <v>187600</v>
      </c>
      <c r="Y45" s="363"/>
      <c r="Z45" s="133"/>
      <c r="AA45" s="132">
        <f t="shared" si="10"/>
        <v>0</v>
      </c>
      <c r="AB45" s="393"/>
      <c r="AC45" s="396"/>
    </row>
    <row r="46" spans="1:29" ht="17.25" customHeight="1">
      <c r="A46" s="391"/>
      <c r="B46" s="248" t="s">
        <v>61</v>
      </c>
      <c r="C46" s="248" t="s">
        <v>5</v>
      </c>
      <c r="D46" s="248" t="s">
        <v>6</v>
      </c>
      <c r="E46" s="342">
        <v>7250</v>
      </c>
      <c r="F46" s="250">
        <v>12</v>
      </c>
      <c r="G46" s="251">
        <v>87000</v>
      </c>
      <c r="H46" s="252">
        <v>36</v>
      </c>
      <c r="I46" s="253"/>
      <c r="J46" s="254">
        <v>36</v>
      </c>
      <c r="K46" s="254"/>
      <c r="L46" s="254"/>
      <c r="M46" s="255"/>
      <c r="N46" s="256">
        <f t="shared" si="2"/>
        <v>36</v>
      </c>
      <c r="O46" s="257">
        <f t="shared" si="3"/>
        <v>261000</v>
      </c>
      <c r="P46" s="258">
        <f>캠퍼스타운_외부원두영업!I46+잇다카페_외부원두영업!I46+푸른솔!I46+의과대학!I46+중앙도서관!I46+학생회관!I46+제2기숙사!I46+멀티미디어관!I46+선승관!I46+예술디자인대!I46+공학관!I46</f>
        <v>9</v>
      </c>
      <c r="Q46" s="250">
        <f>캠퍼스타운_외부원두영업!J46+잇다카페_외부원두영업!J46+푸른솔!J46+의과대학!J46+중앙도서관!J46+학생회관!J46+멀티미디어관!J46+제2기숙사!J46+선승관!J46+예술디자인대!J46+공학관!J46</f>
        <v>4</v>
      </c>
      <c r="R46" s="250">
        <f>캠퍼스타운_외부원두영업!K46+잇다카페_외부원두영업!K46+푸른솔!K46+의과대학!K46+중앙도서관!K46+학생회관!K46+제2기숙사!K46+멀티미디어관!K46+선승관!K46+예술디자인대!K46+공학관!K46</f>
        <v>6</v>
      </c>
      <c r="S46" s="250">
        <f>캠퍼스타운_외부원두영업!L46+잇다카페_외부원두영업!L46+푸른솔!L46+의과대학!L46+중앙도서관!L46+학생회관!L46+멀티미디어관!L46+제2기숙사!L46+선승관!L46+예술디자인대!L46+공학관!L46</f>
        <v>3</v>
      </c>
      <c r="T46" s="259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260">
        <f t="shared" si="9"/>
        <v>22</v>
      </c>
      <c r="V46" s="261">
        <f t="shared" si="4"/>
        <v>159500</v>
      </c>
      <c r="W46" s="262">
        <f t="shared" si="6"/>
        <v>50</v>
      </c>
      <c r="X46" s="263">
        <f t="shared" si="8"/>
        <v>362500</v>
      </c>
      <c r="Y46" s="363"/>
      <c r="Z46" s="133"/>
      <c r="AA46" s="132">
        <f t="shared" si="10"/>
        <v>0</v>
      </c>
      <c r="AB46" s="393"/>
      <c r="AC46" s="396"/>
    </row>
    <row r="47" spans="1:29">
      <c r="A47" s="391"/>
      <c r="B47" s="248" t="s">
        <v>62</v>
      </c>
      <c r="C47" s="248" t="s">
        <v>63</v>
      </c>
      <c r="D47" s="248" t="s">
        <v>6</v>
      </c>
      <c r="E47" s="342">
        <v>5300</v>
      </c>
      <c r="F47" s="250">
        <v>12</v>
      </c>
      <c r="G47" s="251">
        <v>63600</v>
      </c>
      <c r="H47" s="252">
        <v>11</v>
      </c>
      <c r="I47" s="253"/>
      <c r="J47" s="254">
        <v>12</v>
      </c>
      <c r="K47" s="254"/>
      <c r="L47" s="254"/>
      <c r="M47" s="255"/>
      <c r="N47" s="256">
        <f t="shared" si="2"/>
        <v>12</v>
      </c>
      <c r="O47" s="257">
        <f t="shared" si="3"/>
        <v>63600</v>
      </c>
      <c r="P47" s="258">
        <f>캠퍼스타운_외부원두영업!I47+잇다카페_외부원두영업!I47+푸른솔!I47+의과대학!I47+중앙도서관!I47+학생회관!I47+제2기숙사!I47+멀티미디어관!I47+선승관!I47+예술디자인대!I47+공학관!I47</f>
        <v>3</v>
      </c>
      <c r="Q47" s="250">
        <f>캠퍼스타운_외부원두영업!J47+잇다카페_외부원두영업!J47+푸른솔!J47+의과대학!J47+중앙도서관!J47+학생회관!J47+멀티미디어관!J47+제2기숙사!J47+선승관!J47+예술디자인대!J47+공학관!J47</f>
        <v>2</v>
      </c>
      <c r="R47" s="250">
        <f>캠퍼스타운_외부원두영업!K47+잇다카페_외부원두영업!K47+푸른솔!K47+의과대학!K47+중앙도서관!K47+학생회관!K47+제2기숙사!K47+멀티미디어관!K47+선승관!K47+예술디자인대!K47+공학관!K47</f>
        <v>2</v>
      </c>
      <c r="S47" s="250">
        <f>캠퍼스타운_외부원두영업!L47+잇다카페_외부원두영업!L47+푸른솔!L47+의과대학!L47+중앙도서관!L47+학생회관!L47+멀티미디어관!L47+제2기숙사!L47+선승관!L47+예술디자인대!L47+공학관!L47</f>
        <v>1</v>
      </c>
      <c r="T47" s="259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260">
        <f t="shared" si="9"/>
        <v>8</v>
      </c>
      <c r="V47" s="261">
        <f t="shared" si="4"/>
        <v>42400</v>
      </c>
      <c r="W47" s="262">
        <f t="shared" si="6"/>
        <v>15</v>
      </c>
      <c r="X47" s="263">
        <f t="shared" si="8"/>
        <v>79500</v>
      </c>
      <c r="Y47" s="363"/>
      <c r="Z47" s="133"/>
      <c r="AA47" s="132">
        <f t="shared" si="10"/>
        <v>0</v>
      </c>
      <c r="AB47" s="393"/>
      <c r="AC47" s="396"/>
    </row>
    <row r="48" spans="1:29">
      <c r="A48" s="391"/>
      <c r="B48" s="264" t="s">
        <v>64</v>
      </c>
      <c r="C48" s="264" t="s">
        <v>63</v>
      </c>
      <c r="D48" s="264" t="s">
        <v>6</v>
      </c>
      <c r="E48" s="343">
        <v>6600</v>
      </c>
      <c r="F48" s="250">
        <v>12</v>
      </c>
      <c r="G48" s="251">
        <v>79200</v>
      </c>
      <c r="H48" s="252">
        <v>15</v>
      </c>
      <c r="I48" s="253"/>
      <c r="J48" s="254">
        <v>12</v>
      </c>
      <c r="K48" s="254"/>
      <c r="L48" s="254"/>
      <c r="M48" s="255"/>
      <c r="N48" s="256">
        <f t="shared" si="2"/>
        <v>12</v>
      </c>
      <c r="O48" s="257">
        <f t="shared" si="3"/>
        <v>79200</v>
      </c>
      <c r="P48" s="258">
        <f>캠퍼스타운_외부원두영업!I48+잇다카페_외부원두영업!I48+푸른솔!I48+의과대학!I48+중앙도서관!I48+학생회관!I48+제2기숙사!I48+멀티미디어관!I48+선승관!I48+예술디자인대!I48+공학관!I48</f>
        <v>2</v>
      </c>
      <c r="Q48" s="250">
        <f>캠퍼스타운_외부원두영업!J48+잇다카페_외부원두영업!J48+푸른솔!J48+의과대학!J48+중앙도서관!J48+학생회관!J48+멀티미디어관!J48+제2기숙사!J48+선승관!J48+예술디자인대!J48+공학관!J48</f>
        <v>2</v>
      </c>
      <c r="R48" s="250">
        <f>캠퍼스타운_외부원두영업!K48+잇다카페_외부원두영업!K48+푸른솔!K48+의과대학!K48+중앙도서관!K48+학생회관!K48+제2기숙사!K48+멀티미디어관!K48+선승관!K48+예술디자인대!K48+공학관!K48</f>
        <v>3</v>
      </c>
      <c r="S48" s="250">
        <f>캠퍼스타운_외부원두영업!L48+잇다카페_외부원두영업!L48+푸른솔!L48+의과대학!L48+중앙도서관!L48+학생회관!L48+멀티미디어관!L48+제2기숙사!L48+선승관!L48+예술디자인대!L48+공학관!L48</f>
        <v>1</v>
      </c>
      <c r="T48" s="259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260">
        <f t="shared" si="9"/>
        <v>8</v>
      </c>
      <c r="V48" s="261">
        <f t="shared" si="4"/>
        <v>52800</v>
      </c>
      <c r="W48" s="262">
        <f t="shared" si="6"/>
        <v>19</v>
      </c>
      <c r="X48" s="263">
        <f t="shared" si="8"/>
        <v>125400</v>
      </c>
      <c r="Y48" s="363"/>
      <c r="Z48" s="133"/>
      <c r="AA48" s="132">
        <f t="shared" si="10"/>
        <v>0</v>
      </c>
      <c r="AB48" s="393"/>
      <c r="AC48" s="396"/>
    </row>
    <row r="49" spans="1:29">
      <c r="A49" s="391"/>
      <c r="B49" s="264" t="s">
        <v>65</v>
      </c>
      <c r="C49" s="264" t="s">
        <v>66</v>
      </c>
      <c r="D49" s="264" t="s">
        <v>6</v>
      </c>
      <c r="E49" s="343">
        <v>14500</v>
      </c>
      <c r="F49" s="355">
        <v>6</v>
      </c>
      <c r="G49" s="251">
        <v>87000</v>
      </c>
      <c r="H49" s="252">
        <v>17</v>
      </c>
      <c r="I49" s="253"/>
      <c r="J49" s="254">
        <v>12</v>
      </c>
      <c r="K49" s="254"/>
      <c r="L49" s="254"/>
      <c r="M49" s="255"/>
      <c r="N49" s="256">
        <f t="shared" si="2"/>
        <v>12</v>
      </c>
      <c r="O49" s="257">
        <f t="shared" si="3"/>
        <v>174000</v>
      </c>
      <c r="P49" s="258">
        <f>캠퍼스타운_외부원두영업!I49+잇다카페_외부원두영업!I49+푸른솔!I49+의과대학!I49+중앙도서관!I49+학생회관!I49+제2기숙사!I49+멀티미디어관!I49+선승관!I49+예술디자인대!I49+공학관!I49</f>
        <v>3</v>
      </c>
      <c r="Q49" s="250">
        <f>캠퍼스타운_외부원두영업!J49+잇다카페_외부원두영업!J49+푸른솔!J49+의과대학!J49+중앙도서관!J49+학생회관!J49+멀티미디어관!J49+제2기숙사!J49+선승관!J49+예술디자인대!J49+공학관!J49</f>
        <v>2</v>
      </c>
      <c r="R49" s="250">
        <f>캠퍼스타운_외부원두영업!K49+잇다카페_외부원두영업!K49+푸른솔!K49+의과대학!K49+중앙도서관!K49+학생회관!K49+제2기숙사!K49+멀티미디어관!K49+선승관!K49+예술디자인대!K49+공학관!K49</f>
        <v>3</v>
      </c>
      <c r="S49" s="250">
        <f>캠퍼스타운_외부원두영업!L49+잇다카페_외부원두영업!L49+푸른솔!L49+의과대학!L49+중앙도서관!L49+학생회관!L49+멀티미디어관!L49+제2기숙사!L49+선승관!L49+예술디자인대!L49+공학관!L49</f>
        <v>2</v>
      </c>
      <c r="T49" s="259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260">
        <f t="shared" si="9"/>
        <v>10</v>
      </c>
      <c r="V49" s="261">
        <f t="shared" si="4"/>
        <v>145000</v>
      </c>
      <c r="W49" s="262">
        <f t="shared" si="6"/>
        <v>19</v>
      </c>
      <c r="X49" s="263">
        <f t="shared" si="8"/>
        <v>275500</v>
      </c>
      <c r="Y49" s="363"/>
      <c r="Z49" s="133"/>
      <c r="AA49" s="132">
        <f t="shared" si="10"/>
        <v>0</v>
      </c>
      <c r="AB49" s="393"/>
      <c r="AC49" s="396"/>
    </row>
    <row r="50" spans="1:29">
      <c r="A50" s="391"/>
      <c r="B50" s="264" t="s">
        <v>67</v>
      </c>
      <c r="C50" s="264" t="s">
        <v>66</v>
      </c>
      <c r="D50" s="264" t="s">
        <v>6</v>
      </c>
      <c r="E50" s="343">
        <v>11000</v>
      </c>
      <c r="F50" s="355">
        <v>6</v>
      </c>
      <c r="G50" s="251">
        <v>66000</v>
      </c>
      <c r="H50" s="252">
        <v>10</v>
      </c>
      <c r="I50" s="253"/>
      <c r="J50" s="254"/>
      <c r="K50" s="254"/>
      <c r="L50" s="254"/>
      <c r="M50" s="255"/>
      <c r="N50" s="256">
        <f t="shared" si="2"/>
        <v>0</v>
      </c>
      <c r="O50" s="257">
        <f t="shared" si="3"/>
        <v>0</v>
      </c>
      <c r="P50" s="258">
        <f>캠퍼스타운_외부원두영업!I50+잇다카페_외부원두영업!I50+푸른솔!I50+의과대학!I50+중앙도서관!I50+학생회관!I50+제2기숙사!I50+멀티미디어관!I50+선승관!I50+예술디자인대!I50+공학관!I50</f>
        <v>0</v>
      </c>
      <c r="Q50" s="250">
        <f>캠퍼스타운_외부원두영업!J50+잇다카페_외부원두영업!J50+푸른솔!J50+의과대학!J50+중앙도서관!J50+학생회관!J50+멀티미디어관!J50+제2기숙사!J50+선승관!J50+예술디자인대!J50+공학관!J50</f>
        <v>0</v>
      </c>
      <c r="R50" s="250">
        <f>캠퍼스타운_외부원두영업!K50+잇다카페_외부원두영업!K50+푸른솔!K50+의과대학!K50+중앙도서관!K50+학생회관!K50+제2기숙사!K50+멀티미디어관!K50+선승관!K50+예술디자인대!K50+공학관!K50</f>
        <v>0</v>
      </c>
      <c r="S50" s="250">
        <f>캠퍼스타운_외부원두영업!L50+잇다카페_외부원두영업!L50+푸른솔!L50+의과대학!L50+중앙도서관!L50+학생회관!L50+멀티미디어관!L50+제2기숙사!L50+선승관!L50+예술디자인대!L50+공학관!L50</f>
        <v>0</v>
      </c>
      <c r="T50" s="259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60">
        <f t="shared" si="9"/>
        <v>0</v>
      </c>
      <c r="V50" s="261">
        <f t="shared" si="4"/>
        <v>0</v>
      </c>
      <c r="W50" s="262">
        <f t="shared" si="6"/>
        <v>10</v>
      </c>
      <c r="X50" s="263">
        <f t="shared" si="8"/>
        <v>110000</v>
      </c>
      <c r="Y50" s="363"/>
      <c r="Z50" s="133"/>
      <c r="AA50" s="132">
        <f t="shared" si="10"/>
        <v>0</v>
      </c>
      <c r="AB50" s="393"/>
      <c r="AC50" s="396"/>
    </row>
    <row r="51" spans="1:29">
      <c r="A51" s="391"/>
      <c r="B51" s="264" t="s">
        <v>152</v>
      </c>
      <c r="C51" s="264" t="s">
        <v>66</v>
      </c>
      <c r="D51" s="264" t="s">
        <v>6</v>
      </c>
      <c r="E51" s="343">
        <v>7000</v>
      </c>
      <c r="F51" s="355">
        <v>6</v>
      </c>
      <c r="G51" s="251">
        <f>E51*F51</f>
        <v>42000</v>
      </c>
      <c r="H51" s="252">
        <v>17</v>
      </c>
      <c r="I51" s="253"/>
      <c r="J51" s="254"/>
      <c r="K51" s="254"/>
      <c r="L51" s="254"/>
      <c r="M51" s="255"/>
      <c r="N51" s="256">
        <f t="shared" ref="N51:N56" si="11">I51+J51+K51+L51+M51</f>
        <v>0</v>
      </c>
      <c r="O51" s="257">
        <f>E51*N51</f>
        <v>0</v>
      </c>
      <c r="P51" s="258">
        <f>캠퍼스타운_외부원두영업!I51+잇다카페_외부원두영업!I51+푸른솔!I51+의과대학!I51+중앙도서관!I51+학생회관!I51+제2기숙사!I51+멀티미디어관!I51+선승관!I51+예술디자인대!I51+공학관!I51</f>
        <v>4</v>
      </c>
      <c r="Q51" s="250">
        <f>캠퍼스타운_외부원두영업!J51+잇다카페_외부원두영업!J51+푸른솔!J51+의과대학!J51+중앙도서관!J51+학생회관!J51+멀티미디어관!J51+제2기숙사!J51+선승관!J51+예술디자인대!J51+공학관!J51</f>
        <v>1</v>
      </c>
      <c r="R51" s="250">
        <f>캠퍼스타운_외부원두영업!K51+잇다카페_외부원두영업!K51+푸른솔!K51+의과대학!K51+중앙도서관!K51+학생회관!K51+제2기숙사!K51+멀티미디어관!K51+선승관!K51+예술디자인대!K51+공학관!K51</f>
        <v>2</v>
      </c>
      <c r="S51" s="250">
        <f>캠퍼스타운_외부원두영업!L51+잇다카페_외부원두영업!L51+푸른솔!L51+의과대학!L51+중앙도서관!L51+학생회관!L51+멀티미디어관!L51+제2기숙사!L51+선승관!L51+예술디자인대!L51+공학관!L51</f>
        <v>2</v>
      </c>
      <c r="T51" s="259">
        <f>캠퍼스타운_외부원두영업!M51+잇다카페_외부원두영업!M51+푸른솔!M51+의과대학!M51+중앙도서관!M51+학생회관!M51+멀티미디어관!M51+제2기숙사!M51+선승관!M51+예술디자인대!M51+공학관!M51</f>
        <v>0</v>
      </c>
      <c r="U51" s="260">
        <f t="shared" ref="U51:U56" si="12">P51+Q51+R51+S51+T51</f>
        <v>9</v>
      </c>
      <c r="V51" s="261">
        <f t="shared" ref="V51:V56" si="13">E51*U51</f>
        <v>63000</v>
      </c>
      <c r="W51" s="262">
        <f t="shared" si="6"/>
        <v>8</v>
      </c>
      <c r="X51" s="263">
        <f t="shared" si="8"/>
        <v>56000</v>
      </c>
      <c r="Y51" s="363"/>
      <c r="Z51" s="133"/>
      <c r="AA51" s="132">
        <f t="shared" si="10"/>
        <v>0</v>
      </c>
      <c r="AB51" s="393"/>
      <c r="AC51" s="396"/>
    </row>
    <row r="52" spans="1:29">
      <c r="A52" s="391"/>
      <c r="B52" s="264" t="s">
        <v>149</v>
      </c>
      <c r="C52" s="264" t="s">
        <v>66</v>
      </c>
      <c r="D52" s="264" t="s">
        <v>6</v>
      </c>
      <c r="E52" s="343">
        <v>9000</v>
      </c>
      <c r="F52" s="355">
        <v>6</v>
      </c>
      <c r="G52" s="251">
        <f>E52*F52</f>
        <v>54000</v>
      </c>
      <c r="H52" s="252">
        <v>11</v>
      </c>
      <c r="I52" s="253"/>
      <c r="J52" s="254"/>
      <c r="K52" s="254"/>
      <c r="L52" s="254"/>
      <c r="M52" s="255"/>
      <c r="N52" s="256">
        <f t="shared" si="11"/>
        <v>0</v>
      </c>
      <c r="O52" s="257">
        <f>E52*N52</f>
        <v>0</v>
      </c>
      <c r="P52" s="258">
        <f>캠퍼스타운_외부원두영업!I52+잇다카페_외부원두영업!I52+푸른솔!I52+의과대학!I52+중앙도서관!I52+학생회관!I52+제2기숙사!I52+멀티미디어관!I52+선승관!I52+예술디자인대!I52+공학관!I52</f>
        <v>2</v>
      </c>
      <c r="Q52" s="250">
        <f>캠퍼스타운_외부원두영업!J52+잇다카페_외부원두영업!J52+푸른솔!J52+의과대학!J52+중앙도서관!J52+학생회관!J52+멀티미디어관!J52+제2기숙사!J52+선승관!J52+예술디자인대!J52+공학관!J52</f>
        <v>0</v>
      </c>
      <c r="R52" s="250">
        <f>캠퍼스타운_외부원두영업!K52+잇다카페_외부원두영업!K52+푸른솔!K52+의과대학!K52+중앙도서관!K52+학생회관!K52+제2기숙사!K52+멀티미디어관!K52+선승관!K52+예술디자인대!K52+공학관!K52</f>
        <v>2</v>
      </c>
      <c r="S52" s="250">
        <f>캠퍼스타운_외부원두영업!L52+잇다카페_외부원두영업!L52+푸른솔!L52+의과대학!L52+중앙도서관!L52+학생회관!L52+멀티미디어관!L52+제2기숙사!L52+선승관!L52+예술디자인대!L52+공학관!L52</f>
        <v>0</v>
      </c>
      <c r="T52" s="259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60">
        <f t="shared" si="12"/>
        <v>4</v>
      </c>
      <c r="V52" s="261">
        <f t="shared" si="13"/>
        <v>36000</v>
      </c>
      <c r="W52" s="262">
        <f t="shared" si="6"/>
        <v>7</v>
      </c>
      <c r="X52" s="263">
        <f t="shared" si="8"/>
        <v>63000</v>
      </c>
      <c r="Y52" s="363"/>
      <c r="Z52" s="133"/>
      <c r="AA52" s="132">
        <f t="shared" si="10"/>
        <v>0</v>
      </c>
      <c r="AB52" s="393"/>
      <c r="AC52" s="396"/>
    </row>
    <row r="53" spans="1:29">
      <c r="A53" s="391"/>
      <c r="B53" s="264" t="s">
        <v>155</v>
      </c>
      <c r="C53" s="264" t="s">
        <v>156</v>
      </c>
      <c r="D53" s="264" t="s">
        <v>157</v>
      </c>
      <c r="E53" s="343">
        <v>5300</v>
      </c>
      <c r="F53" s="250">
        <v>12</v>
      </c>
      <c r="G53" s="251">
        <f>F53*E53</f>
        <v>63600</v>
      </c>
      <c r="H53" s="252">
        <v>34</v>
      </c>
      <c r="I53" s="253"/>
      <c r="J53" s="254">
        <v>24</v>
      </c>
      <c r="K53" s="254"/>
      <c r="L53" s="254"/>
      <c r="M53" s="255"/>
      <c r="N53" s="256">
        <f t="shared" si="11"/>
        <v>24</v>
      </c>
      <c r="O53" s="257">
        <f>E53*N53</f>
        <v>127200</v>
      </c>
      <c r="P53" s="258">
        <f>캠퍼스타운_외부원두영업!I53+잇다카페_외부원두영업!I53+푸른솔!I53+의과대학!I53+중앙도서관!I53+학생회관!I53+제2기숙사!I53+멀티미디어관!I53+선승관!I53+예술디자인대!I53+공학관!I53</f>
        <v>9</v>
      </c>
      <c r="Q53" s="250">
        <f>캠퍼스타운_외부원두영업!J53+잇다카페_외부원두영업!J53+푸른솔!J53+의과대학!J53+중앙도서관!J53+학생회관!J53+멀티미디어관!J53+제2기숙사!J53+선승관!J53+예술디자인대!J53+공학관!J53</f>
        <v>8</v>
      </c>
      <c r="R53" s="376">
        <f>캠퍼스타운_외부원두영업!K53+잇다카페_외부원두영업!K53+푸른솔!K53+의과대학!K53+중앙도서관!K53+학생회관!K53+제2기숙사!K53+멀티미디어관!K53+선승관!K53+예술디자인대!K53+공학관!K53</f>
        <v>6</v>
      </c>
      <c r="S53" s="250">
        <f>캠퍼스타운_외부원두영업!L53+잇다카페_외부원두영업!L53+푸른솔!L53+의과대학!L53+중앙도서관!L53+학생회관!L53+멀티미디어관!L53+제2기숙사!L53+선승관!L53+예술디자인대!L53+공학관!L53</f>
        <v>7</v>
      </c>
      <c r="T53" s="259">
        <f>캠퍼스타운_외부원두영업!M53+잇다카페_외부원두영업!M53+푸른솔!M53+의과대학!M53+중앙도서관!M53+학생회관!M53+멀티미디어관!M53+제2기숙사!M53+선승관!M53+예술디자인대!M53+공학관!M53</f>
        <v>0</v>
      </c>
      <c r="U53" s="260">
        <f t="shared" si="12"/>
        <v>30</v>
      </c>
      <c r="V53" s="261">
        <f t="shared" si="13"/>
        <v>159000</v>
      </c>
      <c r="W53" s="262">
        <f>(H53+N53)-U53</f>
        <v>28</v>
      </c>
      <c r="X53" s="263">
        <f t="shared" si="8"/>
        <v>148400</v>
      </c>
      <c r="Y53" s="363"/>
      <c r="Z53" s="133"/>
      <c r="AA53" s="132">
        <f t="shared" si="10"/>
        <v>0</v>
      </c>
      <c r="AB53" s="393"/>
      <c r="AC53" s="396"/>
    </row>
    <row r="54" spans="1:29">
      <c r="A54" s="391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14">F54*E54</f>
        <v>94800</v>
      </c>
      <c r="H54" s="252"/>
      <c r="I54" s="253"/>
      <c r="J54" s="254"/>
      <c r="K54" s="254"/>
      <c r="L54" s="254"/>
      <c r="M54" s="255">
        <v>24</v>
      </c>
      <c r="N54" s="256">
        <f t="shared" ref="N54:N55" si="15">I54+J54+K54+L54+M54</f>
        <v>24</v>
      </c>
      <c r="O54" s="257">
        <f t="shared" ref="O54:O55" si="16">E54*N54</f>
        <v>189600</v>
      </c>
      <c r="P54" s="258">
        <f>캠퍼스타운_외부원두영업!I54+잇다카페_외부원두영업!I54+푸른솔!I54+의과대학!I54+중앙도서관!I54+학생회관!I54+제2기숙사!I54+멀티미디어관!I54+선승관!I54+예술디자인대!I54+공학관!I54</f>
        <v>0</v>
      </c>
      <c r="Q54" s="300">
        <f>캠퍼스타운_외부원두영업!J54+잇다카페_외부원두영업!J54+푸른솔!J54+의과대학!J54+중앙도서관!J54+학생회관!J54+제2기숙사!J54+멀티미디어관!J54+선승관!J54+예술디자인대!J54+공학관!J54</f>
        <v>0</v>
      </c>
      <c r="R54" s="300">
        <f>캠퍼스타운_외부원두영업!K54+잇다카페_외부원두영업!K54+푸른솔!K54+의과대학!K54+중앙도서관!K54+학생회관!K54+제2기숙사!K54+멀티미디어관!K54+선승관!K54+예술디자인대!K54+공학관!K54</f>
        <v>0</v>
      </c>
      <c r="S54" s="300">
        <f>캠퍼스타운_외부원두영업!L54+잇다카페_외부원두영업!L54+푸른솔!L54+의과대학!L54+중앙도서관!L54+학생회관!L54+제2기숙사!L54+멀티미디어관!L54+선승관!L54+예술디자인대!L54+공학관!L54</f>
        <v>17</v>
      </c>
      <c r="T54" s="377">
        <f>캠퍼스타운_외부원두영업!M54+잇다카페_외부원두영업!M54+푸른솔!M54+의과대학!M54+중앙도서관!M54+학생회관!M54+제2기숙사!M54+멀티미디어관!M54+선승관!M54+예술디자인대!M54+공학관!M54</f>
        <v>0</v>
      </c>
      <c r="U54" s="260">
        <f t="shared" ref="U54:U55" si="17">P54+Q54+R54+S54+T54</f>
        <v>17</v>
      </c>
      <c r="V54" s="261">
        <f t="shared" ref="V54:V55" si="18">E54*U54</f>
        <v>134300</v>
      </c>
      <c r="W54" s="262">
        <f t="shared" ref="W54:W55" si="19">(H54+N54)-U54</f>
        <v>7</v>
      </c>
      <c r="X54" s="263">
        <f t="shared" ref="X54:X55" si="20">E54*W54</f>
        <v>55300</v>
      </c>
      <c r="Y54" s="363"/>
      <c r="Z54" s="133"/>
      <c r="AA54" s="132">
        <f t="shared" ref="AA54:AA55" si="21">Z54*E54</f>
        <v>0</v>
      </c>
      <c r="AB54" s="393"/>
      <c r="AC54" s="396"/>
    </row>
    <row r="55" spans="1:29">
      <c r="A55" s="391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14"/>
        <v>100800</v>
      </c>
      <c r="H55" s="252"/>
      <c r="I55" s="253"/>
      <c r="J55" s="254"/>
      <c r="K55" s="254"/>
      <c r="L55" s="254"/>
      <c r="M55" s="255">
        <v>24</v>
      </c>
      <c r="N55" s="256">
        <f t="shared" si="15"/>
        <v>24</v>
      </c>
      <c r="O55" s="257">
        <f t="shared" si="16"/>
        <v>201600</v>
      </c>
      <c r="P55" s="375">
        <f>캠퍼스타운_외부원두영업!I55+잇다카페_외부원두영업!I55+푸른솔!I55+의과대학!I55+중앙도서관!I55+학생회관!I55+제2기숙사!I55+멀티미디어관!I55+선승관!I55+예술디자인대!I55+공학관!I55</f>
        <v>0</v>
      </c>
      <c r="Q55" s="300">
        <f>캠퍼스타운_외부원두영업!J55+잇다카페_외부원두영업!J55+푸른솔!J55+의과대학!J55+중앙도서관!J55+학생회관!J55+제2기숙사!J55+멀티미디어관!J55+선승관!J55+예술디자인대!J55+공학관!J55</f>
        <v>0</v>
      </c>
      <c r="R55" s="250">
        <f>캠퍼스타운_외부원두영업!K55+잇다카페_외부원두영업!K55+푸른솔!K55+의과대학!K55+중앙도서관!K55+학생회관!K55+제2기숙사!K55+멀티미디어관!K55+선승관!K55+예술디자인대!K55+공학관!K55</f>
        <v>0</v>
      </c>
      <c r="S55" s="250">
        <f>캠퍼스타운_외부원두영업!L55+잇다카페_외부원두영업!L55+푸른솔!L55+의과대학!L55+중앙도서관!L55+학생회관!L55+제2기숙사!L55+멀티미디어관!L55+선승관!L55+예술디자인대!L55+공학관!L55</f>
        <v>17</v>
      </c>
      <c r="T55" s="377">
        <f>캠퍼스타운_외부원두영업!M55+잇다카페_외부원두영업!M55+푸른솔!M55+의과대학!M55+중앙도서관!M55+학생회관!M55+제2기숙사!M55+멀티미디어관!M55+선승관!M55+예술디자인대!M55+공학관!M55</f>
        <v>0</v>
      </c>
      <c r="U55" s="260">
        <f t="shared" si="17"/>
        <v>17</v>
      </c>
      <c r="V55" s="261">
        <f t="shared" si="18"/>
        <v>142800</v>
      </c>
      <c r="W55" s="262">
        <f t="shared" si="19"/>
        <v>7</v>
      </c>
      <c r="X55" s="263">
        <f t="shared" si="20"/>
        <v>58800</v>
      </c>
      <c r="Y55" s="363"/>
      <c r="Z55" s="133"/>
      <c r="AA55" s="132">
        <f t="shared" si="21"/>
        <v>0</v>
      </c>
      <c r="AB55" s="393"/>
      <c r="AC55" s="396"/>
    </row>
    <row r="56" spans="1:29">
      <c r="A56" s="391"/>
      <c r="B56" s="264" t="s">
        <v>68</v>
      </c>
      <c r="C56" s="264" t="s">
        <v>63</v>
      </c>
      <c r="D56" s="264" t="s">
        <v>6</v>
      </c>
      <c r="E56" s="343">
        <v>4500</v>
      </c>
      <c r="F56" s="250">
        <v>12</v>
      </c>
      <c r="G56" s="251">
        <v>54000</v>
      </c>
      <c r="H56" s="252">
        <v>22</v>
      </c>
      <c r="I56" s="253"/>
      <c r="J56" s="254"/>
      <c r="K56" s="254"/>
      <c r="L56" s="254"/>
      <c r="M56" s="255"/>
      <c r="N56" s="256">
        <f t="shared" si="11"/>
        <v>0</v>
      </c>
      <c r="O56" s="257">
        <f t="shared" si="3"/>
        <v>0</v>
      </c>
      <c r="P56" s="258">
        <f>캠퍼스타운_외부원두영업!I56+잇다카페_외부원두영업!I56+푸른솔!I56+의과대학!I56+중앙도서관!I56+학생회관!I56+제2기숙사!I56+멀티미디어관!I56+선승관!I56+예술디자인대!I56+공학관!I56</f>
        <v>2</v>
      </c>
      <c r="Q56" s="250">
        <f>캠퍼스타운_외부원두영업!J56+잇다카페_외부원두영업!J56+푸른솔!J56+의과대학!J56+중앙도서관!J56+학생회관!J56+멀티미디어관!J56+제2기숙사!J56+선승관!J56+예술디자인대!J56+공학관!J56</f>
        <v>6</v>
      </c>
      <c r="R56" s="376">
        <f>캠퍼스타운_외부원두영업!K56+잇다카페_외부원두영업!K56+푸른솔!K56+의과대학!K56+중앙도서관!K56+학생회관!K56+제2기숙사!K56+멀티미디어관!K56+선승관!K56+예술디자인대!K56+공학관!K56</f>
        <v>4</v>
      </c>
      <c r="S56" s="250">
        <f>캠퍼스타운_외부원두영업!L56+잇다카페_외부원두영업!L56+푸른솔!L56+의과대학!L56+중앙도서관!L56+학생회관!L56+멀티미디어관!L56+제2기숙사!L56+선승관!L56+예술디자인대!L56+공학관!L56</f>
        <v>4</v>
      </c>
      <c r="T56" s="259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260">
        <f t="shared" si="12"/>
        <v>16</v>
      </c>
      <c r="V56" s="261">
        <f t="shared" si="13"/>
        <v>72000</v>
      </c>
      <c r="W56" s="262">
        <f>(H56+N56)-U56</f>
        <v>6</v>
      </c>
      <c r="X56" s="263">
        <f t="shared" si="8"/>
        <v>27000</v>
      </c>
      <c r="Y56" s="363"/>
      <c r="Z56" s="133"/>
      <c r="AA56" s="132">
        <f t="shared" si="10"/>
        <v>0</v>
      </c>
      <c r="AB56" s="393"/>
      <c r="AC56" s="396"/>
    </row>
    <row r="57" spans="1:29" ht="17.25" thickBot="1">
      <c r="A57" s="391"/>
      <c r="B57" s="313" t="s">
        <v>69</v>
      </c>
      <c r="C57" s="313" t="s">
        <v>5</v>
      </c>
      <c r="D57" s="313" t="s">
        <v>6</v>
      </c>
      <c r="E57" s="353">
        <v>6700</v>
      </c>
      <c r="F57" s="300">
        <v>12</v>
      </c>
      <c r="G57" s="305">
        <v>80400</v>
      </c>
      <c r="H57" s="306">
        <v>17</v>
      </c>
      <c r="I57" s="253"/>
      <c r="J57" s="308">
        <v>24</v>
      </c>
      <c r="K57" s="308"/>
      <c r="L57" s="308"/>
      <c r="M57" s="309"/>
      <c r="N57" s="314">
        <f t="shared" si="2"/>
        <v>24</v>
      </c>
      <c r="O57" s="298">
        <f t="shared" si="3"/>
        <v>160800</v>
      </c>
      <c r="P57" s="258">
        <f>캠퍼스타운_외부원두영업!I57+잇다카페_외부원두영업!I57+푸른솔!I57+의과대학!I57+중앙도서관!I57+학생회관!I57+제2기숙사!I57+멀티미디어관!I57+선승관!I57+예술디자인대!I57+공학관!I57</f>
        <v>5</v>
      </c>
      <c r="Q57" s="300">
        <f>캠퍼스타운_외부원두영업!J57+잇다카페_외부원두영업!J57+푸른솔!J57+의과대학!J57+중앙도서관!J57+학생회관!J57+멀티미디어관!J57+제2기숙사!J57+선승관!J57+예술디자인대!J57+공학관!J57</f>
        <v>3</v>
      </c>
      <c r="R57" s="292">
        <f>캠퍼스타운_외부원두영업!K57+잇다카페_외부원두영업!K57+푸른솔!K57+의과대학!K57+중앙도서관!K57+학생회관!K57+제2기숙사!K57+멀티미디어관!K57+선승관!K57+예술디자인대!K57+공학관!K57</f>
        <v>3</v>
      </c>
      <c r="S57" s="300">
        <f>캠퍼스타운_외부원두영업!L57+잇다카페_외부원두영업!L57+푸른솔!L57+의과대학!L57+중앙도서관!L57+학생회관!L57+멀티미디어관!L57+제2기숙사!L57+선승관!L57+예술디자인대!L57+공학관!L57</f>
        <v>5</v>
      </c>
      <c r="T57" s="301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311">
        <f t="shared" si="9"/>
        <v>16</v>
      </c>
      <c r="V57" s="302">
        <f t="shared" si="4"/>
        <v>107200</v>
      </c>
      <c r="W57" s="315">
        <f t="shared" si="6"/>
        <v>25</v>
      </c>
      <c r="X57" s="304">
        <f t="shared" si="8"/>
        <v>167500</v>
      </c>
      <c r="Y57" s="364"/>
      <c r="Z57" s="151"/>
      <c r="AA57" s="138">
        <f t="shared" si="10"/>
        <v>0</v>
      </c>
      <c r="AB57" s="393"/>
      <c r="AC57" s="396"/>
    </row>
    <row r="58" spans="1:29">
      <c r="A58" s="382" t="s">
        <v>115</v>
      </c>
      <c r="B58" s="231" t="s">
        <v>71</v>
      </c>
      <c r="C58" s="231" t="s">
        <v>66</v>
      </c>
      <c r="D58" s="231" t="s">
        <v>6</v>
      </c>
      <c r="E58" s="354">
        <v>6900</v>
      </c>
      <c r="F58" s="234">
        <v>6</v>
      </c>
      <c r="G58" s="235">
        <v>41400</v>
      </c>
      <c r="H58" s="236">
        <v>22</v>
      </c>
      <c r="I58" s="238"/>
      <c r="J58" s="238">
        <v>24</v>
      </c>
      <c r="K58" s="238"/>
      <c r="L58" s="238"/>
      <c r="M58" s="239"/>
      <c r="N58" s="240">
        <f t="shared" si="2"/>
        <v>24</v>
      </c>
      <c r="O58" s="287">
        <f t="shared" si="3"/>
        <v>165600</v>
      </c>
      <c r="P58" s="316">
        <f>캠퍼스타운_외부원두영업!I58+잇다카페_외부원두영업!I58+푸른솔!I58+의과대학!I58+중앙도서관!I58+학생회관!I58+제2기숙사!I58+멀티미디어관!I58+선승관!I58+예술디자인대!I58+공학관!I58</f>
        <v>3</v>
      </c>
      <c r="Q58" s="234">
        <f>캠퍼스타운_외부원두영업!J58+잇다카페_외부원두영업!J58+푸른솔!J58+의과대학!J58+중앙도서관!J58+학생회관!J58+멀티미디어관!J58+제2기숙사!J58+선승관!J58+예술디자인대!J58+공학관!J58</f>
        <v>2</v>
      </c>
      <c r="R58" s="281">
        <f>캠퍼스타운_외부원두영업!K58+잇다카페_외부원두영업!K58+푸른솔!K58+의과대학!K58+중앙도서관!K58+학생회관!K58+제2기숙사!K58+멀티미디어관!K58+선승관!K58+예술디자인대!K58+공학관!K58</f>
        <v>6</v>
      </c>
      <c r="S58" s="234">
        <f>캠퍼스타운_외부원두영업!L58+잇다카페_외부원두영업!L58+푸른솔!L58+의과대학!L58+중앙도서관!L58+학생회관!L58+멀티미디어관!L58+제2기숙사!L58+선승관!L58+예술디자인대!L58+공학관!L58</f>
        <v>2</v>
      </c>
      <c r="T58" s="243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244">
        <f t="shared" si="9"/>
        <v>13</v>
      </c>
      <c r="V58" s="245">
        <f t="shared" si="4"/>
        <v>89700</v>
      </c>
      <c r="W58" s="289">
        <f t="shared" si="6"/>
        <v>33</v>
      </c>
      <c r="X58" s="247">
        <f t="shared" si="8"/>
        <v>227700</v>
      </c>
      <c r="Y58" s="365"/>
      <c r="Z58" s="134"/>
      <c r="AA58" s="139">
        <f t="shared" si="10"/>
        <v>0</v>
      </c>
      <c r="AB58" s="407">
        <f>SUM(AA58:AA68)</f>
        <v>0</v>
      </c>
      <c r="AC58" s="401">
        <f>AB58*1.1</f>
        <v>0</v>
      </c>
    </row>
    <row r="59" spans="1:29">
      <c r="A59" s="383"/>
      <c r="B59" s="264" t="s">
        <v>72</v>
      </c>
      <c r="C59" s="264" t="s">
        <v>66</v>
      </c>
      <c r="D59" s="264" t="s">
        <v>6</v>
      </c>
      <c r="E59" s="343">
        <v>6900</v>
      </c>
      <c r="F59" s="250">
        <v>6</v>
      </c>
      <c r="G59" s="251">
        <v>41400</v>
      </c>
      <c r="H59" s="252">
        <v>12</v>
      </c>
      <c r="I59" s="254"/>
      <c r="J59" s="254">
        <v>18</v>
      </c>
      <c r="K59" s="254"/>
      <c r="L59" s="254"/>
      <c r="M59" s="255"/>
      <c r="N59" s="256">
        <f t="shared" si="2"/>
        <v>18</v>
      </c>
      <c r="O59" s="257">
        <f t="shared" si="3"/>
        <v>124200</v>
      </c>
      <c r="P59" s="258">
        <f>캠퍼스타운_외부원두영업!I59+잇다카페_외부원두영업!I59+푸른솔!I59+의과대학!I59+중앙도서관!I59+학생회관!I59+제2기숙사!I59+멀티미디어관!I59+선승관!I59+예술디자인대!I59+공학관!I59</f>
        <v>3</v>
      </c>
      <c r="Q59" s="250">
        <f>캠퍼스타운_외부원두영업!J59+잇다카페_외부원두영업!J59+푸른솔!J59+의과대학!J59+중앙도서관!J59+학생회관!J59+멀티미디어관!J59+제2기숙사!J59+선승관!J59+예술디자인대!J59+공학관!J59</f>
        <v>3</v>
      </c>
      <c r="R59" s="250">
        <f>캠퍼스타운_외부원두영업!K59+잇다카페_외부원두영업!K59+푸른솔!K59+의과대학!K59+중앙도서관!K59+학생회관!K59+제2기숙사!K59+멀티미디어관!K59+선승관!K59+예술디자인대!K59+공학관!K59</f>
        <v>1</v>
      </c>
      <c r="S59" s="250">
        <f>캠퍼스타운_외부원두영업!L59+잇다카페_외부원두영업!L59+푸른솔!L59+의과대학!L59+중앙도서관!L59+학생회관!L59+멀티미디어관!L59+제2기숙사!L59+선승관!L59+예술디자인대!L59+공학관!L59</f>
        <v>2</v>
      </c>
      <c r="T59" s="259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260">
        <f t="shared" si="9"/>
        <v>9</v>
      </c>
      <c r="V59" s="261">
        <f t="shared" si="4"/>
        <v>62100</v>
      </c>
      <c r="W59" s="262">
        <f t="shared" si="6"/>
        <v>21</v>
      </c>
      <c r="X59" s="263">
        <f t="shared" si="8"/>
        <v>144900</v>
      </c>
      <c r="Y59" s="363"/>
      <c r="Z59" s="133"/>
      <c r="AA59" s="132">
        <f t="shared" si="10"/>
        <v>0</v>
      </c>
      <c r="AB59" s="409"/>
      <c r="AC59" s="403"/>
    </row>
    <row r="60" spans="1:29">
      <c r="A60" s="383"/>
      <c r="B60" s="248" t="s">
        <v>73</v>
      </c>
      <c r="C60" s="248" t="s">
        <v>66</v>
      </c>
      <c r="D60" s="248" t="s">
        <v>6</v>
      </c>
      <c r="E60" s="342">
        <v>6800</v>
      </c>
      <c r="F60" s="250">
        <v>6</v>
      </c>
      <c r="G60" s="251">
        <v>40800</v>
      </c>
      <c r="H60" s="252">
        <v>8</v>
      </c>
      <c r="I60" s="254"/>
      <c r="J60" s="254">
        <v>18</v>
      </c>
      <c r="K60" s="254"/>
      <c r="L60" s="254"/>
      <c r="M60" s="255"/>
      <c r="N60" s="256">
        <f t="shared" si="2"/>
        <v>18</v>
      </c>
      <c r="O60" s="257">
        <f t="shared" si="3"/>
        <v>122400</v>
      </c>
      <c r="P60" s="258">
        <f>캠퍼스타운_외부원두영업!I60+잇다카페_외부원두영업!I60+푸른솔!I60+의과대학!I60+중앙도서관!I60+학생회관!I60+제2기숙사!I60+멀티미디어관!I60+선승관!I60+예술디자인대!I60+공학관!I60</f>
        <v>2</v>
      </c>
      <c r="Q60" s="250">
        <f>캠퍼스타운_외부원두영업!J60+잇다카페_외부원두영업!J60+푸른솔!J60+의과대학!J60+중앙도서관!J60+학생회관!J60+멀티미디어관!J60+제2기숙사!J60+선승관!J60+예술디자인대!J60+공학관!J60</f>
        <v>6</v>
      </c>
      <c r="R60" s="250">
        <f>캠퍼스타운_외부원두영업!K60+잇다카페_외부원두영업!K60+푸른솔!K60+의과대학!K60+중앙도서관!K60+학생회관!K60+제2기숙사!K60+멀티미디어관!K60+선승관!K60+예술디자인대!K60+공학관!K60</f>
        <v>2</v>
      </c>
      <c r="S60" s="250">
        <f>캠퍼스타운_외부원두영업!L60+잇다카페_외부원두영업!L60+푸른솔!L60+의과대학!L60+중앙도서관!L60+학생회관!L60+멀티미디어관!L60+제2기숙사!L60+선승관!L60+예술디자인대!L60+공학관!L60</f>
        <v>1</v>
      </c>
      <c r="T60" s="259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60">
        <f t="shared" si="9"/>
        <v>11</v>
      </c>
      <c r="V60" s="261">
        <f t="shared" si="4"/>
        <v>74800</v>
      </c>
      <c r="W60" s="262">
        <f t="shared" si="6"/>
        <v>15</v>
      </c>
      <c r="X60" s="263">
        <f t="shared" si="8"/>
        <v>102000</v>
      </c>
      <c r="Y60" s="363"/>
      <c r="Z60" s="133"/>
      <c r="AA60" s="132">
        <f t="shared" si="10"/>
        <v>0</v>
      </c>
      <c r="AB60" s="409"/>
      <c r="AC60" s="403"/>
    </row>
    <row r="61" spans="1:29">
      <c r="A61" s="383"/>
      <c r="B61" s="248" t="s">
        <v>74</v>
      </c>
      <c r="C61" s="248" t="s">
        <v>75</v>
      </c>
      <c r="D61" s="248" t="s">
        <v>6</v>
      </c>
      <c r="E61" s="342">
        <v>15000</v>
      </c>
      <c r="F61" s="250">
        <v>4</v>
      </c>
      <c r="G61" s="251">
        <v>60000</v>
      </c>
      <c r="H61" s="252">
        <v>22</v>
      </c>
      <c r="I61" s="254"/>
      <c r="J61" s="254">
        <v>40</v>
      </c>
      <c r="K61" s="254"/>
      <c r="L61" s="254"/>
      <c r="M61" s="255"/>
      <c r="N61" s="256">
        <f t="shared" si="2"/>
        <v>40</v>
      </c>
      <c r="O61" s="257">
        <f t="shared" si="3"/>
        <v>600000</v>
      </c>
      <c r="P61" s="258">
        <f>캠퍼스타운_외부원두영업!I61+잇다카페_외부원두영업!I61+푸른솔!I61+의과대학!I61+중앙도서관!I61+학생회관!I61+제2기숙사!I61+멀티미디어관!I61+선승관!I61+예술디자인대!I61+공학관!I61</f>
        <v>11</v>
      </c>
      <c r="Q61" s="250">
        <f>캠퍼스타운_외부원두영업!J61+잇다카페_외부원두영업!J61+푸른솔!J61+의과대학!J61+중앙도서관!J61+학생회관!J61+멀티미디어관!J61+제2기숙사!J61+선승관!J61+예술디자인대!J61+공학관!J61</f>
        <v>6</v>
      </c>
      <c r="R61" s="250">
        <f>캠퍼스타운_외부원두영업!K61+잇다카페_외부원두영업!K61+푸른솔!K61+의과대학!K61+중앙도서관!K61+학생회관!K61+제2기숙사!K61+멀티미디어관!K61+선승관!K61+예술디자인대!K61+공학관!K61</f>
        <v>7</v>
      </c>
      <c r="S61" s="250">
        <f>캠퍼스타운_외부원두영업!L61+잇다카페_외부원두영업!L61+푸른솔!L61+의과대학!L61+중앙도서관!L61+학생회관!L61+멀티미디어관!L61+제2기숙사!L61+선승관!L61+예술디자인대!L61+공학관!L61</f>
        <v>7</v>
      </c>
      <c r="T61" s="259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260">
        <f t="shared" si="9"/>
        <v>31</v>
      </c>
      <c r="V61" s="261">
        <f t="shared" si="4"/>
        <v>465000</v>
      </c>
      <c r="W61" s="262">
        <f t="shared" si="6"/>
        <v>31</v>
      </c>
      <c r="X61" s="263">
        <f t="shared" si="8"/>
        <v>465000</v>
      </c>
      <c r="Y61" s="363"/>
      <c r="Z61" s="133"/>
      <c r="AA61" s="132">
        <f t="shared" si="10"/>
        <v>0</v>
      </c>
      <c r="AB61" s="409"/>
      <c r="AC61" s="403"/>
    </row>
    <row r="62" spans="1:29">
      <c r="A62" s="383"/>
      <c r="B62" s="248" t="s">
        <v>76</v>
      </c>
      <c r="C62" s="248" t="s">
        <v>77</v>
      </c>
      <c r="D62" s="248" t="s">
        <v>6</v>
      </c>
      <c r="E62" s="342">
        <v>5300</v>
      </c>
      <c r="F62" s="250">
        <v>6</v>
      </c>
      <c r="G62" s="251">
        <v>31800</v>
      </c>
      <c r="H62" s="252">
        <v>0</v>
      </c>
      <c r="I62" s="254"/>
      <c r="J62" s="254"/>
      <c r="K62" s="254"/>
      <c r="L62" s="254"/>
      <c r="M62" s="255"/>
      <c r="N62" s="256">
        <f t="shared" si="2"/>
        <v>0</v>
      </c>
      <c r="O62" s="257">
        <f t="shared" si="3"/>
        <v>0</v>
      </c>
      <c r="P62" s="258">
        <f>캠퍼스타운_외부원두영업!I62+잇다카페_외부원두영업!I62+푸른솔!I62+의과대학!I62+중앙도서관!I62+학생회관!I62+제2기숙사!I62+멀티미디어관!I62+선승관!I62+예술디자인대!I62+공학관!I62</f>
        <v>0</v>
      </c>
      <c r="Q62" s="250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250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250">
        <f>캠퍼스타운_외부원두영업!L62+잇다카페_외부원두영업!L62+푸른솔!L62+의과대학!L62+중앙도서관!L62+학생회관!L62+멀티미디어관!L62+제2기숙사!L62+선승관!L62+예술디자인대!L62+공학관!L62</f>
        <v>0</v>
      </c>
      <c r="T62" s="259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60">
        <f t="shared" si="9"/>
        <v>0</v>
      </c>
      <c r="V62" s="261">
        <f t="shared" si="4"/>
        <v>0</v>
      </c>
      <c r="W62" s="262">
        <f t="shared" si="6"/>
        <v>0</v>
      </c>
      <c r="X62" s="263">
        <f t="shared" si="8"/>
        <v>0</v>
      </c>
      <c r="Y62" s="363"/>
      <c r="Z62" s="133"/>
      <c r="AA62" s="132">
        <f t="shared" si="10"/>
        <v>0</v>
      </c>
      <c r="AB62" s="409"/>
      <c r="AC62" s="403"/>
    </row>
    <row r="63" spans="1:29">
      <c r="A63" s="383"/>
      <c r="B63" s="248" t="s">
        <v>78</v>
      </c>
      <c r="C63" s="248" t="s">
        <v>77</v>
      </c>
      <c r="D63" s="248" t="s">
        <v>6</v>
      </c>
      <c r="E63" s="342">
        <v>6600</v>
      </c>
      <c r="F63" s="250">
        <v>6</v>
      </c>
      <c r="G63" s="251">
        <v>39600</v>
      </c>
      <c r="H63" s="252">
        <v>5</v>
      </c>
      <c r="I63" s="254"/>
      <c r="J63" s="254">
        <v>30</v>
      </c>
      <c r="K63" s="254"/>
      <c r="L63" s="254"/>
      <c r="M63" s="255"/>
      <c r="N63" s="256">
        <f t="shared" si="2"/>
        <v>30</v>
      </c>
      <c r="O63" s="257">
        <f t="shared" si="3"/>
        <v>198000</v>
      </c>
      <c r="P63" s="258">
        <f>캠퍼스타운_외부원두영업!I63+잇다카페_외부원두영업!I63+푸른솔!I63+의과대학!I63+중앙도서관!I63+학생회관!I63+제2기숙사!I63+멀티미디어관!I63+선승관!I63+예술디자인대!I63+공학관!I63</f>
        <v>5</v>
      </c>
      <c r="Q63" s="250">
        <f>캠퍼스타운_외부원두영업!J63+잇다카페_외부원두영업!J63+푸른솔!J63+의과대학!J63+중앙도서관!J63+학생회관!J63+멀티미디어관!J63+제2기숙사!J63+선승관!J63+예술디자인대!J63+공학관!J63</f>
        <v>9</v>
      </c>
      <c r="R63" s="250">
        <f>캠퍼스타운_외부원두영업!K63+잇다카페_외부원두영업!K63+푸른솔!K63+의과대학!K63+중앙도서관!K63+학생회관!K63+제2기숙사!K63+멀티미디어관!K63+선승관!K63+예술디자인대!K63+공학관!K63</f>
        <v>3</v>
      </c>
      <c r="S63" s="250">
        <f>캠퍼스타운_외부원두영업!L63+잇다카페_외부원두영업!L63+푸른솔!L63+의과대학!L63+중앙도서관!L63+학생회관!L63+멀티미디어관!L63+제2기숙사!L63+선승관!L63+예술디자인대!L63+공학관!L63</f>
        <v>2</v>
      </c>
      <c r="T63" s="259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260">
        <f t="shared" si="9"/>
        <v>19</v>
      </c>
      <c r="V63" s="261">
        <f t="shared" si="4"/>
        <v>125400</v>
      </c>
      <c r="W63" s="262">
        <f t="shared" si="6"/>
        <v>16</v>
      </c>
      <c r="X63" s="263">
        <f t="shared" si="8"/>
        <v>105600</v>
      </c>
      <c r="Y63" s="363"/>
      <c r="Z63" s="133"/>
      <c r="AA63" s="132">
        <f t="shared" si="10"/>
        <v>0</v>
      </c>
      <c r="AB63" s="409"/>
      <c r="AC63" s="403"/>
    </row>
    <row r="64" spans="1:29">
      <c r="A64" s="383"/>
      <c r="B64" s="248" t="s">
        <v>79</v>
      </c>
      <c r="C64" s="248" t="s">
        <v>80</v>
      </c>
      <c r="D64" s="248" t="s">
        <v>6</v>
      </c>
      <c r="E64" s="342">
        <v>5600</v>
      </c>
      <c r="F64" s="250">
        <v>10</v>
      </c>
      <c r="G64" s="251">
        <v>56000</v>
      </c>
      <c r="H64" s="252">
        <v>0</v>
      </c>
      <c r="I64" s="254"/>
      <c r="J64" s="254"/>
      <c r="K64" s="254"/>
      <c r="L64" s="254"/>
      <c r="M64" s="255"/>
      <c r="N64" s="256">
        <f t="shared" si="2"/>
        <v>0</v>
      </c>
      <c r="O64" s="257">
        <f t="shared" si="3"/>
        <v>0</v>
      </c>
      <c r="P64" s="258">
        <f>캠퍼스타운_외부원두영업!I64+잇다카페_외부원두영업!I64+푸른솔!I64+의과대학!I64+중앙도서관!I64+학생회관!I64+제2기숙사!I64+멀티미디어관!I64+선승관!I64+예술디자인대!I64+공학관!I64</f>
        <v>0</v>
      </c>
      <c r="Q64" s="250">
        <f>캠퍼스타운_외부원두영업!J64+잇다카페_외부원두영업!J64+푸른솔!J64+의과대학!J64+중앙도서관!J64+학생회관!J64+멀티미디어관!J64+제2기숙사!J64+선승관!J64+예술디자인대!J64+공학관!J64</f>
        <v>0</v>
      </c>
      <c r="R64" s="250">
        <f>캠퍼스타운_외부원두영업!K64+잇다카페_외부원두영업!K64+푸른솔!K64+의과대학!K64+중앙도서관!K64+학생회관!K64+제2기숙사!K64+멀티미디어관!K64+선승관!K64+예술디자인대!K64+공학관!K64</f>
        <v>0</v>
      </c>
      <c r="S64" s="250">
        <f>캠퍼스타운_외부원두영업!L64+잇다카페_외부원두영업!L64+푸른솔!L64+의과대학!L64+중앙도서관!L64+학생회관!L64+멀티미디어관!L64+제2기숙사!L64+선승관!L64+예술디자인대!L64+공학관!L64</f>
        <v>0</v>
      </c>
      <c r="T64" s="259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260">
        <f t="shared" si="9"/>
        <v>0</v>
      </c>
      <c r="V64" s="261">
        <f t="shared" si="4"/>
        <v>0</v>
      </c>
      <c r="W64" s="262">
        <f t="shared" si="6"/>
        <v>0</v>
      </c>
      <c r="X64" s="263">
        <f t="shared" si="8"/>
        <v>0</v>
      </c>
      <c r="Y64" s="363"/>
      <c r="Z64" s="133"/>
      <c r="AA64" s="132">
        <f t="shared" si="10"/>
        <v>0</v>
      </c>
      <c r="AB64" s="409"/>
      <c r="AC64" s="403"/>
    </row>
    <row r="65" spans="1:29">
      <c r="A65" s="383"/>
      <c r="B65" s="248" t="s">
        <v>154</v>
      </c>
      <c r="C65" s="248" t="s">
        <v>153</v>
      </c>
      <c r="D65" s="248" t="s">
        <v>6</v>
      </c>
      <c r="E65" s="342">
        <v>7000</v>
      </c>
      <c r="F65" s="250">
        <v>6</v>
      </c>
      <c r="G65" s="251">
        <f>F65*E65</f>
        <v>42000</v>
      </c>
      <c r="H65" s="252">
        <v>16</v>
      </c>
      <c r="I65" s="254"/>
      <c r="J65" s="254">
        <v>24</v>
      </c>
      <c r="K65" s="254"/>
      <c r="L65" s="254"/>
      <c r="M65" s="255"/>
      <c r="N65" s="256">
        <f t="shared" si="2"/>
        <v>24</v>
      </c>
      <c r="O65" s="257"/>
      <c r="P65" s="258">
        <f>캠퍼스타운_외부원두영업!I65+잇다카페_외부원두영업!I65+푸른솔!I65+의과대학!I65+중앙도서관!I65+학생회관!I65+제2기숙사!I65+멀티미디어관!I65+선승관!I65+예술디자인대!I65+공학관!I65</f>
        <v>4</v>
      </c>
      <c r="Q65" s="250">
        <f>캠퍼스타운_외부원두영업!J65+잇다카페_외부원두영업!J65+푸른솔!J65+의과대학!J65+중앙도서관!J65+학생회관!J65+멀티미디어관!J65+제2기숙사!J65+선승관!J65+예술디자인대!J65+공학관!J65</f>
        <v>2</v>
      </c>
      <c r="R65" s="250">
        <f>캠퍼스타운_외부원두영업!K65+잇다카페_외부원두영업!K65+푸른솔!K65+의과대학!K65+중앙도서관!K65+학생회관!K65+제2기숙사!K65+멀티미디어관!K65+선승관!K65+예술디자인대!K65+공학관!K65</f>
        <v>2</v>
      </c>
      <c r="S65" s="250">
        <f>캠퍼스타운_외부원두영업!L65+잇다카페_외부원두영업!L65+푸른솔!L65+의과대학!L65+중앙도서관!L65+학생회관!L65+멀티미디어관!L65+제2기숙사!L65+선승관!L65+예술디자인대!L65+공학관!L65</f>
        <v>5</v>
      </c>
      <c r="T65" s="259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260">
        <f>P65+Q65+R65+S65+T65</f>
        <v>13</v>
      </c>
      <c r="V65" s="261">
        <f>E65*U65</f>
        <v>91000</v>
      </c>
      <c r="W65" s="262">
        <f>(H65+N65)-U65</f>
        <v>27</v>
      </c>
      <c r="X65" s="263">
        <f t="shared" si="8"/>
        <v>189000</v>
      </c>
      <c r="Y65" s="363"/>
      <c r="Z65" s="133"/>
      <c r="AA65" s="132">
        <f t="shared" si="10"/>
        <v>0</v>
      </c>
      <c r="AB65" s="409"/>
      <c r="AC65" s="403"/>
    </row>
    <row r="66" spans="1:29">
      <c r="A66" s="383"/>
      <c r="B66" s="248" t="s">
        <v>81</v>
      </c>
      <c r="C66" s="248" t="s">
        <v>82</v>
      </c>
      <c r="D66" s="248" t="s">
        <v>6</v>
      </c>
      <c r="E66" s="342">
        <v>14100</v>
      </c>
      <c r="F66" s="250">
        <v>4</v>
      </c>
      <c r="G66" s="251">
        <v>56400</v>
      </c>
      <c r="H66" s="252">
        <v>14</v>
      </c>
      <c r="I66" s="254"/>
      <c r="J66" s="254">
        <v>12</v>
      </c>
      <c r="K66" s="254"/>
      <c r="L66" s="254"/>
      <c r="M66" s="255"/>
      <c r="N66" s="256">
        <f t="shared" si="2"/>
        <v>12</v>
      </c>
      <c r="O66" s="257">
        <f t="shared" si="3"/>
        <v>169200</v>
      </c>
      <c r="P66" s="258">
        <f>캠퍼스타운_외부원두영업!I66+잇다카페_외부원두영업!I66+푸른솔!I66+의과대학!I66+중앙도서관!I66+학생회관!I66+제2기숙사!I66+멀티미디어관!I66+선승관!I66+예술디자인대!I66+공학관!I66</f>
        <v>0</v>
      </c>
      <c r="Q66" s="250">
        <f>캠퍼스타운_외부원두영업!J66+잇다카페_외부원두영업!J66+푸른솔!J66+의과대학!J66+중앙도서관!J66+학생회관!J66+멀티미디어관!J66+제2기숙사!J66+선승관!J66+예술디자인대!J66+공학관!J66</f>
        <v>3</v>
      </c>
      <c r="R66" s="250">
        <f>캠퍼스타운_외부원두영업!K66+잇다카페_외부원두영업!K66+푸른솔!K66+의과대학!K66+중앙도서관!K66+학생회관!K66+제2기숙사!K66+멀티미디어관!K66+선승관!K66+예술디자인대!K66+공학관!K66</f>
        <v>0</v>
      </c>
      <c r="S66" s="250">
        <f>캠퍼스타운_외부원두영업!L66+잇다카페_외부원두영업!L66+푸른솔!L66+의과대학!L66+중앙도서관!L66+학생회관!L66+멀티미디어관!L66+제2기숙사!L66+선승관!L66+예술디자인대!L66+공학관!L66</f>
        <v>1</v>
      </c>
      <c r="T66" s="259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260">
        <f t="shared" si="9"/>
        <v>4</v>
      </c>
      <c r="V66" s="261">
        <f t="shared" si="4"/>
        <v>56400</v>
      </c>
      <c r="W66" s="262">
        <f t="shared" si="6"/>
        <v>22</v>
      </c>
      <c r="X66" s="263">
        <f t="shared" si="8"/>
        <v>310200</v>
      </c>
      <c r="Y66" s="363"/>
      <c r="Z66" s="133"/>
      <c r="AA66" s="132">
        <f t="shared" si="10"/>
        <v>0</v>
      </c>
      <c r="AB66" s="409"/>
      <c r="AC66" s="403"/>
    </row>
    <row r="67" spans="1:29">
      <c r="A67" s="383"/>
      <c r="B67" s="248" t="s">
        <v>83</v>
      </c>
      <c r="C67" s="248" t="s">
        <v>82</v>
      </c>
      <c r="D67" s="248" t="s">
        <v>6</v>
      </c>
      <c r="E67" s="342">
        <v>15100</v>
      </c>
      <c r="F67" s="250">
        <v>4</v>
      </c>
      <c r="G67" s="251">
        <v>60400</v>
      </c>
      <c r="H67" s="252">
        <v>12</v>
      </c>
      <c r="I67" s="254"/>
      <c r="J67" s="254">
        <v>8</v>
      </c>
      <c r="K67" s="254"/>
      <c r="L67" s="254"/>
      <c r="M67" s="255"/>
      <c r="N67" s="256">
        <f t="shared" si="2"/>
        <v>8</v>
      </c>
      <c r="O67" s="257">
        <f t="shared" si="3"/>
        <v>120800</v>
      </c>
      <c r="P67" s="258">
        <f>캠퍼스타운_외부원두영업!I67+잇다카페_외부원두영업!I67+푸른솔!I67+의과대학!I67+중앙도서관!I67+학생회관!I67+제2기숙사!I67+멀티미디어관!I67+선승관!I67+예술디자인대!I67+공학관!I67</f>
        <v>1</v>
      </c>
      <c r="Q67" s="250">
        <f>캠퍼스타운_외부원두영업!J67+잇다카페_외부원두영업!J67+푸른솔!J67+의과대학!J67+중앙도서관!J67+학생회관!J67+멀티미디어관!J67+제2기숙사!J67+선승관!J67+예술디자인대!J67+공학관!J67</f>
        <v>2</v>
      </c>
      <c r="R67" s="250">
        <f>캠퍼스타운_외부원두영업!K67+잇다카페_외부원두영업!K67+푸른솔!K67+의과대학!K67+중앙도서관!K67+학생회관!K67+제2기숙사!K67+멀티미디어관!K67+선승관!K67+예술디자인대!K67+공학관!K67</f>
        <v>1</v>
      </c>
      <c r="S67" s="250">
        <f>캠퍼스타운_외부원두영업!L67+잇다카페_외부원두영업!L67+푸른솔!L67+의과대학!L67+중앙도서관!L67+학생회관!L67+멀티미디어관!L67+제2기숙사!L67+선승관!L67+예술디자인대!L67+공학관!L67</f>
        <v>0</v>
      </c>
      <c r="T67" s="259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260">
        <f t="shared" si="9"/>
        <v>4</v>
      </c>
      <c r="V67" s="261">
        <f t="shared" si="4"/>
        <v>60400</v>
      </c>
      <c r="W67" s="262">
        <f t="shared" si="6"/>
        <v>16</v>
      </c>
      <c r="X67" s="263">
        <f t="shared" si="8"/>
        <v>241600</v>
      </c>
      <c r="Y67" s="363"/>
      <c r="Z67" s="133"/>
      <c r="AA67" s="132">
        <f t="shared" si="10"/>
        <v>0</v>
      </c>
      <c r="AB67" s="409"/>
      <c r="AC67" s="403"/>
    </row>
    <row r="68" spans="1:29" ht="17.25" thickBot="1">
      <c r="A68" s="384"/>
      <c r="B68" s="291" t="s">
        <v>84</v>
      </c>
      <c r="C68" s="291" t="s">
        <v>75</v>
      </c>
      <c r="D68" s="291" t="s">
        <v>6</v>
      </c>
      <c r="E68" s="352">
        <v>15300</v>
      </c>
      <c r="F68" s="300">
        <v>4</v>
      </c>
      <c r="G68" s="251">
        <v>61200</v>
      </c>
      <c r="H68" s="306">
        <v>18</v>
      </c>
      <c r="I68" s="308"/>
      <c r="J68" s="308">
        <v>20</v>
      </c>
      <c r="K68" s="308"/>
      <c r="L68" s="308"/>
      <c r="M68" s="309"/>
      <c r="N68" s="256">
        <f t="shared" si="2"/>
        <v>20</v>
      </c>
      <c r="O68" s="317">
        <f t="shared" si="3"/>
        <v>306000</v>
      </c>
      <c r="P68" s="258">
        <f>캠퍼스타운_외부원두영업!I68+잇다카페_외부원두영업!I68+푸른솔!I68+의과대학!I68+중앙도서관!I68+학생회관!I68+제2기숙사!I68+멀티미디어관!I68+선승관!I68+예술디자인대!I68+공학관!I68</f>
        <v>0</v>
      </c>
      <c r="Q68" s="292">
        <f>캠퍼스타운_외부원두영업!J68+잇다카페_외부원두영업!J68+푸른솔!J68+의과대학!J68+중앙도서관!J68+학생회관!J68+멀티미디어관!J68+제2기숙사!J68+선승관!J68+예술디자인대!J68+공학관!J68</f>
        <v>2</v>
      </c>
      <c r="R68" s="292">
        <f>캠퍼스타운_외부원두영업!K68+잇다카페_외부원두영업!K68+푸른솔!K68+의과대학!K68+중앙도서관!K68+학생회관!K68+제2기숙사!K68+멀티미디어관!K68+선승관!K68+예술디자인대!K68+공학관!K68</f>
        <v>0</v>
      </c>
      <c r="S68" s="292">
        <f>캠퍼스타운_외부원두영업!L68+잇다카페_외부원두영업!L68+푸른솔!L68+의과대학!L68+중앙도서관!L68+학생회관!L68+멀티미디어관!L68+제2기숙사!L68+선승관!L68+예술디자인대!L68+공학관!L68</f>
        <v>3</v>
      </c>
      <c r="T68" s="310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311">
        <f t="shared" si="9"/>
        <v>5</v>
      </c>
      <c r="V68" s="302">
        <f t="shared" si="4"/>
        <v>76500</v>
      </c>
      <c r="W68" s="262">
        <f t="shared" si="6"/>
        <v>33</v>
      </c>
      <c r="X68" s="304">
        <f t="shared" si="8"/>
        <v>504900</v>
      </c>
      <c r="Y68" s="364"/>
      <c r="Z68" s="133"/>
      <c r="AA68" s="140">
        <f t="shared" si="10"/>
        <v>0</v>
      </c>
      <c r="AB68" s="408"/>
      <c r="AC68" s="402"/>
    </row>
    <row r="69" spans="1:29">
      <c r="A69" s="389" t="s">
        <v>116</v>
      </c>
      <c r="B69" s="232" t="s">
        <v>86</v>
      </c>
      <c r="C69" s="318" t="s">
        <v>87</v>
      </c>
      <c r="D69" s="232" t="s">
        <v>6</v>
      </c>
      <c r="E69" s="351">
        <v>11000</v>
      </c>
      <c r="F69" s="234">
        <v>10</v>
      </c>
      <c r="G69" s="243">
        <v>110000</v>
      </c>
      <c r="H69" s="236">
        <v>151</v>
      </c>
      <c r="I69" s="238"/>
      <c r="J69" s="238">
        <v>400</v>
      </c>
      <c r="K69" s="238"/>
      <c r="L69" s="238"/>
      <c r="M69" s="239"/>
      <c r="N69" s="240">
        <f t="shared" si="2"/>
        <v>400</v>
      </c>
      <c r="O69" s="241">
        <f t="shared" si="3"/>
        <v>4400000</v>
      </c>
      <c r="P69" s="316">
        <f>캠퍼스타운_외부원두영업!I69+잇다카페_외부원두영업!I69+푸른솔!I69+의과대학!I69+중앙도서관!I69+학생회관!I69+제2기숙사!I69+멀티미디어관!I69+선승관!I69+예술디자인대!I69+공학관!I69</f>
        <v>64</v>
      </c>
      <c r="Q69" s="234">
        <f>캠퍼스타운_외부원두영업!J69+잇다카페_외부원두영업!J69+푸른솔!J69+의과대학!J69+중앙도서관!J69+학생회관!J69+멀티미디어관!J69+제2기숙사!J69+선승관!J69+예술디자인대!J69+공학관!J69</f>
        <v>71</v>
      </c>
      <c r="R69" s="281">
        <f>캠퍼스타운_외부원두영업!K69+잇다카페_외부원두영업!K69+푸른솔!K69+의과대학!K69+중앙도서관!K69+학생회관!K69+제2기숙사!K69+멀티미디어관!K69+선승관!K69+예술디자인대!K69+공학관!K69</f>
        <v>85</v>
      </c>
      <c r="S69" s="234">
        <f>캠퍼스타운_외부원두영업!L69+잇다카페_외부원두영업!L69+푸른솔!L69+의과대학!L69+중앙도서관!L69+학생회관!L69+멀티미디어관!L69+제2기숙사!L69+선승관!L69+예술디자인대!L69+공학관!L69</f>
        <v>76</v>
      </c>
      <c r="T69" s="243">
        <f>캠퍼스타운_외부원두영업!M69+잇다카페_외부원두영업!M69+푸른솔!M69+의과대학!M69+중앙도서관!M69+학생회관!M69+멀티미디어관!M69+제2기숙사!M69+선승관!M69+예술디자인대!M69+공학관!M69</f>
        <v>0</v>
      </c>
      <c r="U69" s="244">
        <f t="shared" si="9"/>
        <v>296</v>
      </c>
      <c r="V69" s="245">
        <f t="shared" si="4"/>
        <v>3256000</v>
      </c>
      <c r="W69" s="246">
        <f t="shared" si="6"/>
        <v>255</v>
      </c>
      <c r="X69" s="247">
        <f t="shared" si="8"/>
        <v>2805000</v>
      </c>
      <c r="Y69" s="365"/>
      <c r="Z69" s="134"/>
      <c r="AA69" s="135">
        <f t="shared" si="10"/>
        <v>0</v>
      </c>
      <c r="AB69" s="392">
        <f>AA69+AA70</f>
        <v>0</v>
      </c>
      <c r="AC69" s="395">
        <f>AB69*1.1</f>
        <v>0</v>
      </c>
    </row>
    <row r="70" spans="1:29" ht="17.25" thickBot="1">
      <c r="A70" s="390"/>
      <c r="B70" s="291" t="s">
        <v>88</v>
      </c>
      <c r="C70" s="291" t="s">
        <v>87</v>
      </c>
      <c r="D70" s="291" t="s">
        <v>6</v>
      </c>
      <c r="E70" s="350">
        <v>19000</v>
      </c>
      <c r="F70" s="292">
        <v>10</v>
      </c>
      <c r="G70" s="310">
        <v>190000</v>
      </c>
      <c r="H70" s="293">
        <v>25</v>
      </c>
      <c r="I70" s="295"/>
      <c r="J70" s="295"/>
      <c r="K70" s="295"/>
      <c r="L70" s="295"/>
      <c r="M70" s="296"/>
      <c r="N70" s="297">
        <f t="shared" si="2"/>
        <v>0</v>
      </c>
      <c r="O70" s="298">
        <f t="shared" si="3"/>
        <v>0</v>
      </c>
      <c r="P70" s="299">
        <f>캠퍼스타운_외부원두영업!I70+잇다카페_외부원두영업!I70+푸른솔!I70+의과대학!I70+중앙도서관!I70+학생회관!I70+제2기숙사!I70+멀티미디어관!I70+선승관!I70+예술디자인대!I70+공학관!I70</f>
        <v>3</v>
      </c>
      <c r="Q70" s="292">
        <f>캠퍼스타운_외부원두영업!J70+잇다카페_외부원두영업!J70+푸른솔!J70+의과대학!J70+중앙도서관!J70+학생회관!J70+멀티미디어관!J70+제2기숙사!J70+선승관!J70+예술디자인대!J70+공학관!J70</f>
        <v>2</v>
      </c>
      <c r="R70" s="292">
        <f>캠퍼스타운_외부원두영업!K70+잇다카페_외부원두영업!K70+푸른솔!K70+의과대학!K70+중앙도서관!K70+학생회관!K70+제2기숙사!K70+멀티미디어관!K70+선승관!K70+예술디자인대!K70+공학관!K70</f>
        <v>2</v>
      </c>
      <c r="S70" s="292">
        <f>캠퍼스타운_외부원두영업!L70+잇다카페_외부원두영업!L70+푸른솔!L70+의과대학!L70+중앙도서관!L70+학생회관!L70+멀티미디어관!L70+제2기숙사!L70+선승관!L70+예술디자인대!L70+공학관!L70</f>
        <v>6</v>
      </c>
      <c r="T70" s="310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311">
        <f t="shared" si="9"/>
        <v>13</v>
      </c>
      <c r="V70" s="302">
        <f t="shared" si="4"/>
        <v>247000</v>
      </c>
      <c r="W70" s="303">
        <f t="shared" si="6"/>
        <v>12</v>
      </c>
      <c r="X70" s="304">
        <f t="shared" si="8"/>
        <v>228000</v>
      </c>
      <c r="Y70" s="366"/>
      <c r="Z70" s="136"/>
      <c r="AA70" s="142">
        <f t="shared" si="10"/>
        <v>0</v>
      </c>
      <c r="AB70" s="394"/>
      <c r="AC70" s="397"/>
    </row>
    <row r="71" spans="1:29">
      <c r="A71" s="385" t="s">
        <v>89</v>
      </c>
      <c r="B71" s="232" t="s">
        <v>90</v>
      </c>
      <c r="C71" s="232" t="s">
        <v>91</v>
      </c>
      <c r="D71" s="232" t="s">
        <v>92</v>
      </c>
      <c r="E71" s="351">
        <v>4000</v>
      </c>
      <c r="F71" s="234">
        <v>1</v>
      </c>
      <c r="G71" s="243">
        <v>4000</v>
      </c>
      <c r="H71" s="236">
        <v>31</v>
      </c>
      <c r="I71" s="237"/>
      <c r="J71" s="238"/>
      <c r="K71" s="238"/>
      <c r="L71" s="238"/>
      <c r="M71" s="239"/>
      <c r="N71" s="286">
        <f t="shared" si="2"/>
        <v>0</v>
      </c>
      <c r="O71" s="287">
        <f t="shared" si="3"/>
        <v>0</v>
      </c>
      <c r="P71" s="273">
        <f>캠퍼스타운_외부원두영업!I71+잇다카페_외부원두영업!I71+푸른솔!I71+의과대학!I71+중앙도서관!I71+학생회관!I71+제2기숙사!I71+멀티미디어관!I71+선승관!I71+예술디자인대!I71+공학관!I71</f>
        <v>4</v>
      </c>
      <c r="Q71" s="281">
        <f>캠퍼스타운_외부원두영업!J71+잇다카페_외부원두영업!J71+푸른솔!J71+의과대학!J71+중앙도서관!J71+학생회관!J71+멀티미디어관!J71+제2기숙사!J71+선승관!J71+예술디자인대!J71+공학관!J71</f>
        <v>4</v>
      </c>
      <c r="R71" s="281">
        <f>캠퍼스타운_외부원두영업!K71+잇다카페_외부원두영업!K71+푸른솔!K71+의과대학!K71+중앙도서관!K71+학생회관!K71+제2기숙사!K71+멀티미디어관!K71+선승관!K71+예술디자인대!K71+공학관!K71</f>
        <v>2</v>
      </c>
      <c r="S71" s="281">
        <f>캠퍼스타운_외부원두영업!L71+잇다카페_외부원두영업!L71+푸른솔!L71+의과대학!L71+중앙도서관!L71+학생회관!L71+멀티미디어관!L71+제2기숙사!L71+선승관!L71+예술디자인대!L71+공학관!L71</f>
        <v>4</v>
      </c>
      <c r="T71" s="312">
        <f>캠퍼스타운_외부원두영업!M71+잇다카페_외부원두영업!M71+푸른솔!M71+의과대학!M71+중앙도서관!M71+학생회관!M71+멀티미디어관!M71+제2기숙사!M71+선승관!M71+예술디자인대!M71+공학관!M71</f>
        <v>0</v>
      </c>
      <c r="U71" s="244">
        <f t="shared" si="9"/>
        <v>14</v>
      </c>
      <c r="V71" s="245">
        <f t="shared" si="4"/>
        <v>56000</v>
      </c>
      <c r="W71" s="246">
        <f t="shared" si="6"/>
        <v>17</v>
      </c>
      <c r="X71" s="247">
        <f>E71*W71</f>
        <v>68000</v>
      </c>
      <c r="Y71" s="365"/>
      <c r="Z71" s="21"/>
      <c r="AA71" s="79">
        <f t="shared" si="10"/>
        <v>0</v>
      </c>
      <c r="AB71" s="398">
        <f>SUM(AA71:AA74)</f>
        <v>0</v>
      </c>
      <c r="AC71" s="404">
        <f>AB71*1.1</f>
        <v>0</v>
      </c>
    </row>
    <row r="72" spans="1:29">
      <c r="A72" s="386"/>
      <c r="B72" s="248" t="s">
        <v>93</v>
      </c>
      <c r="C72" s="248" t="s">
        <v>91</v>
      </c>
      <c r="D72" s="248" t="s">
        <v>92</v>
      </c>
      <c r="E72" s="342">
        <v>4000</v>
      </c>
      <c r="F72" s="250">
        <v>1</v>
      </c>
      <c r="G72" s="251">
        <v>4000</v>
      </c>
      <c r="H72" s="252">
        <v>22</v>
      </c>
      <c r="I72" s="253"/>
      <c r="J72" s="254"/>
      <c r="K72" s="254"/>
      <c r="L72" s="254"/>
      <c r="M72" s="255"/>
      <c r="N72" s="256">
        <f t="shared" si="2"/>
        <v>0</v>
      </c>
      <c r="O72" s="257">
        <f t="shared" si="3"/>
        <v>0</v>
      </c>
      <c r="P72" s="258">
        <f>캠퍼스타운_외부원두영업!I72+잇다카페_외부원두영업!I72+푸른솔!I72+의과대학!I72+중앙도서관!I72+학생회관!I72+제2기숙사!I72+멀티미디어관!I72+선승관!I72+예술디자인대!I72+공학관!I72</f>
        <v>3</v>
      </c>
      <c r="Q72" s="250">
        <f>캠퍼스타운_외부원두영업!J72+잇다카페_외부원두영업!J72+푸른솔!J72+의과대학!J72+중앙도서관!J72+학생회관!J72+멀티미디어관!J72+제2기숙사!J72+선승관!J72+예술디자인대!J72+공학관!J72</f>
        <v>1</v>
      </c>
      <c r="R72" s="250">
        <f>캠퍼스타운_외부원두영업!K72+잇다카페_외부원두영업!K72+푸른솔!K72+의과대학!K72+중앙도서관!K72+학생회관!K72+제2기숙사!K72+멀티미디어관!K72+선승관!K72+예술디자인대!K72+공학관!K72</f>
        <v>1</v>
      </c>
      <c r="S72" s="250">
        <f>캠퍼스타운_외부원두영업!L72+잇다카페_외부원두영업!L72+푸른솔!L72+의과대학!L72+중앙도서관!L72+학생회관!L72+멀티미디어관!L72+제2기숙사!L72+선승관!L72+예술디자인대!L72+공학관!L72</f>
        <v>2</v>
      </c>
      <c r="T72" s="259">
        <f>캠퍼스타운_외부원두영업!M72+잇다카페_외부원두영업!M72+푸른솔!M72+의과대학!M72+중앙도서관!M72+학생회관!M72+멀티미디어관!M72+제2기숙사!M72+선승관!M72+예술디자인대!M72+공학관!M72</f>
        <v>0</v>
      </c>
      <c r="U72" s="260">
        <f t="shared" si="9"/>
        <v>7</v>
      </c>
      <c r="V72" s="261">
        <f t="shared" si="4"/>
        <v>28000</v>
      </c>
      <c r="W72" s="262">
        <f t="shared" si="6"/>
        <v>15</v>
      </c>
      <c r="X72" s="263">
        <f>E72*W72</f>
        <v>60000</v>
      </c>
      <c r="Y72" s="364"/>
      <c r="Z72" s="78"/>
      <c r="AA72" s="30">
        <f t="shared" si="10"/>
        <v>0</v>
      </c>
      <c r="AB72" s="399"/>
      <c r="AC72" s="405"/>
    </row>
    <row r="73" spans="1:29">
      <c r="A73" s="386"/>
      <c r="B73" s="248" t="s">
        <v>94</v>
      </c>
      <c r="C73" s="248" t="s">
        <v>91</v>
      </c>
      <c r="D73" s="248" t="s">
        <v>92</v>
      </c>
      <c r="E73" s="342">
        <v>4000</v>
      </c>
      <c r="F73" s="250">
        <v>1</v>
      </c>
      <c r="G73" s="251">
        <v>4000</v>
      </c>
      <c r="H73" s="252">
        <v>23</v>
      </c>
      <c r="I73" s="253"/>
      <c r="J73" s="254"/>
      <c r="K73" s="254"/>
      <c r="L73" s="254"/>
      <c r="M73" s="255"/>
      <c r="N73" s="256">
        <f t="shared" si="2"/>
        <v>0</v>
      </c>
      <c r="O73" s="257">
        <f t="shared" si="3"/>
        <v>0</v>
      </c>
      <c r="P73" s="258">
        <f>캠퍼스타운_외부원두영업!I73+잇다카페_외부원두영업!I73+푸른솔!I73+의과대학!I73+중앙도서관!I73+학생회관!I73+제2기숙사!I73+멀티미디어관!I73+선승관!I73+예술디자인대!I73+공학관!I73</f>
        <v>2</v>
      </c>
      <c r="Q73" s="250">
        <f>캠퍼스타운_외부원두영업!J73+잇다카페_외부원두영업!J73+푸른솔!J73+의과대학!J73+중앙도서관!J73+학생회관!J73+멀티미디어관!J73+제2기숙사!J73+선승관!J73+예술디자인대!J73+공학관!J73</f>
        <v>1</v>
      </c>
      <c r="R73" s="250">
        <f>캠퍼스타운_외부원두영업!K73+잇다카페_외부원두영업!K73+푸른솔!K73+의과대학!K73+중앙도서관!K73+학생회관!K73+제2기숙사!K73+멀티미디어관!K73+선승관!K73+예술디자인대!K73+공학관!K73</f>
        <v>1</v>
      </c>
      <c r="S73" s="250">
        <f>캠퍼스타운_외부원두영업!L73+잇다카페_외부원두영업!L73+푸른솔!L73+의과대학!L73+중앙도서관!L73+학생회관!L73+멀티미디어관!L73+제2기숙사!L73+선승관!L73+예술디자인대!L73+공학관!L73</f>
        <v>3</v>
      </c>
      <c r="T73" s="259">
        <f>캠퍼스타운_외부원두영업!M73+잇다카페_외부원두영업!M73+푸른솔!M73+의과대학!M73+중앙도서관!M73+학생회관!M73+멀티미디어관!M73+제2기숙사!M73+선승관!M73+예술디자인대!M73+공학관!M73</f>
        <v>0</v>
      </c>
      <c r="U73" s="260">
        <f t="shared" si="9"/>
        <v>7</v>
      </c>
      <c r="V73" s="261">
        <f t="shared" si="4"/>
        <v>28000</v>
      </c>
      <c r="W73" s="262">
        <f t="shared" si="6"/>
        <v>16</v>
      </c>
      <c r="X73" s="263">
        <f>E73*W73</f>
        <v>64000</v>
      </c>
      <c r="Y73" s="363"/>
      <c r="Z73" s="40"/>
      <c r="AA73" s="30">
        <f t="shared" si="10"/>
        <v>0</v>
      </c>
      <c r="AB73" s="399"/>
      <c r="AC73" s="405"/>
    </row>
    <row r="74" spans="1:29" ht="17.25" thickBot="1">
      <c r="A74" s="387"/>
      <c r="B74" s="291" t="s">
        <v>95</v>
      </c>
      <c r="C74" s="291" t="s">
        <v>91</v>
      </c>
      <c r="D74" s="291" t="s">
        <v>92</v>
      </c>
      <c r="E74" s="350">
        <v>4300</v>
      </c>
      <c r="F74" s="292">
        <v>1</v>
      </c>
      <c r="G74" s="319">
        <v>4300</v>
      </c>
      <c r="H74" s="293">
        <v>31</v>
      </c>
      <c r="I74" s="294"/>
      <c r="J74" s="295"/>
      <c r="K74" s="295"/>
      <c r="L74" s="295"/>
      <c r="M74" s="296"/>
      <c r="N74" s="297">
        <f t="shared" si="2"/>
        <v>0</v>
      </c>
      <c r="O74" s="298">
        <f t="shared" si="3"/>
        <v>0</v>
      </c>
      <c r="P74" s="258">
        <f>캠퍼스타운_외부원두영업!I74+잇다카페_외부원두영업!I74+푸른솔!I74+의과대학!I74+중앙도서관!I74+학생회관!I74+제2기숙사!I74+멀티미디어관!I74+선승관!I74+예술디자인대!I74+공학관!I74</f>
        <v>3</v>
      </c>
      <c r="Q74" s="292">
        <f>캠퍼스타운_외부원두영업!J74+잇다카페_외부원두영업!J74+푸른솔!J74+의과대학!J74+중앙도서관!J74+학생회관!J74+멀티미디어관!J74+제2기숙사!J74+선승관!J74+예술디자인대!J74+공학관!J74</f>
        <v>2</v>
      </c>
      <c r="R74" s="300">
        <f>캠퍼스타운_외부원두영업!K74+잇다카페_외부원두영업!K74+푸른솔!K74+의과대학!K74+중앙도서관!K74+학생회관!K74+제2기숙사!K74+멀티미디어관!K74+선승관!K74+예술디자인대!K74+공학관!K74</f>
        <v>1</v>
      </c>
      <c r="S74" s="292">
        <f>캠퍼스타운_외부원두영업!L74+잇다카페_외부원두영업!L74+푸른솔!L74+의과대학!L74+중앙도서관!L74+학생회관!L74+멀티미디어관!L74+제2기숙사!L74+선승관!L74+예술디자인대!L74+공학관!L74</f>
        <v>2</v>
      </c>
      <c r="T74" s="310">
        <f>캠퍼스타운_외부원두영업!M74+잇다카페_외부원두영업!M74+푸른솔!M74+의과대학!M74+중앙도서관!M74+학생회관!M74+멀티미디어관!M74+제2기숙사!M74+선승관!M74+예술디자인대!M74+공학관!M74</f>
        <v>0</v>
      </c>
      <c r="U74" s="311">
        <f t="shared" si="9"/>
        <v>8</v>
      </c>
      <c r="V74" s="302">
        <f t="shared" si="4"/>
        <v>34400</v>
      </c>
      <c r="W74" s="303">
        <f t="shared" si="6"/>
        <v>23</v>
      </c>
      <c r="X74" s="304">
        <f>E74*W74</f>
        <v>98900</v>
      </c>
      <c r="Y74" s="367"/>
      <c r="Z74" s="80"/>
      <c r="AA74" s="126">
        <f t="shared" si="10"/>
        <v>0</v>
      </c>
      <c r="AB74" s="400"/>
      <c r="AC74" s="406"/>
    </row>
    <row r="75" spans="1:29" ht="15.75" customHeight="1" thickBot="1">
      <c r="A75" s="320"/>
      <c r="B75" s="320"/>
      <c r="C75" s="320"/>
      <c r="D75" s="320"/>
      <c r="E75" s="320"/>
      <c r="F75" s="320"/>
      <c r="G75" s="320"/>
      <c r="H75" s="320">
        <f>SUM(H5:H74)</f>
        <v>156210</v>
      </c>
      <c r="I75" s="320">
        <f t="shared" ref="I75:T75" si="22">SUM(I5:I74)</f>
        <v>0</v>
      </c>
      <c r="J75" s="320">
        <f t="shared" si="22"/>
        <v>85318</v>
      </c>
      <c r="K75" s="320">
        <f t="shared" si="22"/>
        <v>0</v>
      </c>
      <c r="L75" s="320">
        <f t="shared" si="22"/>
        <v>0</v>
      </c>
      <c r="M75" s="320">
        <f t="shared" ref="M75:S75" si="23">SUM(M5:M74)</f>
        <v>48</v>
      </c>
      <c r="N75" s="321">
        <f t="shared" si="23"/>
        <v>85366</v>
      </c>
      <c r="O75" s="322">
        <f t="shared" si="23"/>
        <v>11063840</v>
      </c>
      <c r="P75" s="323">
        <f t="shared" si="23"/>
        <v>30336</v>
      </c>
      <c r="Q75" s="320">
        <f t="shared" si="23"/>
        <v>17124</v>
      </c>
      <c r="R75" s="324">
        <f t="shared" si="23"/>
        <v>13026</v>
      </c>
      <c r="S75" s="320">
        <f t="shared" si="23"/>
        <v>34865</v>
      </c>
      <c r="T75" s="320">
        <f t="shared" si="22"/>
        <v>0</v>
      </c>
      <c r="U75" s="321">
        <f>SUM(U5:U74)</f>
        <v>95351</v>
      </c>
      <c r="V75" s="322">
        <f>SUM(V5:V74)</f>
        <v>9562186.5</v>
      </c>
      <c r="W75" s="325">
        <f>SUM(W5:W74)</f>
        <v>146225</v>
      </c>
      <c r="X75" s="322">
        <f>SUM(X5:X74)</f>
        <v>12847016.5</v>
      </c>
      <c r="Y75" s="368"/>
      <c r="Z75" s="54">
        <f>SUM(Z5:Z74)</f>
        <v>0</v>
      </c>
      <c r="AA75" s="127">
        <f>SUM(AA5:AA74)</f>
        <v>0</v>
      </c>
      <c r="AB75" s="1"/>
      <c r="AC75" s="1"/>
    </row>
    <row r="76" spans="1:29">
      <c r="P76" s="327"/>
      <c r="Q76" s="327"/>
      <c r="R76" s="327"/>
      <c r="S76" s="327"/>
      <c r="T76" s="327"/>
      <c r="U76" s="327"/>
      <c r="V76" s="327"/>
    </row>
    <row r="79" spans="1:29">
      <c r="V79" s="356"/>
    </row>
    <row r="83" spans="15:15">
      <c r="O83" s="357"/>
    </row>
    <row r="84" spans="15:15">
      <c r="O84" s="357"/>
    </row>
    <row r="85" spans="15:15">
      <c r="O85" s="357"/>
    </row>
    <row r="86" spans="15:15">
      <c r="O86" s="357"/>
    </row>
    <row r="87" spans="15:15">
      <c r="O87" s="357"/>
    </row>
    <row r="88" spans="15:15">
      <c r="O88" s="357"/>
    </row>
    <row r="89" spans="15:15">
      <c r="O89" s="357"/>
    </row>
    <row r="90" spans="15:15">
      <c r="O90" s="357"/>
    </row>
    <row r="91" spans="15:15">
      <c r="O91" s="357"/>
    </row>
    <row r="92" spans="15:15">
      <c r="O92" s="357"/>
    </row>
    <row r="93" spans="15:15">
      <c r="O93" s="357"/>
    </row>
    <row r="94" spans="15:15">
      <c r="O94" s="357"/>
    </row>
    <row r="95" spans="15:15">
      <c r="O95" s="357"/>
    </row>
    <row r="96" spans="15:15">
      <c r="O96" s="357"/>
    </row>
    <row r="97" spans="15:15">
      <c r="O97" s="357"/>
    </row>
    <row r="98" spans="15:15">
      <c r="O98" s="357"/>
    </row>
    <row r="99" spans="15:15">
      <c r="O99" s="357"/>
    </row>
    <row r="100" spans="15:15">
      <c r="O100" s="357"/>
    </row>
    <row r="101" spans="15:15">
      <c r="O101" s="357"/>
    </row>
    <row r="102" spans="15:15">
      <c r="O102" s="357"/>
    </row>
  </sheetData>
  <mergeCells count="19">
    <mergeCell ref="AB5:AB40"/>
    <mergeCell ref="AC5:AC40"/>
    <mergeCell ref="AB71:AB74"/>
    <mergeCell ref="AC41:AC42"/>
    <mergeCell ref="AC58:AC68"/>
    <mergeCell ref="AC71:AC74"/>
    <mergeCell ref="AB41:AB42"/>
    <mergeCell ref="AB58:AB68"/>
    <mergeCell ref="AB43:AB57"/>
    <mergeCell ref="AC43:AC57"/>
    <mergeCell ref="AB69:AB70"/>
    <mergeCell ref="AC69:AC70"/>
    <mergeCell ref="A1:X2"/>
    <mergeCell ref="A58:A68"/>
    <mergeCell ref="A71:A74"/>
    <mergeCell ref="A41:A42"/>
    <mergeCell ref="A69:A70"/>
    <mergeCell ref="A43:A57"/>
    <mergeCell ref="A5:A40"/>
  </mergeCells>
  <phoneticPr fontId="17" type="noConversion"/>
  <conditionalFormatting sqref="W78:W1048576 W1:W76">
    <cfRule type="cellIs" dxfId="0" priority="1" operator="lessThan">
      <formula>0</formula>
    </cfRule>
  </conditionalFormatting>
  <pageMargins left="0.7" right="0.7" top="0.75" bottom="0.75" header="0.3" footer="0.3"/>
  <pageSetup paperSize="9" scale="54" fitToHeight="0" orientation="landscape" r:id="rId1"/>
  <ignoredErrors>
    <ignoredError sqref="X43 W59:X59 W41:X42 N5:O31 W36:X36 N36:O38 Q6 N41:O50 W44:X44 X45:X50 X57:X58 W69:X74 X66:X68 N33:O34 W8:X8 N69:O74 P5:Q5 S5:T6 S67:T74 S41 S42:T48 Q41:Q48 Q67:Q74 Q57:Q60 S57:T60 X60:X64 N57:O62 O56 O66:O68 O63:O64 W38:X38 X37 X5 X6 X7 W16:X33 X9 X10 X11 X12 X13 X14 X1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5"/>
  <sheetViews>
    <sheetView topLeftCell="A37" zoomScale="70" zoomScaleNormal="70" workbookViewId="0">
      <selection activeCell="O75" sqref="O75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36"/>
      <c r="J6" s="37"/>
      <c r="K6" s="37"/>
      <c r="L6" s="37"/>
      <c r="M6" s="38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36"/>
      <c r="J7" s="37"/>
      <c r="K7" s="37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36"/>
      <c r="J8" s="65"/>
      <c r="K8" s="65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36"/>
      <c r="J9" s="37"/>
      <c r="K9" s="37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36"/>
      <c r="J10" s="37"/>
      <c r="K10" s="37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36"/>
      <c r="J11" s="65"/>
      <c r="K11" s="65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36"/>
      <c r="J12" s="37"/>
      <c r="K12" s="37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36"/>
      <c r="J13" s="37"/>
      <c r="K13" s="37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36"/>
      <c r="J14" s="37"/>
      <c r="K14" s="37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36"/>
      <c r="J15" s="37"/>
      <c r="K15" s="37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36"/>
      <c r="J16" s="37"/>
      <c r="K16" s="37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36"/>
      <c r="J17" s="65"/>
      <c r="K17" s="65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36"/>
      <c r="J18" s="37"/>
      <c r="K18" s="37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36"/>
      <c r="J19" s="37"/>
      <c r="K19" s="37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36"/>
      <c r="J20" s="65"/>
      <c r="K20" s="65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36"/>
      <c r="J21" s="37"/>
      <c r="K21" s="37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36"/>
      <c r="J22" s="37"/>
      <c r="K22" s="37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36"/>
      <c r="J23" s="65"/>
      <c r="K23" s="65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36"/>
      <c r="J24" s="37"/>
      <c r="K24" s="37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36"/>
      <c r="J25" s="37"/>
      <c r="K25" s="37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36"/>
      <c r="J26" s="37"/>
      <c r="K26" s="37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36"/>
      <c r="J27" s="37"/>
      <c r="K27" s="37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36"/>
      <c r="J28" s="65"/>
      <c r="K28" s="65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36"/>
      <c r="J29" s="37"/>
      <c r="K29" s="37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36"/>
      <c r="J30" s="37"/>
      <c r="K30" s="37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36"/>
      <c r="J31" s="37"/>
      <c r="K31" s="37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416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36"/>
      <c r="J33" s="65"/>
      <c r="K33" s="65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36"/>
      <c r="J34" s="65"/>
      <c r="K34" s="65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36"/>
      <c r="J36" s="65"/>
      <c r="K36" s="65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36"/>
      <c r="J37" s="37"/>
      <c r="K37" s="37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25"/>
      <c r="I38" s="26"/>
      <c r="J38" s="27"/>
      <c r="K38" s="27"/>
      <c r="L38" s="27"/>
      <c r="M38" s="28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>I39+J39+K39+L39+M39</f>
        <v>0</v>
      </c>
      <c r="O39" s="39">
        <f>E39*N39</f>
        <v>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>I40+J40+K40+L40+M40</f>
        <v>0</v>
      </c>
      <c r="O40" s="29">
        <f>E40*N40</f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26"/>
      <c r="J42" s="27"/>
      <c r="K42" s="27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36"/>
      <c r="J44" s="37"/>
      <c r="K44" s="37"/>
      <c r="L44" s="37"/>
      <c r="M44" s="38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36"/>
      <c r="J45" s="37"/>
      <c r="K45" s="37"/>
      <c r="L45" s="37"/>
      <c r="M45" s="38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36"/>
      <c r="J46" s="37"/>
      <c r="K46" s="37"/>
      <c r="L46" s="37"/>
      <c r="M46" s="38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36"/>
      <c r="J47" s="37"/>
      <c r="K47" s="37"/>
      <c r="L47" s="37"/>
      <c r="M47" s="38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36"/>
      <c r="J48" s="37"/>
      <c r="K48" s="37"/>
      <c r="L48" s="37"/>
      <c r="M48" s="38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36"/>
      <c r="J49" s="37"/>
      <c r="K49" s="37"/>
      <c r="L49" s="37"/>
      <c r="M49" s="38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36"/>
      <c r="J50" s="37"/>
      <c r="K50" s="37"/>
      <c r="L50" s="37"/>
      <c r="M50" s="38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57" t="s">
        <v>149</v>
      </c>
      <c r="C52" s="57" t="s">
        <v>66</v>
      </c>
      <c r="D52" s="57" t="s">
        <v>6</v>
      </c>
      <c r="E52" s="74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96"/>
      <c r="L54" s="96"/>
      <c r="M54" s="97"/>
      <c r="N54" s="83">
        <f t="shared" ref="N54:N57" si="3">I54+J54+K54+L54+M54</f>
        <v>0</v>
      </c>
      <c r="O54" s="39">
        <f t="shared" ref="O54:O57" si="4">E54*N54</f>
        <v>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96"/>
      <c r="L55" s="96"/>
      <c r="M55" s="97"/>
      <c r="N55" s="83">
        <f t="shared" si="3"/>
        <v>0</v>
      </c>
      <c r="O55" s="39">
        <f t="shared" si="4"/>
        <v>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35"/>
      <c r="I56" s="95"/>
      <c r="J56" s="96"/>
      <c r="K56" s="96"/>
      <c r="L56" s="96"/>
      <c r="M56" s="97"/>
      <c r="N56" s="83">
        <f t="shared" si="3"/>
        <v>0</v>
      </c>
      <c r="O56" s="39">
        <f t="shared" si="4"/>
        <v>0</v>
      </c>
    </row>
    <row r="57" spans="1:15" ht="17.25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35"/>
      <c r="I57" s="95"/>
      <c r="J57" s="96"/>
      <c r="K57" s="96"/>
      <c r="L57" s="96"/>
      <c r="M57" s="97"/>
      <c r="N57" s="83">
        <f t="shared" si="3"/>
        <v>0</v>
      </c>
      <c r="O57" s="39">
        <f t="shared" si="4"/>
        <v>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6"/>
      <c r="I58" s="44"/>
      <c r="J58" s="18"/>
      <c r="K58" s="18"/>
      <c r="L58" s="18"/>
      <c r="M58" s="19"/>
      <c r="N58" s="82">
        <f t="shared" si="0"/>
        <v>0</v>
      </c>
      <c r="O58" s="88">
        <f t="shared" si="1"/>
        <v>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35"/>
      <c r="I59" s="36"/>
      <c r="J59" s="37"/>
      <c r="K59" s="37"/>
      <c r="L59" s="37"/>
      <c r="M59" s="38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35"/>
      <c r="I60" s="36"/>
      <c r="J60" s="37"/>
      <c r="K60" s="37"/>
      <c r="L60" s="37"/>
      <c r="M60" s="38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35"/>
      <c r="I61" s="36"/>
      <c r="J61" s="37"/>
      <c r="K61" s="37"/>
      <c r="L61" s="37"/>
      <c r="M61" s="38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35"/>
      <c r="I62" s="36"/>
      <c r="J62" s="37"/>
      <c r="K62" s="37"/>
      <c r="L62" s="37"/>
      <c r="M62" s="38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35"/>
      <c r="I63" s="36"/>
      <c r="J63" s="37"/>
      <c r="K63" s="37"/>
      <c r="L63" s="37"/>
      <c r="M63" s="38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35"/>
      <c r="I64" s="36"/>
      <c r="J64" s="37"/>
      <c r="K64" s="37"/>
      <c r="L64" s="37"/>
      <c r="M64" s="38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35"/>
      <c r="I66" s="36"/>
      <c r="J66" s="37"/>
      <c r="K66" s="37"/>
      <c r="L66" s="37"/>
      <c r="M66" s="38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35"/>
      <c r="I67" s="36"/>
      <c r="J67" s="37"/>
      <c r="K67" s="37"/>
      <c r="L67" s="37"/>
      <c r="M67" s="38"/>
      <c r="N67" s="83">
        <f t="shared" si="0"/>
        <v>0</v>
      </c>
      <c r="O67" s="39">
        <f t="shared" si="1"/>
        <v>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25"/>
      <c r="I68" s="36"/>
      <c r="J68" s="27"/>
      <c r="K68" s="27"/>
      <c r="L68" s="27"/>
      <c r="M68" s="28"/>
      <c r="N68" s="85">
        <f t="shared" si="0"/>
        <v>0</v>
      </c>
      <c r="O68" s="29">
        <f t="shared" si="1"/>
        <v>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6"/>
      <c r="I69" s="44"/>
      <c r="J69" s="18"/>
      <c r="K69" s="90">
        <v>25</v>
      </c>
      <c r="L69" s="18"/>
      <c r="M69" s="19"/>
      <c r="N69" s="82">
        <f t="shared" si="0"/>
        <v>25</v>
      </c>
      <c r="O69" s="20">
        <f t="shared" si="1"/>
        <v>275000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50"/>
      <c r="I70" s="68"/>
      <c r="J70" s="52"/>
      <c r="K70" s="52"/>
      <c r="L70" s="52"/>
      <c r="M70" s="53"/>
      <c r="N70" s="85">
        <f t="shared" si="0"/>
        <v>0</v>
      </c>
      <c r="O70" s="42">
        <f t="shared" si="1"/>
        <v>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6"/>
      <c r="I71" s="17"/>
      <c r="J71" s="18"/>
      <c r="K71" s="18"/>
      <c r="L71" s="18"/>
      <c r="M71" s="19"/>
      <c r="N71" s="86">
        <f t="shared" si="0"/>
        <v>0</v>
      </c>
      <c r="O71" s="88">
        <f t="shared" si="1"/>
        <v>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35"/>
      <c r="I72" s="36"/>
      <c r="J72" s="37"/>
      <c r="K72" s="37"/>
      <c r="L72" s="37"/>
      <c r="M72" s="38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35"/>
      <c r="I73" s="36"/>
      <c r="J73" s="37"/>
      <c r="K73" s="37"/>
      <c r="L73" s="37"/>
      <c r="M73" s="38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50"/>
      <c r="I74" s="51"/>
      <c r="J74" s="52"/>
      <c r="K74" s="52"/>
      <c r="L74" s="52"/>
      <c r="M74" s="53"/>
      <c r="N74" s="85">
        <f t="shared" si="0"/>
        <v>0</v>
      </c>
      <c r="O74" s="42">
        <f t="shared" si="1"/>
        <v>0</v>
      </c>
    </row>
    <row r="75" spans="1:15" ht="17.25" thickBot="1">
      <c r="A75" s="54"/>
      <c r="B75" s="54"/>
      <c r="C75" s="54"/>
      <c r="D75" s="54"/>
      <c r="E75" s="54">
        <f t="shared" ref="E75:M75" si="5">SUM(E5:E74)</f>
        <v>334992.21499999997</v>
      </c>
      <c r="F75" s="54">
        <f t="shared" si="5"/>
        <v>76679</v>
      </c>
      <c r="G75" s="54">
        <f t="shared" si="5"/>
        <v>3552570</v>
      </c>
      <c r="H75" s="54">
        <f t="shared" si="5"/>
        <v>0</v>
      </c>
      <c r="I75" s="54">
        <f t="shared" si="5"/>
        <v>0</v>
      </c>
      <c r="J75" s="54">
        <f t="shared" si="5"/>
        <v>0</v>
      </c>
      <c r="K75" s="54">
        <f t="shared" si="5"/>
        <v>25</v>
      </c>
      <c r="L75" s="54">
        <f t="shared" si="5"/>
        <v>0</v>
      </c>
      <c r="M75" s="54">
        <f t="shared" si="5"/>
        <v>0</v>
      </c>
      <c r="N75" s="81">
        <f>SUM(N5:N74)</f>
        <v>25</v>
      </c>
      <c r="O75" s="87">
        <f>SUM(O36:O74)</f>
        <v>275000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7"/>
  <sheetViews>
    <sheetView topLeftCell="A43" zoomScale="85" zoomScaleNormal="85" workbookViewId="0">
      <selection activeCell="K69" sqref="K69"/>
    </sheetView>
  </sheetViews>
  <sheetFormatPr defaultRowHeight="16.5"/>
  <cols>
    <col min="1" max="1" width="20.5" bestFit="1" customWidth="1"/>
    <col min="2" max="2" width="30.12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169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95"/>
      <c r="J6" s="96"/>
      <c r="K6" s="96"/>
      <c r="L6" s="96"/>
      <c r="M6" s="97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95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416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95"/>
      <c r="J36" s="103"/>
      <c r="K36" s="103"/>
      <c r="L36" s="103"/>
      <c r="M36" s="104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31" t="s">
        <v>50</v>
      </c>
      <c r="D38" s="31" t="s">
        <v>6</v>
      </c>
      <c r="E38" s="55">
        <v>6870</v>
      </c>
      <c r="F38" s="33">
        <v>8</v>
      </c>
      <c r="G38" s="24">
        <v>54960</v>
      </c>
      <c r="H38" s="25"/>
      <c r="I38" s="92"/>
      <c r="J38" s="93"/>
      <c r="K38" s="93"/>
      <c r="L38" s="93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2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96"/>
      <c r="L54" s="96"/>
      <c r="M54" s="97"/>
      <c r="N54" s="83">
        <f t="shared" ref="N54:N56" si="3">I54+J54+K54+L54+M54</f>
        <v>0</v>
      </c>
      <c r="O54" s="39">
        <f t="shared" ref="O54:O56" si="4">E54*N54</f>
        <v>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96"/>
      <c r="L55" s="96"/>
      <c r="M55" s="97"/>
      <c r="N55" s="83">
        <f t="shared" si="3"/>
        <v>0</v>
      </c>
      <c r="O55" s="39">
        <f t="shared" si="4"/>
        <v>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35"/>
      <c r="I56" s="95"/>
      <c r="J56" s="96"/>
      <c r="K56" s="96"/>
      <c r="L56" s="96"/>
      <c r="M56" s="97"/>
      <c r="N56" s="83">
        <f t="shared" si="3"/>
        <v>0</v>
      </c>
      <c r="O56" s="39">
        <f t="shared" si="4"/>
        <v>0</v>
      </c>
    </row>
    <row r="57" spans="1:15" ht="17.25" thickBot="1">
      <c r="A57" s="416"/>
      <c r="B57" s="22" t="s">
        <v>69</v>
      </c>
      <c r="C57" s="22" t="s">
        <v>5</v>
      </c>
      <c r="D57" s="22" t="s">
        <v>6</v>
      </c>
      <c r="E57" s="76">
        <v>6700</v>
      </c>
      <c r="F57" s="23">
        <v>12</v>
      </c>
      <c r="G57" s="24">
        <v>80400</v>
      </c>
      <c r="H57" s="25"/>
      <c r="I57" s="95"/>
      <c r="J57" s="93"/>
      <c r="K57" s="93"/>
      <c r="L57" s="93"/>
      <c r="M57" s="94"/>
      <c r="N57" s="84">
        <f t="shared" si="0"/>
        <v>0</v>
      </c>
      <c r="O57" s="42">
        <f t="shared" si="1"/>
        <v>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6"/>
      <c r="I58" s="98"/>
      <c r="J58" s="90"/>
      <c r="K58" s="90"/>
      <c r="L58" s="90"/>
      <c r="M58" s="91"/>
      <c r="N58" s="82">
        <f t="shared" si="0"/>
        <v>0</v>
      </c>
      <c r="O58" s="88">
        <f t="shared" si="1"/>
        <v>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35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35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35"/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35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35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35"/>
      <c r="I66" s="95"/>
      <c r="J66" s="96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35"/>
      <c r="I67" s="95"/>
      <c r="J67" s="96"/>
      <c r="K67" s="96"/>
      <c r="L67" s="96"/>
      <c r="M67" s="97"/>
      <c r="N67" s="83">
        <f t="shared" si="0"/>
        <v>0</v>
      </c>
      <c r="O67" s="39">
        <f t="shared" si="1"/>
        <v>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25"/>
      <c r="I68" s="95"/>
      <c r="J68" s="93"/>
      <c r="K68" s="93"/>
      <c r="L68" s="93"/>
      <c r="M68" s="94"/>
      <c r="N68" s="85">
        <f t="shared" si="0"/>
        <v>0</v>
      </c>
      <c r="O68" s="29">
        <f t="shared" si="1"/>
        <v>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6"/>
      <c r="I69" s="98"/>
      <c r="J69" s="90"/>
      <c r="K69" s="90"/>
      <c r="L69" s="90"/>
      <c r="M69" s="91"/>
      <c r="N69" s="82">
        <f t="shared" si="0"/>
        <v>0</v>
      </c>
      <c r="O69" s="20">
        <f t="shared" si="1"/>
        <v>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50"/>
      <c r="I70" s="105"/>
      <c r="J70" s="100"/>
      <c r="K70" s="100"/>
      <c r="L70" s="100"/>
      <c r="M70" s="101"/>
      <c r="N70" s="85">
        <f t="shared" si="0"/>
        <v>0</v>
      </c>
      <c r="O70" s="42">
        <f t="shared" si="1"/>
        <v>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6"/>
      <c r="I71" s="89"/>
      <c r="J71" s="90"/>
      <c r="K71" s="90"/>
      <c r="L71" s="90"/>
      <c r="M71" s="91"/>
      <c r="N71" s="86">
        <f t="shared" si="0"/>
        <v>0</v>
      </c>
      <c r="O71" s="88">
        <f t="shared" si="1"/>
        <v>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35"/>
      <c r="I72" s="95"/>
      <c r="J72" s="96"/>
      <c r="K72" s="96"/>
      <c r="L72" s="96"/>
      <c r="M72" s="97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35"/>
      <c r="I73" s="95"/>
      <c r="J73" s="96"/>
      <c r="K73" s="96"/>
      <c r="L73" s="96"/>
      <c r="M73" s="97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50"/>
      <c r="I74" s="99"/>
      <c r="J74" s="100"/>
      <c r="K74" s="100"/>
      <c r="L74" s="100"/>
      <c r="M74" s="101"/>
      <c r="N74" s="85">
        <f t="shared" si="0"/>
        <v>0</v>
      </c>
      <c r="O74" s="42">
        <f t="shared" si="1"/>
        <v>0</v>
      </c>
    </row>
    <row r="75" spans="1:15" ht="17.25" thickBot="1">
      <c r="A75" s="102"/>
      <c r="B75" s="102"/>
      <c r="C75" s="102"/>
      <c r="D75" s="102"/>
      <c r="E75" s="102">
        <f t="shared" ref="E75:M75" si="5">SUM(E5:E74)</f>
        <v>334992.21499999997</v>
      </c>
      <c r="F75" s="102">
        <f t="shared" si="5"/>
        <v>76679</v>
      </c>
      <c r="G75" s="102">
        <f t="shared" si="5"/>
        <v>3552570</v>
      </c>
      <c r="H75" s="102">
        <f t="shared" si="5"/>
        <v>0</v>
      </c>
      <c r="I75" s="102">
        <f t="shared" si="5"/>
        <v>0</v>
      </c>
      <c r="J75" s="102">
        <f t="shared" si="5"/>
        <v>0</v>
      </c>
      <c r="K75" s="102">
        <f t="shared" si="5"/>
        <v>0</v>
      </c>
      <c r="L75" s="102">
        <f t="shared" si="5"/>
        <v>0</v>
      </c>
      <c r="M75" s="102">
        <f t="shared" si="5"/>
        <v>0</v>
      </c>
      <c r="N75" s="81">
        <f>SUM(N5:N74)</f>
        <v>0</v>
      </c>
      <c r="O75" s="87">
        <f>SUM(O5:O74)</f>
        <v>0</v>
      </c>
    </row>
    <row r="77" spans="1:15" ht="24">
      <c r="I77" s="147" t="s">
        <v>143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5"/>
  <sheetViews>
    <sheetView topLeftCell="A33" zoomScale="85" zoomScaleNormal="85" workbookViewId="0">
      <selection activeCell="O75" sqref="O75"/>
    </sheetView>
  </sheetViews>
  <sheetFormatPr defaultRowHeight="15.75" customHeight="1"/>
  <cols>
    <col min="1" max="1" width="20.5" bestFit="1" customWidth="1"/>
    <col min="2" max="2" width="32.8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413" t="s">
        <v>170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5.7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5.7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750</v>
      </c>
      <c r="I6" s="95"/>
      <c r="J6" s="96"/>
      <c r="K6" s="96"/>
      <c r="L6" s="96">
        <v>1000</v>
      </c>
      <c r="M6" s="97"/>
      <c r="N6" s="83">
        <f t="shared" ref="N6:N74" si="0">I6+J6+K6+L6+M6</f>
        <v>1000</v>
      </c>
      <c r="O6" s="39">
        <f t="shared" ref="O6:O74" si="1">E6*N6</f>
        <v>43000</v>
      </c>
    </row>
    <row r="7" spans="1:15" ht="15.7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900</v>
      </c>
      <c r="I7" s="95"/>
      <c r="J7" s="96"/>
      <c r="K7" s="96"/>
      <c r="L7" s="96">
        <v>1000</v>
      </c>
      <c r="M7" s="97"/>
      <c r="N7" s="83">
        <f t="shared" si="0"/>
        <v>1000</v>
      </c>
      <c r="O7" s="39">
        <f t="shared" si="1"/>
        <v>20000</v>
      </c>
    </row>
    <row r="8" spans="1:15" ht="15.7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5.7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150</v>
      </c>
      <c r="I9" s="95">
        <v>1000</v>
      </c>
      <c r="J9" s="96"/>
      <c r="K9" s="96"/>
      <c r="L9" s="96"/>
      <c r="M9" s="97"/>
      <c r="N9" s="83">
        <f>I9+J9+K9+L9+M9</f>
        <v>1000</v>
      </c>
      <c r="O9" s="39">
        <f t="shared" si="1"/>
        <v>53000</v>
      </c>
    </row>
    <row r="10" spans="1:15" ht="15.7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150</v>
      </c>
      <c r="I10" s="95">
        <v>1000</v>
      </c>
      <c r="J10" s="96"/>
      <c r="K10" s="96"/>
      <c r="L10" s="96"/>
      <c r="M10" s="97"/>
      <c r="N10" s="83">
        <f t="shared" si="0"/>
        <v>1000</v>
      </c>
      <c r="O10" s="39">
        <f t="shared" si="1"/>
        <v>65000</v>
      </c>
    </row>
    <row r="11" spans="1:15" ht="15.7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100</v>
      </c>
      <c r="I11" s="95">
        <v>1000</v>
      </c>
      <c r="J11" s="103"/>
      <c r="K11" s="103"/>
      <c r="L11" s="103"/>
      <c r="M11" s="104"/>
      <c r="N11" s="83">
        <f t="shared" si="0"/>
        <v>1000</v>
      </c>
      <c r="O11" s="39">
        <f t="shared" si="1"/>
        <v>18500</v>
      </c>
    </row>
    <row r="12" spans="1:15" ht="15.7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50</v>
      </c>
      <c r="I12" s="95">
        <v>1000</v>
      </c>
      <c r="J12" s="96"/>
      <c r="K12" s="96"/>
      <c r="L12" s="96"/>
      <c r="M12" s="97"/>
      <c r="N12" s="83">
        <f t="shared" si="0"/>
        <v>1000</v>
      </c>
      <c r="O12" s="39">
        <f t="shared" si="1"/>
        <v>20000</v>
      </c>
    </row>
    <row r="13" spans="1:15" ht="15.7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5.7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5.7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>
        <v>1000</v>
      </c>
      <c r="J15" s="96"/>
      <c r="K15" s="96">
        <v>1000</v>
      </c>
      <c r="L15" s="96"/>
      <c r="M15" s="97"/>
      <c r="N15" s="83">
        <f t="shared" si="0"/>
        <v>2000</v>
      </c>
      <c r="O15" s="39">
        <f t="shared" si="1"/>
        <v>36000</v>
      </c>
    </row>
    <row r="16" spans="1:15" ht="15.7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/>
      <c r="I16" s="95">
        <v>500</v>
      </c>
      <c r="J16" s="96"/>
      <c r="K16" s="96">
        <v>500</v>
      </c>
      <c r="L16" s="96"/>
      <c r="M16" s="97"/>
      <c r="N16" s="83">
        <f t="shared" si="0"/>
        <v>1000</v>
      </c>
      <c r="O16" s="39">
        <f t="shared" si="1"/>
        <v>6900</v>
      </c>
    </row>
    <row r="17" spans="1:15" ht="15.7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/>
      <c r="I17" s="95">
        <v>200</v>
      </c>
      <c r="J17" s="103"/>
      <c r="K17" s="103"/>
      <c r="L17" s="103"/>
      <c r="M17" s="104"/>
      <c r="N17" s="83">
        <f t="shared" si="0"/>
        <v>200</v>
      </c>
      <c r="O17" s="39">
        <f t="shared" si="1"/>
        <v>4437.5</v>
      </c>
    </row>
    <row r="18" spans="1:15" ht="15.7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/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5.7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5.7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>
        <v>200</v>
      </c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5.75" customHeight="1">
      <c r="A21" s="416"/>
      <c r="B21" s="57" t="s">
        <v>29</v>
      </c>
      <c r="C21" s="31" t="s">
        <v>23</v>
      </c>
      <c r="D21" s="31" t="s">
        <v>6</v>
      </c>
      <c r="E21" s="146">
        <v>22.8125</v>
      </c>
      <c r="F21" s="33">
        <v>3200</v>
      </c>
      <c r="G21" s="34">
        <v>73000</v>
      </c>
      <c r="H21" s="110">
        <v>200</v>
      </c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5.7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35</v>
      </c>
      <c r="I22" s="95"/>
      <c r="J22" s="96">
        <v>200</v>
      </c>
      <c r="K22" s="96"/>
      <c r="L22" s="96"/>
      <c r="M22" s="97"/>
      <c r="N22" s="83">
        <f t="shared" si="0"/>
        <v>200</v>
      </c>
      <c r="O22" s="39">
        <f t="shared" si="1"/>
        <v>22500</v>
      </c>
    </row>
    <row r="23" spans="1:15" ht="15.7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4000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5.7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5.7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1000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5.7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5.7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5.7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>
        <v>2</v>
      </c>
      <c r="I28" s="95"/>
      <c r="J28" s="103">
        <v>6</v>
      </c>
      <c r="K28" s="103"/>
      <c r="L28" s="103"/>
      <c r="M28" s="104"/>
      <c r="N28" s="83">
        <f t="shared" si="0"/>
        <v>6</v>
      </c>
      <c r="O28" s="39">
        <f t="shared" si="1"/>
        <v>12600</v>
      </c>
    </row>
    <row r="29" spans="1:15" ht="15.7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>
        <v>6</v>
      </c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5.7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>
        <v>6</v>
      </c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5.7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5.7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/>
      <c r="J32" s="96"/>
      <c r="K32" s="96">
        <v>2</v>
      </c>
      <c r="L32" s="96"/>
      <c r="M32" s="97"/>
      <c r="N32" s="83">
        <f t="shared" si="0"/>
        <v>2</v>
      </c>
      <c r="O32" s="39">
        <f t="shared" si="1"/>
        <v>6400</v>
      </c>
    </row>
    <row r="33" spans="1:15" ht="15.7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5</v>
      </c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5.7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5</v>
      </c>
      <c r="I35" s="95">
        <v>4</v>
      </c>
      <c r="J35" s="103"/>
      <c r="K35" s="103">
        <v>4</v>
      </c>
      <c r="L35" s="103"/>
      <c r="M35" s="104"/>
      <c r="N35" s="83">
        <f t="shared" si="0"/>
        <v>8</v>
      </c>
      <c r="O35" s="39">
        <f t="shared" si="1"/>
        <v>61600</v>
      </c>
    </row>
    <row r="36" spans="1:15" ht="15.7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5</v>
      </c>
      <c r="I36" s="95"/>
      <c r="J36" s="103"/>
      <c r="K36" s="103">
        <v>4</v>
      </c>
      <c r="L36" s="103"/>
      <c r="M36" s="104"/>
      <c r="N36" s="83">
        <f t="shared" si="0"/>
        <v>4</v>
      </c>
      <c r="O36" s="39">
        <f t="shared" si="1"/>
        <v>5400</v>
      </c>
    </row>
    <row r="37" spans="1:15" ht="15.7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5.7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95">
        <v>2</v>
      </c>
      <c r="J39" s="96"/>
      <c r="K39" s="96">
        <v>2</v>
      </c>
      <c r="L39" s="96">
        <v>1</v>
      </c>
      <c r="M39" s="97"/>
      <c r="N39" s="83">
        <f t="shared" si="0"/>
        <v>5</v>
      </c>
      <c r="O39" s="39">
        <f t="shared" si="1"/>
        <v>36800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95">
        <v>1</v>
      </c>
      <c r="J40" s="96"/>
      <c r="K40" s="96">
        <v>1</v>
      </c>
      <c r="L40" s="96">
        <v>1</v>
      </c>
      <c r="M40" s="97"/>
      <c r="N40" s="83">
        <f t="shared" si="0"/>
        <v>3</v>
      </c>
      <c r="O40" s="29">
        <f t="shared" si="1"/>
        <v>22080</v>
      </c>
    </row>
    <row r="41" spans="1:15" ht="15.75" customHeight="1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>
        <v>100</v>
      </c>
      <c r="J41" s="90">
        <v>100</v>
      </c>
      <c r="K41" s="90">
        <v>100</v>
      </c>
      <c r="L41" s="90"/>
      <c r="M41" s="91"/>
      <c r="N41" s="82">
        <f t="shared" si="0"/>
        <v>300</v>
      </c>
      <c r="O41" s="20">
        <f t="shared" si="1"/>
        <v>1920</v>
      </c>
    </row>
    <row r="42" spans="1:15" ht="15.75" customHeight="1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 ht="15.75" customHeight="1">
      <c r="A43" s="415" t="s">
        <v>158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 ht="15.75" customHeight="1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1</v>
      </c>
      <c r="I44" s="95">
        <v>1</v>
      </c>
      <c r="J44" s="96">
        <v>1</v>
      </c>
      <c r="K44" s="96"/>
      <c r="L44" s="96"/>
      <c r="M44" s="97"/>
      <c r="N44" s="86">
        <f t="shared" si="0"/>
        <v>2</v>
      </c>
      <c r="O44" s="39">
        <f t="shared" si="1"/>
        <v>12400</v>
      </c>
    </row>
    <row r="45" spans="1:15" ht="15.75" customHeight="1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1</v>
      </c>
      <c r="I45" s="95">
        <v>1</v>
      </c>
      <c r="J45" s="96"/>
      <c r="K45" s="96"/>
      <c r="L45" s="96">
        <v>1</v>
      </c>
      <c r="M45" s="97"/>
      <c r="N45" s="86">
        <f t="shared" si="0"/>
        <v>2</v>
      </c>
      <c r="O45" s="39">
        <f t="shared" si="1"/>
        <v>13400</v>
      </c>
    </row>
    <row r="46" spans="1:15" ht="15.75" customHeight="1">
      <c r="A46" s="416"/>
      <c r="B46" s="57" t="s">
        <v>61</v>
      </c>
      <c r="C46" s="57" t="s">
        <v>5</v>
      </c>
      <c r="D46" s="57" t="s">
        <v>6</v>
      </c>
      <c r="E46" s="74">
        <v>7250</v>
      </c>
      <c r="F46" s="33">
        <v>12</v>
      </c>
      <c r="G46" s="34">
        <v>87000</v>
      </c>
      <c r="H46" s="110"/>
      <c r="I46" s="95">
        <v>2</v>
      </c>
      <c r="J46" s="96"/>
      <c r="K46" s="96">
        <v>1</v>
      </c>
      <c r="L46" s="96"/>
      <c r="M46" s="97"/>
      <c r="N46" s="86">
        <f t="shared" si="0"/>
        <v>3</v>
      </c>
      <c r="O46" s="39">
        <f t="shared" si="1"/>
        <v>21750</v>
      </c>
    </row>
    <row r="47" spans="1:15" ht="15.75" customHeight="1">
      <c r="A47" s="416"/>
      <c r="B47" s="57" t="s">
        <v>62</v>
      </c>
      <c r="C47" s="57" t="s">
        <v>63</v>
      </c>
      <c r="D47" s="57" t="s">
        <v>6</v>
      </c>
      <c r="E47" s="74">
        <v>5300</v>
      </c>
      <c r="F47" s="33">
        <v>12</v>
      </c>
      <c r="G47" s="34">
        <v>63600</v>
      </c>
      <c r="H47" s="110"/>
      <c r="I47" s="95">
        <v>1</v>
      </c>
      <c r="J47" s="96"/>
      <c r="K47" s="96"/>
      <c r="L47" s="96"/>
      <c r="M47" s="97"/>
      <c r="N47" s="86">
        <f t="shared" si="0"/>
        <v>1</v>
      </c>
      <c r="O47" s="39">
        <f t="shared" si="1"/>
        <v>5300</v>
      </c>
    </row>
    <row r="48" spans="1:15" ht="15.75" customHeight="1">
      <c r="A48" s="416"/>
      <c r="B48" s="57" t="s">
        <v>64</v>
      </c>
      <c r="C48" s="57" t="s">
        <v>63</v>
      </c>
      <c r="D48" s="57" t="s">
        <v>6</v>
      </c>
      <c r="E48" s="74">
        <v>6600</v>
      </c>
      <c r="F48" s="33">
        <v>12</v>
      </c>
      <c r="G48" s="34">
        <v>79200</v>
      </c>
      <c r="H48" s="110">
        <v>1</v>
      </c>
      <c r="I48" s="95"/>
      <c r="J48" s="96"/>
      <c r="K48" s="96">
        <v>1</v>
      </c>
      <c r="L48" s="96"/>
      <c r="M48" s="97"/>
      <c r="N48" s="86">
        <f t="shared" si="0"/>
        <v>1</v>
      </c>
      <c r="O48" s="39">
        <f t="shared" si="1"/>
        <v>6600</v>
      </c>
    </row>
    <row r="49" spans="1:15" ht="15.75" customHeight="1">
      <c r="A49" s="416"/>
      <c r="B49" s="57" t="s">
        <v>65</v>
      </c>
      <c r="C49" s="57" t="s">
        <v>66</v>
      </c>
      <c r="D49" s="57" t="s">
        <v>6</v>
      </c>
      <c r="E49" s="74">
        <v>14500</v>
      </c>
      <c r="F49" s="33">
        <v>6</v>
      </c>
      <c r="G49" s="34">
        <v>87000</v>
      </c>
      <c r="H49" s="110">
        <v>1</v>
      </c>
      <c r="I49" s="95">
        <v>1</v>
      </c>
      <c r="J49" s="96"/>
      <c r="K49" s="96"/>
      <c r="L49" s="96">
        <v>1</v>
      </c>
      <c r="M49" s="97"/>
      <c r="N49" s="86">
        <f t="shared" si="0"/>
        <v>2</v>
      </c>
      <c r="O49" s="39">
        <f t="shared" si="1"/>
        <v>29000</v>
      </c>
    </row>
    <row r="50" spans="1:15" ht="15.75" customHeight="1">
      <c r="A50" s="416"/>
      <c r="B50" s="57" t="s">
        <v>67</v>
      </c>
      <c r="C50" s="57" t="s">
        <v>66</v>
      </c>
      <c r="D50" s="57" t="s">
        <v>6</v>
      </c>
      <c r="E50" s="74">
        <v>11000</v>
      </c>
      <c r="F50" s="33">
        <v>6</v>
      </c>
      <c r="G50" s="34">
        <v>66000</v>
      </c>
      <c r="H50" s="110">
        <v>1</v>
      </c>
      <c r="I50" s="95"/>
      <c r="J50" s="96"/>
      <c r="K50" s="96"/>
      <c r="L50" s="96"/>
      <c r="M50" s="97"/>
      <c r="N50" s="86">
        <f t="shared" si="0"/>
        <v>0</v>
      </c>
      <c r="O50" s="39">
        <f t="shared" si="1"/>
        <v>0</v>
      </c>
    </row>
    <row r="51" spans="1:15" ht="15.75" customHeight="1">
      <c r="A51" s="416"/>
      <c r="B51" s="57" t="s">
        <v>152</v>
      </c>
      <c r="C51" s="57" t="s">
        <v>66</v>
      </c>
      <c r="D51" s="57" t="s">
        <v>6</v>
      </c>
      <c r="E51" s="74">
        <v>7000</v>
      </c>
      <c r="F51" s="33">
        <v>6</v>
      </c>
      <c r="G51" s="34">
        <v>42000</v>
      </c>
      <c r="H51" s="110"/>
      <c r="I51" s="95">
        <v>1</v>
      </c>
      <c r="J51" s="96"/>
      <c r="K51" s="96"/>
      <c r="L51" s="96">
        <v>1</v>
      </c>
      <c r="M51" s="97"/>
      <c r="N51" s="86">
        <f t="shared" si="0"/>
        <v>2</v>
      </c>
      <c r="O51" s="39">
        <f>E51*N51</f>
        <v>14000</v>
      </c>
    </row>
    <row r="52" spans="1:15" ht="15" customHeight="1">
      <c r="A52" s="416"/>
      <c r="B52" s="57" t="s">
        <v>149</v>
      </c>
      <c r="C52" s="57" t="s">
        <v>66</v>
      </c>
      <c r="D52" s="57" t="s">
        <v>6</v>
      </c>
      <c r="E52" s="74">
        <v>9000</v>
      </c>
      <c r="F52" s="33">
        <v>6</v>
      </c>
      <c r="G52" s="34">
        <v>54000</v>
      </c>
      <c r="H52" s="110"/>
      <c r="I52" s="95"/>
      <c r="J52" s="96"/>
      <c r="K52" s="96"/>
      <c r="L52" s="96"/>
      <c r="M52" s="97"/>
      <c r="N52" s="86">
        <f t="shared" si="0"/>
        <v>0</v>
      </c>
      <c r="O52" s="39">
        <f>E52*N52</f>
        <v>0</v>
      </c>
    </row>
    <row r="53" spans="1:15" ht="15" customHeight="1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110">
        <v>1</v>
      </c>
      <c r="I53" s="95">
        <v>1</v>
      </c>
      <c r="J53" s="96">
        <v>1</v>
      </c>
      <c r="K53" s="96">
        <v>1</v>
      </c>
      <c r="L53" s="96"/>
      <c r="M53" s="97"/>
      <c r="N53" s="83">
        <f>I53+J53+K53+L53+M53</f>
        <v>3</v>
      </c>
      <c r="O53" s="39">
        <f>E53*N53</f>
        <v>15900</v>
      </c>
    </row>
    <row r="54" spans="1:15" ht="15" customHeight="1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110"/>
      <c r="I54" s="95"/>
      <c r="J54" s="96"/>
      <c r="K54" s="9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 ht="15" customHeight="1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110"/>
      <c r="I55" s="95"/>
      <c r="J55" s="96"/>
      <c r="K55" s="9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 ht="15.75" customHeight="1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10">
        <v>1</v>
      </c>
      <c r="I56" s="95"/>
      <c r="J56" s="96"/>
      <c r="K56" s="96"/>
      <c r="L56" s="96">
        <v>1</v>
      </c>
      <c r="M56" s="97"/>
      <c r="N56" s="86">
        <f t="shared" si="0"/>
        <v>1</v>
      </c>
      <c r="O56" s="39">
        <f t="shared" si="1"/>
        <v>4500</v>
      </c>
    </row>
    <row r="57" spans="1:15" ht="15.75" customHeight="1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120">
        <v>1</v>
      </c>
      <c r="I57" s="95"/>
      <c r="J57" s="93"/>
      <c r="K57" s="93"/>
      <c r="L57" s="93"/>
      <c r="M57" s="94"/>
      <c r="N57" s="86">
        <f t="shared" si="0"/>
        <v>0</v>
      </c>
      <c r="O57" s="42">
        <f t="shared" si="1"/>
        <v>0</v>
      </c>
    </row>
    <row r="58" spans="1:15" ht="15.75" customHeight="1">
      <c r="A58" s="410" t="s">
        <v>70</v>
      </c>
      <c r="B58" s="58" t="s">
        <v>71</v>
      </c>
      <c r="C58" s="58" t="s">
        <v>66</v>
      </c>
      <c r="D58" s="58" t="s">
        <v>6</v>
      </c>
      <c r="E58" s="380">
        <v>6900</v>
      </c>
      <c r="F58" s="14">
        <v>6</v>
      </c>
      <c r="G58" s="15">
        <v>41400</v>
      </c>
      <c r="H58" s="112">
        <v>1</v>
      </c>
      <c r="I58" s="98"/>
      <c r="J58" s="90"/>
      <c r="K58" s="90">
        <v>1</v>
      </c>
      <c r="L58" s="90"/>
      <c r="M58" s="91"/>
      <c r="N58" s="82">
        <f t="shared" si="0"/>
        <v>1</v>
      </c>
      <c r="O58" s="88">
        <f t="shared" si="1"/>
        <v>6900</v>
      </c>
    </row>
    <row r="59" spans="1:15" ht="15.75" customHeight="1">
      <c r="A59" s="411"/>
      <c r="B59" s="57" t="s">
        <v>72</v>
      </c>
      <c r="C59" s="57" t="s">
        <v>66</v>
      </c>
      <c r="D59" s="57" t="s">
        <v>6</v>
      </c>
      <c r="E59" s="74">
        <v>6900</v>
      </c>
      <c r="F59" s="33">
        <v>6</v>
      </c>
      <c r="G59" s="34">
        <v>41400</v>
      </c>
      <c r="H59" s="110">
        <v>1</v>
      </c>
      <c r="I59" s="95"/>
      <c r="J59" s="96"/>
      <c r="K59" s="96">
        <v>1</v>
      </c>
      <c r="L59" s="96"/>
      <c r="M59" s="97"/>
      <c r="N59" s="83">
        <f t="shared" si="0"/>
        <v>1</v>
      </c>
      <c r="O59" s="39">
        <f t="shared" si="1"/>
        <v>6900</v>
      </c>
    </row>
    <row r="60" spans="1:15" ht="15.75" customHeight="1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10"/>
      <c r="I60" s="95">
        <v>1</v>
      </c>
      <c r="J60" s="96"/>
      <c r="K60" s="96">
        <v>1</v>
      </c>
      <c r="L60" s="96"/>
      <c r="M60" s="97"/>
      <c r="N60" s="83">
        <f t="shared" si="0"/>
        <v>2</v>
      </c>
      <c r="O60" s="39">
        <f t="shared" si="1"/>
        <v>13600</v>
      </c>
    </row>
    <row r="61" spans="1:15" ht="15.75" customHeight="1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10">
        <v>2</v>
      </c>
      <c r="I61" s="95">
        <v>2</v>
      </c>
      <c r="J61" s="96"/>
      <c r="K61" s="96">
        <v>1</v>
      </c>
      <c r="L61" s="96">
        <v>1</v>
      </c>
      <c r="M61" s="97"/>
      <c r="N61" s="83">
        <f t="shared" si="0"/>
        <v>4</v>
      </c>
      <c r="O61" s="39">
        <f t="shared" si="1"/>
        <v>60000</v>
      </c>
    </row>
    <row r="62" spans="1:15" ht="15.75" customHeight="1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 ht="15.75" customHeight="1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10">
        <v>1</v>
      </c>
      <c r="I63" s="95">
        <v>1</v>
      </c>
      <c r="J63" s="96">
        <v>1</v>
      </c>
      <c r="K63" s="96"/>
      <c r="L63" s="96"/>
      <c r="M63" s="97"/>
      <c r="N63" s="83">
        <f t="shared" si="0"/>
        <v>2</v>
      </c>
      <c r="O63" s="39">
        <f t="shared" si="1"/>
        <v>13200</v>
      </c>
    </row>
    <row r="64" spans="1:15" ht="15.75" customHeight="1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10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 ht="15.75" customHeight="1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110">
        <v>1</v>
      </c>
      <c r="I65" s="95"/>
      <c r="J65" s="96"/>
      <c r="K65" s="96"/>
      <c r="L65" s="96">
        <v>1</v>
      </c>
      <c r="M65" s="97"/>
      <c r="N65" s="83">
        <f t="shared" si="0"/>
        <v>1</v>
      </c>
      <c r="O65" s="39">
        <f t="shared" si="1"/>
        <v>7000</v>
      </c>
    </row>
    <row r="66" spans="1:15" ht="15.75" customHeight="1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10"/>
      <c r="I66" s="95"/>
      <c r="J66" s="96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5" ht="15.75" customHeight="1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10"/>
      <c r="I67" s="95"/>
      <c r="J67" s="96"/>
      <c r="K67" s="96"/>
      <c r="L67" s="96"/>
      <c r="M67" s="97"/>
      <c r="N67" s="83">
        <f t="shared" si="0"/>
        <v>0</v>
      </c>
      <c r="O67" s="39">
        <f t="shared" si="1"/>
        <v>0</v>
      </c>
    </row>
    <row r="68" spans="1:15" ht="15.75" customHeight="1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0">
        <v>1</v>
      </c>
      <c r="I68" s="95"/>
      <c r="J68" s="93"/>
      <c r="K68" s="93"/>
      <c r="L68" s="93"/>
      <c r="M68" s="94"/>
      <c r="N68" s="85">
        <f t="shared" si="0"/>
        <v>0</v>
      </c>
      <c r="O68" s="29">
        <f t="shared" si="1"/>
        <v>0</v>
      </c>
    </row>
    <row r="69" spans="1:15" ht="15.75" customHeight="1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12">
        <v>11</v>
      </c>
      <c r="I69" s="98">
        <v>8</v>
      </c>
      <c r="J69" s="90">
        <v>8</v>
      </c>
      <c r="K69" s="90">
        <v>8</v>
      </c>
      <c r="L69" s="90">
        <v>8</v>
      </c>
      <c r="M69" s="91"/>
      <c r="N69" s="82">
        <f t="shared" si="0"/>
        <v>32</v>
      </c>
      <c r="O69" s="20">
        <f t="shared" si="1"/>
        <v>352000</v>
      </c>
    </row>
    <row r="70" spans="1:15" ht="15.75" customHeight="1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19"/>
      <c r="I70" s="105">
        <v>1</v>
      </c>
      <c r="J70" s="100"/>
      <c r="K70" s="100">
        <v>1</v>
      </c>
      <c r="L70" s="100"/>
      <c r="M70" s="101"/>
      <c r="N70" s="85">
        <f t="shared" si="0"/>
        <v>2</v>
      </c>
      <c r="O70" s="42">
        <f t="shared" si="1"/>
        <v>38000</v>
      </c>
    </row>
    <row r="71" spans="1:15" ht="15.75" customHeight="1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08">
        <v>1.4</v>
      </c>
      <c r="I71" s="89">
        <v>1</v>
      </c>
      <c r="J71" s="90"/>
      <c r="K71" s="90"/>
      <c r="L71" s="90"/>
      <c r="M71" s="91"/>
      <c r="N71" s="86">
        <f t="shared" si="0"/>
        <v>1</v>
      </c>
      <c r="O71" s="88">
        <f t="shared" si="1"/>
        <v>4000</v>
      </c>
    </row>
    <row r="72" spans="1:15" ht="15.75" customHeight="1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07">
        <v>1.9</v>
      </c>
      <c r="I72" s="95"/>
      <c r="J72" s="96"/>
      <c r="K72" s="96"/>
      <c r="L72" s="96">
        <v>1</v>
      </c>
      <c r="M72" s="97"/>
      <c r="N72" s="83">
        <f t="shared" si="0"/>
        <v>1</v>
      </c>
      <c r="O72" s="39">
        <f t="shared" si="1"/>
        <v>4000</v>
      </c>
    </row>
    <row r="73" spans="1:15" ht="15.75" customHeight="1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10">
        <v>0.19</v>
      </c>
      <c r="I73" s="95">
        <v>1</v>
      </c>
      <c r="J73" s="96"/>
      <c r="K73" s="96"/>
      <c r="L73" s="96"/>
      <c r="M73" s="97"/>
      <c r="N73" s="83">
        <f t="shared" si="0"/>
        <v>1</v>
      </c>
      <c r="O73" s="39">
        <f t="shared" si="1"/>
        <v>4000</v>
      </c>
    </row>
    <row r="74" spans="1:15" ht="15.75" customHeight="1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19">
        <v>1.1200000000000001</v>
      </c>
      <c r="I74" s="99"/>
      <c r="J74" s="100">
        <v>1</v>
      </c>
      <c r="K74" s="100"/>
      <c r="L74" s="100"/>
      <c r="M74" s="101"/>
      <c r="N74" s="85">
        <f t="shared" si="0"/>
        <v>1</v>
      </c>
      <c r="O74" s="42">
        <f t="shared" si="1"/>
        <v>4300</v>
      </c>
    </row>
    <row r="75" spans="1:15" ht="15.75" customHeight="1" thickBot="1">
      <c r="A75" s="54"/>
      <c r="B75" s="54"/>
      <c r="C75" s="54"/>
      <c r="D75" s="54"/>
      <c r="E75" s="54">
        <f t="shared" ref="E75:G75" si="5">SUM(E5:E74)</f>
        <v>334992.21499999997</v>
      </c>
      <c r="F75" s="102">
        <f t="shared" si="5"/>
        <v>76679</v>
      </c>
      <c r="G75" s="102">
        <f t="shared" si="5"/>
        <v>3552570</v>
      </c>
      <c r="H75" s="102">
        <f>SUM(H5:H74)</f>
        <v>7599.6099999999988</v>
      </c>
      <c r="I75" s="102">
        <f>SUM(I5:I74)</f>
        <v>5830</v>
      </c>
      <c r="J75" s="102">
        <f>SUM(J5:J74)</f>
        <v>318</v>
      </c>
      <c r="K75" s="102">
        <f t="shared" ref="K75:M75" si="6">SUM(K5:K74)</f>
        <v>1629</v>
      </c>
      <c r="L75" s="102">
        <f t="shared" si="6"/>
        <v>2021</v>
      </c>
      <c r="M75" s="102">
        <f t="shared" si="6"/>
        <v>0</v>
      </c>
      <c r="N75" s="144">
        <f>SUM(N5:N74)</f>
        <v>9798</v>
      </c>
      <c r="O75" s="144">
        <f>SUM(O5:O74)</f>
        <v>1105487.5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8:O58 N5:O6 N41:O43 O7:O18 O56:O57 O44:O50 N67:O74 O66 O59:O6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5"/>
  <sheetViews>
    <sheetView topLeftCell="A28" zoomScale="70" zoomScaleNormal="70" workbookViewId="0">
      <selection activeCell="I51" sqref="I51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171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159</v>
      </c>
      <c r="I4" s="7" t="s">
        <v>160</v>
      </c>
      <c r="J4" s="8" t="s">
        <v>161</v>
      </c>
      <c r="K4" s="8" t="s">
        <v>162</v>
      </c>
      <c r="L4" s="9" t="s">
        <v>163</v>
      </c>
      <c r="M4" s="8" t="s">
        <v>164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>
        <v>500</v>
      </c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600</v>
      </c>
      <c r="I6" s="95"/>
      <c r="J6" s="96"/>
      <c r="K6" s="96"/>
      <c r="L6" s="96"/>
      <c r="M6" s="97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900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122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650</v>
      </c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950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400</v>
      </c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1000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>
        <v>500</v>
      </c>
      <c r="I16" s="95"/>
      <c r="J16" s="96"/>
      <c r="K16" s="96">
        <v>500</v>
      </c>
      <c r="L16" s="96"/>
      <c r="M16" s="97"/>
      <c r="N16" s="83">
        <f t="shared" si="0"/>
        <v>500</v>
      </c>
      <c r="O16" s="39">
        <f t="shared" si="1"/>
        <v>3450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10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115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800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3000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95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6</v>
      </c>
      <c r="I35" s="95"/>
      <c r="J35" s="103"/>
      <c r="K35" s="103"/>
      <c r="L35" s="103"/>
      <c r="M35" s="104"/>
      <c r="N35" s="83">
        <f t="shared" si="0"/>
        <v>0</v>
      </c>
      <c r="O35" s="39">
        <f>E35*N35</f>
        <v>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3</v>
      </c>
      <c r="I36" s="95"/>
      <c r="J36" s="103"/>
      <c r="K36" s="103"/>
      <c r="L36" s="103"/>
      <c r="M36" s="104"/>
      <c r="N36" s="83">
        <f t="shared" si="0"/>
        <v>0</v>
      </c>
      <c r="O36" s="39">
        <f>E36*N36</f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95"/>
      <c r="J39" s="96"/>
      <c r="K39" s="96">
        <v>1</v>
      </c>
      <c r="L39" s="96"/>
      <c r="M39" s="97"/>
      <c r="N39" s="83">
        <f t="shared" si="0"/>
        <v>1</v>
      </c>
      <c r="O39" s="39">
        <f t="shared" si="1"/>
        <v>7360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95"/>
      <c r="J40" s="96"/>
      <c r="K40" s="96"/>
      <c r="L40" s="96"/>
      <c r="M40" s="97"/>
      <c r="N40" s="84">
        <f t="shared" si="0"/>
        <v>0</v>
      </c>
      <c r="O40" s="2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/>
      <c r="I44" s="95"/>
      <c r="J44" s="96">
        <v>1</v>
      </c>
      <c r="K44" s="96"/>
      <c r="L44" s="96"/>
      <c r="M44" s="97"/>
      <c r="N44" s="83">
        <f t="shared" si="0"/>
        <v>1</v>
      </c>
      <c r="O44" s="39">
        <f t="shared" si="1"/>
        <v>6200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1</v>
      </c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1</v>
      </c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1</v>
      </c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1</v>
      </c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/>
      <c r="J51" s="96"/>
      <c r="K51" s="96"/>
      <c r="L51" s="96"/>
      <c r="M51" s="97"/>
      <c r="N51" s="83">
        <f t="shared" si="0"/>
        <v>0</v>
      </c>
      <c r="O51" s="39">
        <f>E51*N51</f>
        <v>0</v>
      </c>
    </row>
    <row r="52" spans="1:15">
      <c r="A52" s="416"/>
      <c r="B52" s="57" t="s">
        <v>149</v>
      </c>
      <c r="C52" s="57" t="s">
        <v>66</v>
      </c>
      <c r="D52" s="57" t="s">
        <v>6</v>
      </c>
      <c r="E52" s="74">
        <v>9000</v>
      </c>
      <c r="F52" s="33">
        <v>6</v>
      </c>
      <c r="G52" s="34">
        <v>54000</v>
      </c>
      <c r="H52" s="110"/>
      <c r="I52" s="95"/>
      <c r="J52" s="96"/>
      <c r="K52" s="96"/>
      <c r="L52" s="96"/>
      <c r="M52" s="97"/>
      <c r="N52" s="83">
        <f t="shared" si="0"/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96"/>
      <c r="L54" s="97">
        <v>2</v>
      </c>
      <c r="M54" s="97"/>
      <c r="N54" s="83">
        <f t="shared" ref="N54:N56" si="3">I54+J54+K54+L54+M54</f>
        <v>2</v>
      </c>
      <c r="O54" s="39">
        <f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96"/>
      <c r="L55" s="97">
        <v>2</v>
      </c>
      <c r="M55" s="97"/>
      <c r="N55" s="83">
        <f t="shared" si="3"/>
        <v>2</v>
      </c>
      <c r="O55" s="39">
        <f>E55*N55</f>
        <v>16800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10">
        <v>1</v>
      </c>
      <c r="I56" s="95"/>
      <c r="J56" s="96"/>
      <c r="K56" s="96">
        <v>1</v>
      </c>
      <c r="L56" s="96"/>
      <c r="M56" s="97"/>
      <c r="N56" s="83">
        <f t="shared" si="3"/>
        <v>1</v>
      </c>
      <c r="O56" s="39">
        <f t="shared" si="1"/>
        <v>4500</v>
      </c>
    </row>
    <row r="57" spans="1:15" ht="17.25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120">
        <v>1</v>
      </c>
      <c r="I57" s="95"/>
      <c r="J57" s="93"/>
      <c r="K57" s="93"/>
      <c r="L57" s="93"/>
      <c r="M57" s="94"/>
      <c r="N57" s="84">
        <f t="shared" si="0"/>
        <v>0</v>
      </c>
      <c r="O57" s="42">
        <f t="shared" si="1"/>
        <v>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12">
        <v>1</v>
      </c>
      <c r="I58" s="98"/>
      <c r="J58" s="90"/>
      <c r="K58" s="90"/>
      <c r="L58" s="90"/>
      <c r="M58" s="91"/>
      <c r="N58" s="82">
        <f t="shared" si="0"/>
        <v>0</v>
      </c>
      <c r="O58" s="88">
        <f t="shared" si="1"/>
        <v>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10">
        <v>1</v>
      </c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10">
        <v>1</v>
      </c>
      <c r="I60" s="95"/>
      <c r="J60" s="96">
        <v>1</v>
      </c>
      <c r="K60" s="96"/>
      <c r="L60" s="96"/>
      <c r="M60" s="97"/>
      <c r="N60" s="83">
        <f t="shared" si="0"/>
        <v>1</v>
      </c>
      <c r="O60" s="39">
        <f t="shared" si="1"/>
        <v>6800</v>
      </c>
    </row>
    <row r="61" spans="1:15">
      <c r="A61" s="411"/>
      <c r="B61" s="31" t="s">
        <v>166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10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10">
        <v>1</v>
      </c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10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10"/>
      <c r="I66" s="95"/>
      <c r="J66" s="96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10">
        <v>1</v>
      </c>
      <c r="I67" s="95"/>
      <c r="J67" s="96"/>
      <c r="K67" s="96"/>
      <c r="L67" s="96"/>
      <c r="M67" s="97"/>
      <c r="N67" s="83">
        <f t="shared" si="0"/>
        <v>0</v>
      </c>
      <c r="O67" s="39">
        <f t="shared" si="1"/>
        <v>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0">
        <v>1</v>
      </c>
      <c r="I68" s="95"/>
      <c r="J68" s="93"/>
      <c r="K68" s="93"/>
      <c r="L68" s="93"/>
      <c r="M68" s="94"/>
      <c r="N68" s="83">
        <f t="shared" si="0"/>
        <v>0</v>
      </c>
      <c r="O68" s="29">
        <f t="shared" si="1"/>
        <v>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12">
        <v>9</v>
      </c>
      <c r="I69" s="98"/>
      <c r="J69" s="90"/>
      <c r="K69" s="90"/>
      <c r="L69" s="90">
        <v>3</v>
      </c>
      <c r="M69" s="91"/>
      <c r="N69" s="82">
        <f t="shared" si="0"/>
        <v>3</v>
      </c>
      <c r="O69" s="20">
        <f t="shared" si="1"/>
        <v>33000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19">
        <v>1</v>
      </c>
      <c r="I70" s="105"/>
      <c r="J70" s="100"/>
      <c r="K70" s="100"/>
      <c r="L70" s="100"/>
      <c r="M70" s="101"/>
      <c r="N70" s="85">
        <f t="shared" si="0"/>
        <v>0</v>
      </c>
      <c r="O70" s="42">
        <f t="shared" si="1"/>
        <v>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12">
        <v>0.18</v>
      </c>
      <c r="I71" s="89"/>
      <c r="J71" s="90">
        <v>1</v>
      </c>
      <c r="K71" s="90"/>
      <c r="L71" s="90"/>
      <c r="M71" s="91"/>
      <c r="N71" s="86">
        <f t="shared" si="0"/>
        <v>1</v>
      </c>
      <c r="O71" s="88">
        <f t="shared" si="1"/>
        <v>4000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358">
        <v>1.1299999999999999</v>
      </c>
      <c r="I72" s="95"/>
      <c r="J72" s="96"/>
      <c r="K72" s="96"/>
      <c r="L72" s="96"/>
      <c r="M72" s="97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10">
        <v>1.1200000000000001</v>
      </c>
      <c r="I73" s="95"/>
      <c r="J73" s="96"/>
      <c r="K73" s="96"/>
      <c r="L73" s="96"/>
      <c r="M73" s="97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19">
        <v>1.08</v>
      </c>
      <c r="I74" s="99"/>
      <c r="J74" s="100"/>
      <c r="K74" s="100"/>
      <c r="L74" s="100"/>
      <c r="M74" s="101"/>
      <c r="N74" s="85">
        <f t="shared" si="0"/>
        <v>0</v>
      </c>
      <c r="O74" s="42">
        <f t="shared" si="1"/>
        <v>0</v>
      </c>
    </row>
    <row r="75" spans="1:15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G75" si="4">SUM(F5:F74)</f>
        <v>76679</v>
      </c>
      <c r="G75" s="102">
        <f t="shared" si="4"/>
        <v>3552570</v>
      </c>
      <c r="H75" s="102">
        <f>SUM(H5:H74)</f>
        <v>9958.51</v>
      </c>
      <c r="I75" s="102">
        <f t="shared" ref="I75:M75" si="5">SUM(I5:I74)</f>
        <v>0</v>
      </c>
      <c r="J75" s="102">
        <f t="shared" si="5"/>
        <v>3</v>
      </c>
      <c r="K75" s="102">
        <f t="shared" si="5"/>
        <v>502</v>
      </c>
      <c r="L75" s="102">
        <f t="shared" si="5"/>
        <v>7</v>
      </c>
      <c r="M75" s="102">
        <f t="shared" si="5"/>
        <v>0</v>
      </c>
      <c r="N75" s="144">
        <f>SUM(N5:N74)</f>
        <v>512</v>
      </c>
      <c r="O75" s="144">
        <f>SUM(O5:O74)</f>
        <v>97910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ignoredErrors>
    <ignoredError sqref="N57:O59 N5:O6 O37:O38 N41:O44 O7:O19 O56 O45:O50 N69:O74 O66:O68 O60:O6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6"/>
  <sheetViews>
    <sheetView topLeftCell="A37" zoomScale="70" zoomScaleNormal="70" workbookViewId="0">
      <selection activeCell="E54" sqref="E54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413" t="s">
        <v>172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86"/>
      <c r="I5" s="90"/>
      <c r="J5" s="90"/>
      <c r="K5" s="37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87">
        <v>350</v>
      </c>
      <c r="I6" s="96"/>
      <c r="J6" s="96">
        <v>1000</v>
      </c>
      <c r="K6" s="371"/>
      <c r="L6" s="96"/>
      <c r="M6" s="97"/>
      <c r="N6" s="83">
        <f t="shared" ref="N6:N74" si="0">I6+J6+K6+L6+M6</f>
        <v>1000</v>
      </c>
      <c r="O6" s="39">
        <f t="shared" ref="O6:O74" si="1">E6*N6</f>
        <v>43000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87">
        <v>1100</v>
      </c>
      <c r="I7" s="96"/>
      <c r="J7" s="96"/>
      <c r="K7" s="371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94"/>
      <c r="I8" s="103"/>
      <c r="J8" s="103"/>
      <c r="K8" s="372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94">
        <v>950</v>
      </c>
      <c r="I9" s="96">
        <v>1000</v>
      </c>
      <c r="J9" s="96"/>
      <c r="K9" s="371"/>
      <c r="L9" s="96">
        <v>1000</v>
      </c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87">
        <v>300</v>
      </c>
      <c r="I10" s="96">
        <v>1000</v>
      </c>
      <c r="J10" s="96"/>
      <c r="K10" s="371"/>
      <c r="L10" s="96"/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94">
        <v>750</v>
      </c>
      <c r="I11" s="103">
        <v>1000</v>
      </c>
      <c r="J11" s="103"/>
      <c r="K11" s="372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87">
        <v>350</v>
      </c>
      <c r="I12" s="96">
        <v>1000</v>
      </c>
      <c r="J12" s="96"/>
      <c r="K12" s="371"/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87"/>
      <c r="I13" s="96"/>
      <c r="J13" s="96"/>
      <c r="K13" s="371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87"/>
      <c r="I14" s="96"/>
      <c r="J14" s="96"/>
      <c r="K14" s="371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87"/>
      <c r="I15" s="96">
        <v>1000</v>
      </c>
      <c r="J15" s="96"/>
      <c r="K15" s="371">
        <v>1000</v>
      </c>
      <c r="L15" s="96"/>
      <c r="M15" s="97"/>
      <c r="N15" s="83">
        <f t="shared" si="0"/>
        <v>2000</v>
      </c>
      <c r="O15" s="39">
        <f t="shared" si="1"/>
        <v>36000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87"/>
      <c r="I16" s="96"/>
      <c r="J16" s="96"/>
      <c r="K16" s="371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94">
        <v>200</v>
      </c>
      <c r="I17" s="103"/>
      <c r="J17" s="103"/>
      <c r="K17" s="372"/>
      <c r="L17" s="103">
        <v>200</v>
      </c>
      <c r="M17" s="104"/>
      <c r="N17" s="83">
        <f t="shared" si="0"/>
        <v>200</v>
      </c>
      <c r="O17" s="39">
        <f t="shared" si="1"/>
        <v>4437.5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87">
        <v>500</v>
      </c>
      <c r="I18" s="96">
        <v>500</v>
      </c>
      <c r="J18" s="96">
        <v>500</v>
      </c>
      <c r="K18" s="371"/>
      <c r="L18" s="96">
        <v>500</v>
      </c>
      <c r="M18" s="97"/>
      <c r="N18" s="83">
        <f t="shared" si="0"/>
        <v>1500</v>
      </c>
      <c r="O18" s="39">
        <f t="shared" si="1"/>
        <v>10800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87"/>
      <c r="I19" s="96"/>
      <c r="J19" s="96"/>
      <c r="K19" s="371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94"/>
      <c r="I20" s="103"/>
      <c r="J20" s="103"/>
      <c r="K20" s="372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87"/>
      <c r="I21" s="96">
        <v>200</v>
      </c>
      <c r="J21" s="96"/>
      <c r="K21" s="371"/>
      <c r="L21" s="96"/>
      <c r="M21" s="97"/>
      <c r="N21" s="83">
        <f t="shared" si="0"/>
        <v>200</v>
      </c>
      <c r="O21" s="39">
        <f t="shared" si="1"/>
        <v>4562.5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87">
        <v>150</v>
      </c>
      <c r="I22" s="96"/>
      <c r="J22" s="96"/>
      <c r="K22" s="371"/>
      <c r="L22" s="96">
        <v>200</v>
      </c>
      <c r="M22" s="9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94"/>
      <c r="I23" s="103"/>
      <c r="J23" s="103"/>
      <c r="K23" s="372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87"/>
      <c r="I24" s="96"/>
      <c r="J24" s="96"/>
      <c r="K24" s="371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87"/>
      <c r="I25" s="96"/>
      <c r="J25" s="96"/>
      <c r="K25" s="371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87"/>
      <c r="I26" s="96">
        <v>1000</v>
      </c>
      <c r="J26" s="96"/>
      <c r="K26" s="371"/>
      <c r="L26" s="96"/>
      <c r="M26" s="97"/>
      <c r="N26" s="83">
        <f t="shared" si="0"/>
        <v>1000</v>
      </c>
      <c r="O26" s="39">
        <f t="shared" si="1"/>
        <v>6800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87"/>
      <c r="I27" s="96"/>
      <c r="J27" s="96"/>
      <c r="K27" s="371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94"/>
      <c r="I28" s="103"/>
      <c r="J28" s="103"/>
      <c r="K28" s="372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148" t="s">
        <v>144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87">
        <v>6</v>
      </c>
      <c r="I29" s="96"/>
      <c r="J29" s="96"/>
      <c r="K29" s="371">
        <v>6</v>
      </c>
      <c r="L29" s="96"/>
      <c r="M29" s="97"/>
      <c r="N29" s="83">
        <f t="shared" si="0"/>
        <v>6</v>
      </c>
      <c r="O29" s="39">
        <f t="shared" si="1"/>
        <v>12600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87">
        <v>6</v>
      </c>
      <c r="I30" s="96"/>
      <c r="J30" s="96"/>
      <c r="K30" s="371">
        <v>6</v>
      </c>
      <c r="L30" s="96"/>
      <c r="M30" s="97"/>
      <c r="N30" s="83">
        <f t="shared" si="0"/>
        <v>6</v>
      </c>
      <c r="O30" s="39">
        <f t="shared" si="1"/>
        <v>12600</v>
      </c>
    </row>
    <row r="31" spans="1:15" ht="17.2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87"/>
      <c r="I31" s="96"/>
      <c r="J31" s="96"/>
      <c r="K31" s="371"/>
      <c r="L31" s="96"/>
      <c r="M31" s="97"/>
      <c r="N31" s="83">
        <f t="shared" si="0"/>
        <v>0</v>
      </c>
      <c r="O31" s="39">
        <f t="shared" si="1"/>
        <v>0</v>
      </c>
    </row>
    <row r="32" spans="1:15" ht="17.2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87">
        <v>1</v>
      </c>
      <c r="I32" s="96">
        <v>1</v>
      </c>
      <c r="J32" s="96">
        <v>1</v>
      </c>
      <c r="K32" s="371"/>
      <c r="L32" s="96">
        <v>1</v>
      </c>
      <c r="M32" s="97"/>
      <c r="N32" s="83">
        <f t="shared" si="0"/>
        <v>3</v>
      </c>
      <c r="O32" s="39">
        <f t="shared" si="1"/>
        <v>9600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94"/>
      <c r="I33" s="103"/>
      <c r="J33" s="103"/>
      <c r="K33" s="371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94"/>
      <c r="I34" s="103"/>
      <c r="J34" s="103"/>
      <c r="K34" s="371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94">
        <v>8</v>
      </c>
      <c r="I35" s="103">
        <v>4</v>
      </c>
      <c r="J35" s="103">
        <v>4</v>
      </c>
      <c r="K35" s="371">
        <v>4</v>
      </c>
      <c r="L35" s="103">
        <v>2</v>
      </c>
      <c r="M35" s="104"/>
      <c r="N35" s="83">
        <f t="shared" si="0"/>
        <v>14</v>
      </c>
      <c r="O35" s="39">
        <f t="shared" si="1"/>
        <v>107800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94">
        <v>3</v>
      </c>
      <c r="I36" s="103">
        <v>3</v>
      </c>
      <c r="J36" s="103">
        <v>2</v>
      </c>
      <c r="K36" s="372">
        <v>2</v>
      </c>
      <c r="L36" s="103"/>
      <c r="M36" s="104"/>
      <c r="N36" s="83">
        <f t="shared" si="0"/>
        <v>7</v>
      </c>
      <c r="O36" s="39">
        <f t="shared" si="1"/>
        <v>9450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6"/>
      <c r="J37" s="96"/>
      <c r="K37" s="371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3"/>
      <c r="J38" s="93"/>
      <c r="K38" s="371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5</v>
      </c>
      <c r="I39" s="96"/>
      <c r="J39" s="96">
        <v>2</v>
      </c>
      <c r="K39" s="371">
        <v>2</v>
      </c>
      <c r="L39" s="96"/>
      <c r="M39" s="97"/>
      <c r="N39" s="83">
        <f t="shared" si="0"/>
        <v>4</v>
      </c>
      <c r="O39" s="39">
        <f t="shared" si="1"/>
        <v>29440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3">
        <v>1</v>
      </c>
      <c r="J40" s="93"/>
      <c r="K40" s="371">
        <v>1</v>
      </c>
      <c r="L40" s="93">
        <v>1</v>
      </c>
      <c r="M40" s="94"/>
      <c r="N40" s="84">
        <f t="shared" si="0"/>
        <v>3</v>
      </c>
      <c r="O40" s="39">
        <f t="shared" si="1"/>
        <v>22080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86"/>
      <c r="I41" s="90"/>
      <c r="J41" s="90"/>
      <c r="K41" s="370">
        <v>100</v>
      </c>
      <c r="L41" s="90"/>
      <c r="M41" s="91"/>
      <c r="N41" s="82">
        <f t="shared" si="0"/>
        <v>100</v>
      </c>
      <c r="O41" s="20">
        <f t="shared" si="1"/>
        <v>640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95"/>
      <c r="I42" s="93"/>
      <c r="J42" s="93"/>
      <c r="K42" s="37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86">
        <v>1</v>
      </c>
      <c r="I43" s="90">
        <v>1</v>
      </c>
      <c r="J43" s="90"/>
      <c r="K43" s="370"/>
      <c r="L43" s="90">
        <v>1</v>
      </c>
      <c r="M43" s="170"/>
      <c r="N43" s="86">
        <f t="shared" si="0"/>
        <v>2</v>
      </c>
      <c r="O43" s="20">
        <f t="shared" si="1"/>
        <v>15400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87">
        <v>2</v>
      </c>
      <c r="I44" s="96"/>
      <c r="J44" s="96">
        <v>1</v>
      </c>
      <c r="K44" s="371">
        <v>1</v>
      </c>
      <c r="L44" s="96"/>
      <c r="M44" s="171"/>
      <c r="N44" s="83">
        <f t="shared" si="0"/>
        <v>2</v>
      </c>
      <c r="O44" s="39">
        <f t="shared" si="1"/>
        <v>12400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87">
        <v>1</v>
      </c>
      <c r="I45" s="96"/>
      <c r="J45" s="96">
        <v>2</v>
      </c>
      <c r="K45" s="371">
        <v>1</v>
      </c>
      <c r="L45" s="96">
        <v>1</v>
      </c>
      <c r="M45" s="171"/>
      <c r="N45" s="83">
        <f t="shared" si="0"/>
        <v>4</v>
      </c>
      <c r="O45" s="39">
        <f t="shared" si="1"/>
        <v>26800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87">
        <v>1</v>
      </c>
      <c r="I46" s="96">
        <v>2</v>
      </c>
      <c r="J46" s="96"/>
      <c r="K46" s="371">
        <v>2</v>
      </c>
      <c r="L46" s="96"/>
      <c r="M46" s="171"/>
      <c r="N46" s="83">
        <f t="shared" si="0"/>
        <v>4</v>
      </c>
      <c r="O46" s="39">
        <f t="shared" si="1"/>
        <v>29000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87"/>
      <c r="I47" s="96"/>
      <c r="J47" s="96"/>
      <c r="K47" s="371"/>
      <c r="L47" s="96"/>
      <c r="M47" s="171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87">
        <v>1</v>
      </c>
      <c r="I48" s="96"/>
      <c r="J48" s="96">
        <v>1</v>
      </c>
      <c r="K48" s="371">
        <v>1</v>
      </c>
      <c r="L48" s="96"/>
      <c r="M48" s="171"/>
      <c r="N48" s="83">
        <f t="shared" si="0"/>
        <v>2</v>
      </c>
      <c r="O48" s="39">
        <f t="shared" si="1"/>
        <v>13200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87"/>
      <c r="I49" s="96"/>
      <c r="J49" s="96">
        <v>1</v>
      </c>
      <c r="K49" s="371"/>
      <c r="L49" s="96"/>
      <c r="M49" s="171"/>
      <c r="N49" s="83">
        <f t="shared" si="0"/>
        <v>1</v>
      </c>
      <c r="O49" s="39">
        <f t="shared" si="1"/>
        <v>14500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87"/>
      <c r="I50" s="96"/>
      <c r="J50" s="96"/>
      <c r="K50" s="371"/>
      <c r="L50" s="96"/>
      <c r="M50" s="171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87">
        <v>1</v>
      </c>
      <c r="I51" s="96">
        <v>1</v>
      </c>
      <c r="J51" s="96">
        <v>1</v>
      </c>
      <c r="K51" s="371">
        <v>1</v>
      </c>
      <c r="L51" s="96"/>
      <c r="M51" s="171"/>
      <c r="N51" s="83">
        <f>I51+J51+K51+L51+M51</f>
        <v>3</v>
      </c>
      <c r="O51" s="39">
        <f t="shared" si="1"/>
        <v>21000</v>
      </c>
    </row>
    <row r="52" spans="1:15">
      <c r="A52" s="416"/>
      <c r="B52" s="57" t="s">
        <v>149</v>
      </c>
      <c r="C52" s="57" t="s">
        <v>66</v>
      </c>
      <c r="D52" s="57" t="s">
        <v>6</v>
      </c>
      <c r="E52" s="74">
        <v>9000</v>
      </c>
      <c r="F52" s="33">
        <v>6</v>
      </c>
      <c r="G52" s="34">
        <v>54000</v>
      </c>
      <c r="H52" s="187">
        <v>1</v>
      </c>
      <c r="I52" s="96">
        <v>1</v>
      </c>
      <c r="J52" s="96"/>
      <c r="K52" s="371">
        <v>1</v>
      </c>
      <c r="L52" s="96"/>
      <c r="M52" s="171"/>
      <c r="N52" s="83">
        <f>I52+J52+K52+L52+M52</f>
        <v>2</v>
      </c>
      <c r="O52" s="39">
        <f t="shared" si="1"/>
        <v>18000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>
        <v>2</v>
      </c>
      <c r="J53" s="96">
        <v>2</v>
      </c>
      <c r="K53" s="371">
        <v>1</v>
      </c>
      <c r="L53" s="96">
        <v>1</v>
      </c>
      <c r="M53" s="97"/>
      <c r="N53" s="83">
        <f>I53+J53+K53+L53+M53</f>
        <v>6</v>
      </c>
      <c r="O53" s="39">
        <f>E53*N53</f>
        <v>31800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371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371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35"/>
      <c r="I56" s="96">
        <v>2</v>
      </c>
      <c r="J56" s="96">
        <v>1</v>
      </c>
      <c r="K56" s="371"/>
      <c r="L56" s="96"/>
      <c r="M56" s="171"/>
      <c r="N56" s="83">
        <f t="shared" si="0"/>
        <v>3</v>
      </c>
      <c r="O56" s="39">
        <f t="shared" si="1"/>
        <v>13500</v>
      </c>
    </row>
    <row r="57" spans="1:15" ht="17.25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195">
        <v>1</v>
      </c>
      <c r="I57" s="93">
        <v>1</v>
      </c>
      <c r="J57" s="93"/>
      <c r="K57" s="373"/>
      <c r="L57" s="93">
        <v>1</v>
      </c>
      <c r="M57" s="172"/>
      <c r="N57" s="84">
        <f t="shared" si="0"/>
        <v>2</v>
      </c>
      <c r="O57" s="39">
        <f t="shared" si="1"/>
        <v>13400</v>
      </c>
    </row>
    <row r="58" spans="1:15">
      <c r="A58" s="410" t="s">
        <v>70</v>
      </c>
      <c r="B58" s="58" t="s">
        <v>71</v>
      </c>
      <c r="C58" s="58" t="s">
        <v>66</v>
      </c>
      <c r="D58" s="58" t="s">
        <v>6</v>
      </c>
      <c r="E58" s="380">
        <v>6900</v>
      </c>
      <c r="F58" s="14">
        <v>6</v>
      </c>
      <c r="G58" s="15">
        <v>41400</v>
      </c>
      <c r="H58" s="186">
        <v>2</v>
      </c>
      <c r="I58" s="166"/>
      <c r="J58" s="166">
        <v>1</v>
      </c>
      <c r="K58" s="370">
        <v>1</v>
      </c>
      <c r="L58" s="166"/>
      <c r="M58" s="170"/>
      <c r="N58" s="82">
        <f t="shared" si="0"/>
        <v>2</v>
      </c>
      <c r="O58" s="88">
        <f t="shared" si="1"/>
        <v>13800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87">
        <v>2</v>
      </c>
      <c r="I59" s="167"/>
      <c r="J59" s="167">
        <v>1</v>
      </c>
      <c r="K59" s="371"/>
      <c r="L59" s="167"/>
      <c r="M59" s="171"/>
      <c r="N59" s="83">
        <f t="shared" si="0"/>
        <v>1</v>
      </c>
      <c r="O59" s="39">
        <f t="shared" si="1"/>
        <v>6900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87">
        <v>2</v>
      </c>
      <c r="I60" s="167"/>
      <c r="J60" s="167">
        <v>1</v>
      </c>
      <c r="K60" s="371"/>
      <c r="L60" s="167"/>
      <c r="M60" s="171"/>
      <c r="N60" s="83">
        <f t="shared" si="0"/>
        <v>1</v>
      </c>
      <c r="O60" s="39">
        <f t="shared" si="1"/>
        <v>6800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87">
        <v>1</v>
      </c>
      <c r="I61" s="167">
        <v>2</v>
      </c>
      <c r="J61" s="167">
        <v>2</v>
      </c>
      <c r="K61" s="371">
        <v>3</v>
      </c>
      <c r="L61" s="167"/>
      <c r="M61" s="171"/>
      <c r="N61" s="83">
        <f t="shared" si="0"/>
        <v>7</v>
      </c>
      <c r="O61" s="39">
        <f t="shared" si="1"/>
        <v>105000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87"/>
      <c r="I62" s="167"/>
      <c r="J62" s="167"/>
      <c r="K62" s="371"/>
      <c r="L62" s="167"/>
      <c r="M62" s="171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87">
        <v>1</v>
      </c>
      <c r="I63" s="167"/>
      <c r="J63" s="167">
        <v>2</v>
      </c>
      <c r="K63" s="371">
        <v>1</v>
      </c>
      <c r="L63" s="167"/>
      <c r="M63" s="171"/>
      <c r="N63" s="83">
        <f t="shared" si="0"/>
        <v>3</v>
      </c>
      <c r="O63" s="39">
        <f t="shared" si="1"/>
        <v>19800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87"/>
      <c r="I64" s="167"/>
      <c r="J64" s="167"/>
      <c r="K64" s="371"/>
      <c r="L64" s="167"/>
      <c r="M64" s="171"/>
      <c r="N64" s="83">
        <f t="shared" si="0"/>
        <v>0</v>
      </c>
      <c r="O64" s="39">
        <f t="shared" si="1"/>
        <v>0</v>
      </c>
    </row>
    <row r="65" spans="1:22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/>
      <c r="I65" s="95">
        <v>1</v>
      </c>
      <c r="J65" s="96"/>
      <c r="K65" s="371">
        <v>1</v>
      </c>
      <c r="L65" s="167">
        <v>1</v>
      </c>
      <c r="M65" s="97"/>
      <c r="N65" s="83">
        <f t="shared" si="0"/>
        <v>3</v>
      </c>
      <c r="O65" s="39">
        <f t="shared" si="1"/>
        <v>21000</v>
      </c>
    </row>
    <row r="66" spans="1:22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87">
        <v>1</v>
      </c>
      <c r="I66" s="167"/>
      <c r="J66" s="167">
        <v>1</v>
      </c>
      <c r="K66" s="371"/>
      <c r="L66" s="167"/>
      <c r="M66" s="171"/>
      <c r="N66" s="83">
        <f t="shared" si="0"/>
        <v>1</v>
      </c>
      <c r="O66" s="39">
        <f t="shared" si="1"/>
        <v>14100</v>
      </c>
    </row>
    <row r="67" spans="1:22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87">
        <v>1</v>
      </c>
      <c r="I67" s="167"/>
      <c r="J67" s="167"/>
      <c r="K67" s="371"/>
      <c r="L67" s="167"/>
      <c r="M67" s="171"/>
      <c r="N67" s="83">
        <f t="shared" si="0"/>
        <v>0</v>
      </c>
      <c r="O67" s="39">
        <f t="shared" si="1"/>
        <v>0</v>
      </c>
    </row>
    <row r="68" spans="1:22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95">
        <v>3</v>
      </c>
      <c r="I68" s="168"/>
      <c r="J68" s="168"/>
      <c r="K68" s="373"/>
      <c r="L68" s="168">
        <v>1</v>
      </c>
      <c r="M68" s="172"/>
      <c r="N68" s="85">
        <f t="shared" si="0"/>
        <v>1</v>
      </c>
      <c r="O68" s="29">
        <f t="shared" si="1"/>
        <v>15300</v>
      </c>
    </row>
    <row r="69" spans="1:22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86">
        <v>11</v>
      </c>
      <c r="I69" s="166">
        <v>12</v>
      </c>
      <c r="J69" s="166">
        <v>7</v>
      </c>
      <c r="K69" s="370">
        <v>4</v>
      </c>
      <c r="L69" s="166">
        <v>10</v>
      </c>
      <c r="M69" s="170"/>
      <c r="N69" s="82">
        <f t="shared" si="0"/>
        <v>33</v>
      </c>
      <c r="O69" s="20">
        <f t="shared" si="1"/>
        <v>363000</v>
      </c>
    </row>
    <row r="70" spans="1:22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88"/>
      <c r="I70" s="169">
        <v>1</v>
      </c>
      <c r="J70" s="169"/>
      <c r="K70" s="374"/>
      <c r="L70" s="169">
        <v>1</v>
      </c>
      <c r="M70" s="173"/>
      <c r="N70" s="85">
        <f t="shared" si="0"/>
        <v>2</v>
      </c>
      <c r="O70" s="42">
        <f t="shared" si="1"/>
        <v>38000</v>
      </c>
    </row>
    <row r="71" spans="1:22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89">
        <v>1.5</v>
      </c>
      <c r="I71" s="166">
        <v>1</v>
      </c>
      <c r="J71" s="166"/>
      <c r="K71" s="370"/>
      <c r="L71" s="166"/>
      <c r="M71" s="170"/>
      <c r="N71" s="86">
        <f t="shared" si="0"/>
        <v>1</v>
      </c>
      <c r="O71" s="88">
        <f t="shared" si="1"/>
        <v>4000</v>
      </c>
    </row>
    <row r="72" spans="1:22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90">
        <v>1.8</v>
      </c>
      <c r="I72" s="96">
        <v>1</v>
      </c>
      <c r="J72" s="96"/>
      <c r="K72" s="371"/>
      <c r="L72" s="96"/>
      <c r="M72" s="171"/>
      <c r="N72" s="83">
        <f t="shared" si="0"/>
        <v>1</v>
      </c>
      <c r="O72" s="39">
        <f t="shared" si="1"/>
        <v>4000</v>
      </c>
    </row>
    <row r="73" spans="1:22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87">
        <v>2.5</v>
      </c>
      <c r="I73" s="96"/>
      <c r="J73" s="96"/>
      <c r="K73" s="371">
        <v>1</v>
      </c>
      <c r="L73" s="96"/>
      <c r="M73" s="171"/>
      <c r="N73" s="83">
        <f t="shared" si="0"/>
        <v>1</v>
      </c>
      <c r="O73" s="39">
        <f t="shared" si="1"/>
        <v>4000</v>
      </c>
    </row>
    <row r="74" spans="1:22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88">
        <v>1</v>
      </c>
      <c r="I74" s="100">
        <v>1</v>
      </c>
      <c r="J74" s="100"/>
      <c r="K74" s="374"/>
      <c r="L74" s="100"/>
      <c r="M74" s="173"/>
      <c r="N74" s="85">
        <f t="shared" si="0"/>
        <v>1</v>
      </c>
      <c r="O74" s="42">
        <f t="shared" si="1"/>
        <v>4300</v>
      </c>
    </row>
    <row r="75" spans="1:22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N75" si="5">SUM(F5:F74)</f>
        <v>76679</v>
      </c>
      <c r="G75" s="102">
        <f t="shared" si="5"/>
        <v>3552570</v>
      </c>
      <c r="H75" s="102">
        <f t="shared" si="5"/>
        <v>4718.8</v>
      </c>
      <c r="I75" s="102">
        <f t="shared" si="5"/>
        <v>6738</v>
      </c>
      <c r="J75" s="102">
        <f t="shared" si="5"/>
        <v>1533</v>
      </c>
      <c r="K75" s="102">
        <f t="shared" si="5"/>
        <v>1140</v>
      </c>
      <c r="L75" s="102">
        <f t="shared" si="5"/>
        <v>2925</v>
      </c>
      <c r="M75" s="102">
        <f t="shared" si="5"/>
        <v>0</v>
      </c>
      <c r="N75" s="144">
        <f t="shared" si="5"/>
        <v>12336</v>
      </c>
      <c r="O75" s="144">
        <f>SUM(O5:O74)</f>
        <v>1421910</v>
      </c>
    </row>
    <row r="76" spans="1:22">
      <c r="V76" s="196"/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ignoredErrors>
    <ignoredError sqref="N66:O74 N6:O6 N41:O44 O5 N7 N56:N57 N45:N50 N58:O6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5"/>
  <sheetViews>
    <sheetView topLeftCell="A37" zoomScale="70" zoomScaleNormal="70" workbookViewId="0">
      <selection activeCell="B52" sqref="B52:G57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178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0"/>
      <c r="J5" s="152"/>
      <c r="K5" s="90"/>
      <c r="L5" s="90"/>
      <c r="M5" s="114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300</v>
      </c>
      <c r="I6" s="96"/>
      <c r="J6" s="153">
        <v>1000</v>
      </c>
      <c r="K6" s="96"/>
      <c r="L6" s="96"/>
      <c r="M6" s="117"/>
      <c r="N6" s="83">
        <f t="shared" ref="N6:N74" si="0">I6+J6+K6+L6+M6</f>
        <v>1000</v>
      </c>
      <c r="O6" s="39">
        <f t="shared" ref="O6:O74" si="1">E6*N6</f>
        <v>43000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300</v>
      </c>
      <c r="I7" s="96">
        <v>1000</v>
      </c>
      <c r="J7" s="153"/>
      <c r="K7" s="96"/>
      <c r="L7" s="96"/>
      <c r="M7" s="117"/>
      <c r="N7" s="83">
        <f t="shared" si="0"/>
        <v>1000</v>
      </c>
      <c r="O7" s="39">
        <f t="shared" si="1"/>
        <v>20000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3"/>
      <c r="J8" s="154"/>
      <c r="K8" s="103"/>
      <c r="L8" s="10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3">
        <v>650</v>
      </c>
      <c r="I9" s="96"/>
      <c r="J9" s="153">
        <v>1000</v>
      </c>
      <c r="K9" s="96"/>
      <c r="L9" s="96"/>
      <c r="M9" s="117"/>
      <c r="N9" s="83">
        <f t="shared" si="0"/>
        <v>1000</v>
      </c>
      <c r="O9" s="39">
        <f t="shared" si="1"/>
        <v>53000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200</v>
      </c>
      <c r="I10" s="96">
        <v>1000</v>
      </c>
      <c r="J10" s="153"/>
      <c r="K10" s="96"/>
      <c r="L10" s="96"/>
      <c r="M10" s="117"/>
      <c r="N10" s="83">
        <f t="shared" si="0"/>
        <v>1000</v>
      </c>
      <c r="O10" s="39">
        <f t="shared" si="1"/>
        <v>65000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1100</v>
      </c>
      <c r="I11" s="103"/>
      <c r="J11" s="154"/>
      <c r="K11" s="103"/>
      <c r="L11" s="103">
        <v>1000</v>
      </c>
      <c r="M11" s="111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900</v>
      </c>
      <c r="I12" s="96"/>
      <c r="J12" s="153"/>
      <c r="K12" s="96"/>
      <c r="L12" s="96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6"/>
      <c r="J13" s="153"/>
      <c r="K13" s="96"/>
      <c r="L13" s="96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6"/>
      <c r="J14" s="153"/>
      <c r="K14" s="96"/>
      <c r="L14" s="96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6"/>
      <c r="J15" s="153">
        <v>1000</v>
      </c>
      <c r="K15" s="96"/>
      <c r="L15" s="96">
        <v>1000</v>
      </c>
      <c r="M15" s="117"/>
      <c r="N15" s="83">
        <f t="shared" si="0"/>
        <v>2000</v>
      </c>
      <c r="O15" s="39">
        <f t="shared" si="1"/>
        <v>36000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96"/>
      <c r="J16" s="153">
        <v>500</v>
      </c>
      <c r="K16" s="96"/>
      <c r="L16" s="96">
        <v>500</v>
      </c>
      <c r="M16" s="117"/>
      <c r="N16" s="83">
        <f t="shared" si="0"/>
        <v>1000</v>
      </c>
      <c r="O16" s="39">
        <f t="shared" si="1"/>
        <v>6900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03"/>
      <c r="J17" s="154"/>
      <c r="K17" s="103"/>
      <c r="L17" s="10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6"/>
      <c r="J18" s="153">
        <v>500</v>
      </c>
      <c r="K18" s="96"/>
      <c r="L18" s="96"/>
      <c r="M18" s="117"/>
      <c r="N18" s="83">
        <f t="shared" si="0"/>
        <v>500</v>
      </c>
      <c r="O18" s="39">
        <f t="shared" si="1"/>
        <v>3600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6"/>
      <c r="J19" s="153"/>
      <c r="K19" s="96"/>
      <c r="L19" s="96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3"/>
      <c r="J20" s="154"/>
      <c r="K20" s="103"/>
      <c r="L20" s="10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200</v>
      </c>
      <c r="I21" s="96"/>
      <c r="J21" s="153"/>
      <c r="K21" s="96"/>
      <c r="L21" s="96"/>
      <c r="M21" s="11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50</v>
      </c>
      <c r="I22" s="96">
        <v>200</v>
      </c>
      <c r="J22" s="153"/>
      <c r="K22" s="96"/>
      <c r="L22" s="96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1200</v>
      </c>
      <c r="I23" s="103">
        <v>8000</v>
      </c>
      <c r="J23" s="154"/>
      <c r="K23" s="103"/>
      <c r="L23" s="103"/>
      <c r="M23" s="111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6"/>
      <c r="J24" s="153"/>
      <c r="K24" s="96"/>
      <c r="L24" s="96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6"/>
      <c r="J25" s="153"/>
      <c r="K25" s="96"/>
      <c r="L25" s="96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6"/>
      <c r="J26" s="153"/>
      <c r="K26" s="96"/>
      <c r="L26" s="96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6"/>
      <c r="J27" s="153"/>
      <c r="K27" s="96"/>
      <c r="L27" s="96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3"/>
      <c r="J28" s="154"/>
      <c r="K28" s="103"/>
      <c r="L28" s="10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6"/>
      <c r="J29" s="153"/>
      <c r="K29" s="96"/>
      <c r="L29" s="96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6"/>
      <c r="J30" s="153"/>
      <c r="K30" s="96"/>
      <c r="L30" s="96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6"/>
      <c r="J31" s="153"/>
      <c r="K31" s="96"/>
      <c r="L31" s="96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/>
      <c r="I32" s="96">
        <v>1</v>
      </c>
      <c r="J32" s="153">
        <v>1</v>
      </c>
      <c r="K32" s="96">
        <v>1</v>
      </c>
      <c r="L32" s="96">
        <v>1</v>
      </c>
      <c r="M32" s="117"/>
      <c r="N32" s="83">
        <f t="shared" si="0"/>
        <v>4</v>
      </c>
      <c r="O32" s="39">
        <f t="shared" si="1"/>
        <v>12800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3"/>
      <c r="J33" s="154"/>
      <c r="K33" s="103"/>
      <c r="L33" s="10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3"/>
      <c r="J34" s="154"/>
      <c r="K34" s="103"/>
      <c r="L34" s="10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10</v>
      </c>
      <c r="I35" s="103"/>
      <c r="J35" s="155">
        <v>4</v>
      </c>
      <c r="K35" s="103"/>
      <c r="L35" s="103"/>
      <c r="M35" s="111"/>
      <c r="N35" s="83">
        <f t="shared" si="0"/>
        <v>4</v>
      </c>
      <c r="O35" s="39">
        <f t="shared" si="1"/>
        <v>30800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5</v>
      </c>
      <c r="I36" s="103"/>
      <c r="J36" s="155">
        <v>3</v>
      </c>
      <c r="K36" s="103">
        <v>1</v>
      </c>
      <c r="L36" s="103"/>
      <c r="M36" s="111"/>
      <c r="N36" s="83">
        <f t="shared" si="0"/>
        <v>4</v>
      </c>
      <c r="O36" s="39">
        <f t="shared" si="1"/>
        <v>5400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117"/>
      <c r="J37" s="155"/>
      <c r="K37" s="96"/>
      <c r="L37" s="96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113"/>
      <c r="J38" s="156"/>
      <c r="K38" s="96"/>
      <c r="L38" s="96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3</v>
      </c>
      <c r="I39" s="95">
        <v>1</v>
      </c>
      <c r="J39" s="153">
        <v>2</v>
      </c>
      <c r="K39" s="96">
        <v>1</v>
      </c>
      <c r="L39" s="96">
        <v>2</v>
      </c>
      <c r="M39" s="97"/>
      <c r="N39" s="83">
        <f t="shared" si="0"/>
        <v>6</v>
      </c>
      <c r="O39" s="39">
        <f t="shared" si="1"/>
        <v>44160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2"/>
      <c r="J40" s="157">
        <v>2</v>
      </c>
      <c r="K40" s="96"/>
      <c r="L40" s="96"/>
      <c r="M40" s="94"/>
      <c r="N40" s="84">
        <f t="shared" si="0"/>
        <v>2</v>
      </c>
      <c r="O40" s="29">
        <f t="shared" si="1"/>
        <v>14720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0"/>
      <c r="J41" s="152">
        <v>200</v>
      </c>
      <c r="K41" s="90"/>
      <c r="L41" s="90"/>
      <c r="M41" s="114"/>
      <c r="N41" s="82">
        <f t="shared" si="0"/>
        <v>200</v>
      </c>
      <c r="O41" s="20">
        <f t="shared" si="1"/>
        <v>1280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3"/>
      <c r="J42" s="156"/>
      <c r="K42" s="93"/>
      <c r="L42" s="93">
        <v>100</v>
      </c>
      <c r="M42" s="113"/>
      <c r="N42" s="85">
        <f t="shared" si="0"/>
        <v>100</v>
      </c>
      <c r="O42" s="42">
        <f t="shared" si="1"/>
        <v>469.00000000000006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0"/>
      <c r="J43" s="152">
        <v>1</v>
      </c>
      <c r="K43" s="90">
        <v>1</v>
      </c>
      <c r="L43" s="90"/>
      <c r="M43" s="91"/>
      <c r="N43" s="86">
        <f t="shared" si="0"/>
        <v>2</v>
      </c>
      <c r="O43" s="20">
        <f t="shared" si="1"/>
        <v>15400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96"/>
      <c r="J44" s="153">
        <v>1</v>
      </c>
      <c r="K44" s="96">
        <v>1</v>
      </c>
      <c r="L44" s="96">
        <v>1</v>
      </c>
      <c r="M44" s="97"/>
      <c r="N44" s="83">
        <f t="shared" si="0"/>
        <v>3</v>
      </c>
      <c r="O44" s="39">
        <f t="shared" si="1"/>
        <v>18600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6">
        <v>1</v>
      </c>
      <c r="J45" s="153">
        <v>1</v>
      </c>
      <c r="K45" s="96">
        <v>1</v>
      </c>
      <c r="L45" s="96"/>
      <c r="M45" s="97"/>
      <c r="N45" s="83">
        <f t="shared" si="0"/>
        <v>3</v>
      </c>
      <c r="O45" s="39">
        <f t="shared" si="1"/>
        <v>20100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96">
        <v>1</v>
      </c>
      <c r="J46" s="153">
        <v>1</v>
      </c>
      <c r="K46" s="96">
        <v>1</v>
      </c>
      <c r="L46" s="96"/>
      <c r="M46" s="97"/>
      <c r="N46" s="83">
        <f t="shared" si="0"/>
        <v>3</v>
      </c>
      <c r="O46" s="39">
        <f t="shared" si="1"/>
        <v>21750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/>
      <c r="I47" s="96"/>
      <c r="J47" s="97">
        <v>1</v>
      </c>
      <c r="K47" s="96">
        <v>1</v>
      </c>
      <c r="L47" s="96"/>
      <c r="M47" s="97"/>
      <c r="N47" s="83">
        <f t="shared" si="0"/>
        <v>2</v>
      </c>
      <c r="O47" s="39">
        <f t="shared" si="1"/>
        <v>10600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/>
      <c r="I48" s="96">
        <v>1</v>
      </c>
      <c r="J48" s="97">
        <v>1</v>
      </c>
      <c r="K48" s="96"/>
      <c r="L48" s="96"/>
      <c r="M48" s="97"/>
      <c r="N48" s="83">
        <f t="shared" si="0"/>
        <v>2</v>
      </c>
      <c r="O48" s="39">
        <f t="shared" si="1"/>
        <v>13200</v>
      </c>
    </row>
    <row r="49" spans="1:15" ht="16.5" customHeight="1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96"/>
      <c r="J49" s="97">
        <v>1</v>
      </c>
      <c r="K49" s="96">
        <v>1</v>
      </c>
      <c r="L49" s="96"/>
      <c r="M49" s="97"/>
      <c r="N49" s="83">
        <f t="shared" si="0"/>
        <v>2</v>
      </c>
      <c r="O49" s="39">
        <f t="shared" si="1"/>
        <v>29000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6"/>
      <c r="J50" s="97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1</v>
      </c>
      <c r="I51" s="96"/>
      <c r="J51" s="97"/>
      <c r="K51" s="96">
        <v>1</v>
      </c>
      <c r="L51" s="96">
        <v>1</v>
      </c>
      <c r="M51" s="97"/>
      <c r="N51" s="83">
        <f t="shared" si="0"/>
        <v>2</v>
      </c>
      <c r="O51" s="39">
        <f t="shared" si="1"/>
        <v>14000</v>
      </c>
    </row>
    <row r="52" spans="1:15">
      <c r="A52" s="416"/>
      <c r="B52" s="57" t="s">
        <v>149</v>
      </c>
      <c r="C52" s="57" t="s">
        <v>66</v>
      </c>
      <c r="D52" s="57" t="s">
        <v>6</v>
      </c>
      <c r="E52" s="74">
        <v>9000</v>
      </c>
      <c r="F52" s="33">
        <v>6</v>
      </c>
      <c r="G52" s="34">
        <v>54000</v>
      </c>
      <c r="H52" s="107">
        <v>1</v>
      </c>
      <c r="I52" s="96"/>
      <c r="J52" s="97"/>
      <c r="K52" s="96"/>
      <c r="L52" s="96"/>
      <c r="M52" s="97"/>
      <c r="N52" s="83">
        <f t="shared" si="0"/>
        <v>0</v>
      </c>
      <c r="O52" s="39">
        <f t="shared" si="1"/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>
        <v>1</v>
      </c>
      <c r="J53" s="96">
        <v>1</v>
      </c>
      <c r="K53" s="96">
        <v>1</v>
      </c>
      <c r="L53" s="96">
        <v>1</v>
      </c>
      <c r="M53" s="97"/>
      <c r="N53" s="83">
        <f>I53+J53+K53+L53+M53</f>
        <v>4</v>
      </c>
      <c r="O53" s="39">
        <f>E53*N53</f>
        <v>21200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7"/>
      <c r="K54" s="9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7"/>
      <c r="K55" s="9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07">
        <v>2</v>
      </c>
      <c r="I56" s="96"/>
      <c r="J56" s="97">
        <v>1</v>
      </c>
      <c r="K56" s="96"/>
      <c r="L56" s="96"/>
      <c r="M56" s="97"/>
      <c r="N56" s="83">
        <f t="shared" si="0"/>
        <v>1</v>
      </c>
      <c r="O56" s="39">
        <f t="shared" si="1"/>
        <v>4500</v>
      </c>
    </row>
    <row r="57" spans="1:15" ht="17.25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122"/>
      <c r="I57" s="93">
        <v>1</v>
      </c>
      <c r="J57" s="94">
        <v>1</v>
      </c>
      <c r="K57" s="93"/>
      <c r="L57" s="93">
        <v>1</v>
      </c>
      <c r="M57" s="94"/>
      <c r="N57" s="84">
        <f t="shared" si="0"/>
        <v>3</v>
      </c>
      <c r="O57" s="42">
        <f t="shared" si="1"/>
        <v>20100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08">
        <v>1</v>
      </c>
      <c r="I58" s="90"/>
      <c r="J58" s="90">
        <v>1</v>
      </c>
      <c r="K58" s="90">
        <v>1</v>
      </c>
      <c r="L58" s="90"/>
      <c r="M58" s="91"/>
      <c r="N58" s="82">
        <f t="shared" si="0"/>
        <v>2</v>
      </c>
      <c r="O58" s="88">
        <f t="shared" si="1"/>
        <v>13800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07">
        <v>2</v>
      </c>
      <c r="I59" s="96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07">
        <v>1</v>
      </c>
      <c r="I60" s="96"/>
      <c r="J60" s="96">
        <v>1</v>
      </c>
      <c r="K60" s="96">
        <v>1</v>
      </c>
      <c r="L60" s="96"/>
      <c r="M60" s="97"/>
      <c r="N60" s="83">
        <f t="shared" si="0"/>
        <v>2</v>
      </c>
      <c r="O60" s="39">
        <f t="shared" si="1"/>
        <v>13600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07">
        <v>1</v>
      </c>
      <c r="I61" s="96">
        <v>1</v>
      </c>
      <c r="J61" s="96">
        <v>3</v>
      </c>
      <c r="K61" s="96">
        <v>1</v>
      </c>
      <c r="L61" s="96">
        <v>1</v>
      </c>
      <c r="M61" s="97"/>
      <c r="N61" s="83">
        <f t="shared" si="0"/>
        <v>6</v>
      </c>
      <c r="O61" s="39">
        <f t="shared" si="1"/>
        <v>90000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07"/>
      <c r="I62" s="96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07"/>
      <c r="I63" s="96">
        <v>1</v>
      </c>
      <c r="J63" s="96">
        <v>1</v>
      </c>
      <c r="K63" s="96"/>
      <c r="L63" s="96"/>
      <c r="M63" s="97"/>
      <c r="N63" s="83">
        <f t="shared" si="0"/>
        <v>2</v>
      </c>
      <c r="O63" s="39">
        <f t="shared" si="1"/>
        <v>13200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07"/>
      <c r="I64" s="96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>
        <v>1</v>
      </c>
      <c r="I65" s="95"/>
      <c r="J65" s="96">
        <v>1</v>
      </c>
      <c r="K65" s="96"/>
      <c r="L65" s="96"/>
      <c r="M65" s="97"/>
      <c r="N65" s="83">
        <f t="shared" si="0"/>
        <v>1</v>
      </c>
      <c r="O65" s="39">
        <f t="shared" si="1"/>
        <v>7000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07"/>
      <c r="I66" s="96"/>
      <c r="J66" s="96">
        <v>1</v>
      </c>
      <c r="K66" s="96"/>
      <c r="L66" s="96">
        <v>1</v>
      </c>
      <c r="M66" s="97"/>
      <c r="N66" s="83">
        <f t="shared" si="0"/>
        <v>2</v>
      </c>
      <c r="O66" s="39">
        <f t="shared" si="1"/>
        <v>28200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07"/>
      <c r="I67" s="96"/>
      <c r="J67" s="96">
        <v>1</v>
      </c>
      <c r="K67" s="96"/>
      <c r="L67" s="96"/>
      <c r="M67" s="97"/>
      <c r="N67" s="83">
        <f t="shared" si="0"/>
        <v>1</v>
      </c>
      <c r="O67" s="39">
        <f t="shared" si="1"/>
        <v>15100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2">
        <v>1</v>
      </c>
      <c r="I68" s="93"/>
      <c r="J68" s="93">
        <v>1</v>
      </c>
      <c r="K68" s="93"/>
      <c r="L68" s="93"/>
      <c r="M68" s="94"/>
      <c r="N68" s="85">
        <f t="shared" si="0"/>
        <v>1</v>
      </c>
      <c r="O68" s="29">
        <f t="shared" si="1"/>
        <v>15300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08">
        <v>12</v>
      </c>
      <c r="I69" s="90">
        <v>10</v>
      </c>
      <c r="J69" s="90">
        <v>10</v>
      </c>
      <c r="K69" s="90">
        <v>10</v>
      </c>
      <c r="L69" s="90">
        <v>7</v>
      </c>
      <c r="M69" s="91"/>
      <c r="N69" s="82">
        <f t="shared" si="0"/>
        <v>37</v>
      </c>
      <c r="O69" s="20">
        <f t="shared" si="1"/>
        <v>407000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09">
        <v>2</v>
      </c>
      <c r="I70" s="100"/>
      <c r="J70" s="158">
        <v>1</v>
      </c>
      <c r="K70" s="100"/>
      <c r="L70" s="100">
        <v>1</v>
      </c>
      <c r="M70" s="101"/>
      <c r="N70" s="85">
        <f t="shared" si="0"/>
        <v>2</v>
      </c>
      <c r="O70" s="42">
        <f t="shared" si="1"/>
        <v>38000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08">
        <v>0.55000000000000004</v>
      </c>
      <c r="I71" s="90">
        <v>1</v>
      </c>
      <c r="J71" s="152">
        <v>1</v>
      </c>
      <c r="K71" s="90">
        <v>1</v>
      </c>
      <c r="L71" s="90"/>
      <c r="M71" s="91"/>
      <c r="N71" s="86">
        <f t="shared" si="0"/>
        <v>3</v>
      </c>
      <c r="O71" s="88">
        <f t="shared" si="1"/>
        <v>12000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07">
        <v>0.85</v>
      </c>
      <c r="I72" s="96">
        <v>1</v>
      </c>
      <c r="J72" s="153"/>
      <c r="K72" s="96">
        <v>1</v>
      </c>
      <c r="L72" s="96"/>
      <c r="M72" s="97"/>
      <c r="N72" s="83">
        <f t="shared" si="0"/>
        <v>2</v>
      </c>
      <c r="O72" s="39">
        <f t="shared" si="1"/>
        <v>8000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07">
        <v>1.6</v>
      </c>
      <c r="I73" s="96"/>
      <c r="J73" s="153"/>
      <c r="K73" s="96"/>
      <c r="L73" s="96">
        <v>1</v>
      </c>
      <c r="M73" s="97"/>
      <c r="N73" s="83">
        <f t="shared" si="0"/>
        <v>1</v>
      </c>
      <c r="O73" s="39">
        <f t="shared" si="1"/>
        <v>4000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09">
        <v>0.6</v>
      </c>
      <c r="I74" s="100">
        <v>1</v>
      </c>
      <c r="J74" s="158">
        <v>1</v>
      </c>
      <c r="K74" s="100"/>
      <c r="L74" s="100"/>
      <c r="M74" s="101"/>
      <c r="N74" s="85">
        <f t="shared" si="0"/>
        <v>2</v>
      </c>
      <c r="O74" s="42">
        <f t="shared" si="1"/>
        <v>8600</v>
      </c>
    </row>
    <row r="75" spans="1:15" ht="17.25" thickBot="1">
      <c r="A75" s="54"/>
      <c r="B75" s="54"/>
      <c r="C75" s="54"/>
      <c r="D75" s="54"/>
      <c r="E75" s="54">
        <f>SUM(E5:E74)</f>
        <v>334992.21499999997</v>
      </c>
      <c r="F75" s="54">
        <f t="shared" ref="F75:N75" si="5">SUM(F5:F74)</f>
        <v>76679</v>
      </c>
      <c r="G75" s="54">
        <f t="shared" si="5"/>
        <v>3552570</v>
      </c>
      <c r="H75" s="102">
        <f t="shared" si="5"/>
        <v>6154.6000000000013</v>
      </c>
      <c r="I75" s="102">
        <f t="shared" si="5"/>
        <v>10222</v>
      </c>
      <c r="J75" s="102">
        <f t="shared" si="5"/>
        <v>4245</v>
      </c>
      <c r="K75" s="102">
        <f t="shared" si="5"/>
        <v>26</v>
      </c>
      <c r="L75" s="102">
        <f t="shared" si="5"/>
        <v>2622</v>
      </c>
      <c r="M75" s="102">
        <f t="shared" si="5"/>
        <v>0</v>
      </c>
      <c r="N75" s="81">
        <f t="shared" si="5"/>
        <v>17115</v>
      </c>
      <c r="O75" s="87">
        <f>SUM(O5:O74)</f>
        <v>1301979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5"/>
  <sheetViews>
    <sheetView topLeftCell="A43" zoomScale="85" zoomScaleNormal="85" workbookViewId="0">
      <selection activeCell="B53" sqref="B53:G56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177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1"/>
      <c r="J5" s="90"/>
      <c r="K5" s="90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200</v>
      </c>
      <c r="I6" s="97"/>
      <c r="J6" s="96"/>
      <c r="K6" s="96"/>
      <c r="L6" s="37"/>
      <c r="M6" s="38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400</v>
      </c>
      <c r="I7" s="97"/>
      <c r="J7" s="96"/>
      <c r="K7" s="96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150</v>
      </c>
      <c r="I9" s="97"/>
      <c r="J9" s="96"/>
      <c r="K9" s="96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/>
      <c r="I10" s="97"/>
      <c r="J10" s="96"/>
      <c r="K10" s="96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1000</v>
      </c>
      <c r="I11" s="104"/>
      <c r="J11" s="103"/>
      <c r="K11" s="103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1550</v>
      </c>
      <c r="I12" s="97"/>
      <c r="J12" s="96"/>
      <c r="K12" s="96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/>
      <c r="J15" s="96"/>
      <c r="K15" s="96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1000</v>
      </c>
      <c r="I18" s="97"/>
      <c r="J18" s="96"/>
      <c r="K18" s="96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800</v>
      </c>
      <c r="I21" s="97"/>
      <c r="J21" s="96"/>
      <c r="K21" s="96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97"/>
      <c r="J22" s="96"/>
      <c r="K22" s="96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1600</v>
      </c>
      <c r="I23" s="104"/>
      <c r="J23" s="103"/>
      <c r="K23" s="103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4"/>
      <c r="J28" s="103"/>
      <c r="K28" s="103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7"/>
      <c r="J29" s="96"/>
      <c r="K29" s="96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7"/>
      <c r="J30" s="96"/>
      <c r="K30" s="96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4</v>
      </c>
      <c r="I32" s="97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4"/>
      <c r="J33" s="103"/>
      <c r="K33" s="103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/>
      <c r="I35" s="104"/>
      <c r="J35" s="103"/>
      <c r="K35" s="103"/>
      <c r="L35" s="103"/>
      <c r="M35" s="104"/>
      <c r="N35" s="83">
        <f t="shared" si="0"/>
        <v>0</v>
      </c>
      <c r="O35" s="39">
        <f t="shared" si="1"/>
        <v>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/>
      <c r="I36" s="104"/>
      <c r="J36" s="103"/>
      <c r="K36" s="103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7"/>
      <c r="J37" s="96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4"/>
      <c r="J38" s="93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2</v>
      </c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39">
        <f t="shared" si="1"/>
        <v>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/>
      <c r="I43" s="89"/>
      <c r="J43" s="90"/>
      <c r="K43" s="90"/>
      <c r="L43" s="90"/>
      <c r="M43" s="19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/>
      <c r="I44" s="95"/>
      <c r="J44" s="96"/>
      <c r="K44" s="96"/>
      <c r="L44" s="96"/>
      <c r="M44" s="38"/>
      <c r="N44" s="83">
        <f t="shared" si="0"/>
        <v>0</v>
      </c>
      <c r="O44" s="39">
        <f t="shared" si="1"/>
        <v>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5"/>
      <c r="J45" s="96"/>
      <c r="K45" s="96"/>
      <c r="L45" s="96"/>
      <c r="M45" s="38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/>
      <c r="I46" s="95"/>
      <c r="J46" s="96"/>
      <c r="K46" s="96"/>
      <c r="L46" s="96"/>
      <c r="M46" s="38"/>
      <c r="N46" s="83">
        <f t="shared" si="0"/>
        <v>0</v>
      </c>
      <c r="O46" s="39">
        <f t="shared" si="1"/>
        <v>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/>
      <c r="I47" s="95"/>
      <c r="J47" s="96"/>
      <c r="K47" s="96"/>
      <c r="L47" s="96"/>
      <c r="M47" s="38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/>
      <c r="I48" s="95"/>
      <c r="J48" s="96"/>
      <c r="K48" s="96"/>
      <c r="L48" s="96"/>
      <c r="M48" s="38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5"/>
      <c r="J49" s="96"/>
      <c r="K49" s="96"/>
      <c r="L49" s="96"/>
      <c r="M49" s="38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/>
      <c r="I50" s="95"/>
      <c r="J50" s="96"/>
      <c r="K50" s="96"/>
      <c r="L50" s="96"/>
      <c r="M50" s="38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96"/>
      <c r="L54" s="97">
        <v>1</v>
      </c>
      <c r="M54" s="97"/>
      <c r="N54" s="83">
        <f t="shared" ref="N54:N55" si="3">I54+J54+K54+L54+M54</f>
        <v>1</v>
      </c>
      <c r="O54" s="39">
        <f t="shared" ref="O54:O55" si="4">E54*N54</f>
        <v>7900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96"/>
      <c r="L55" s="97">
        <v>1</v>
      </c>
      <c r="M55" s="97"/>
      <c r="N55" s="83">
        <f t="shared" si="3"/>
        <v>1</v>
      </c>
      <c r="O55" s="39">
        <f t="shared" si="4"/>
        <v>8400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07">
        <v>1</v>
      </c>
      <c r="I56" s="95"/>
      <c r="J56" s="96"/>
      <c r="K56" s="96"/>
      <c r="L56" s="96"/>
      <c r="M56" s="38"/>
      <c r="N56" s="83">
        <f t="shared" si="0"/>
        <v>0</v>
      </c>
      <c r="O56" s="39">
        <f t="shared" si="1"/>
        <v>0</v>
      </c>
    </row>
    <row r="57" spans="1:15" ht="17.25" thickBot="1">
      <c r="A57" s="416"/>
      <c r="B57" s="22" t="s">
        <v>69</v>
      </c>
      <c r="C57" s="22" t="s">
        <v>5</v>
      </c>
      <c r="D57" s="22" t="s">
        <v>6</v>
      </c>
      <c r="E57" s="76">
        <v>6700</v>
      </c>
      <c r="F57" s="23">
        <v>12</v>
      </c>
      <c r="G57" s="24">
        <v>80400</v>
      </c>
      <c r="H57" s="122">
        <v>1</v>
      </c>
      <c r="I57" s="95"/>
      <c r="J57" s="93"/>
      <c r="K57" s="93"/>
      <c r="L57" s="93"/>
      <c r="M57" s="28"/>
      <c r="N57" s="84">
        <f t="shared" si="0"/>
        <v>0</v>
      </c>
      <c r="O57" s="42">
        <f t="shared" si="1"/>
        <v>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08"/>
      <c r="I58" s="98"/>
      <c r="J58" s="90"/>
      <c r="K58" s="90"/>
      <c r="L58" s="90"/>
      <c r="M58" s="91"/>
      <c r="N58" s="82">
        <f t="shared" si="0"/>
        <v>0</v>
      </c>
      <c r="O58" s="88">
        <f t="shared" si="1"/>
        <v>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07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07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07"/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07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07">
        <v>1</v>
      </c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07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6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>
        <v>1</v>
      </c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6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07"/>
      <c r="I66" s="95"/>
      <c r="J66" s="96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6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07"/>
      <c r="I67" s="95"/>
      <c r="J67" s="96"/>
      <c r="K67" s="96"/>
      <c r="L67" s="96"/>
      <c r="M67" s="97"/>
      <c r="N67" s="83">
        <f t="shared" si="0"/>
        <v>0</v>
      </c>
      <c r="O67" s="39">
        <f t="shared" si="1"/>
        <v>0</v>
      </c>
    </row>
    <row r="68" spans="1:16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2"/>
      <c r="I68" s="95"/>
      <c r="J68" s="93"/>
      <c r="K68" s="93"/>
      <c r="L68" s="93"/>
      <c r="M68" s="94"/>
      <c r="N68" s="85">
        <f t="shared" si="0"/>
        <v>0</v>
      </c>
      <c r="O68" s="29">
        <f t="shared" si="1"/>
        <v>0</v>
      </c>
    </row>
    <row r="69" spans="1:16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08">
        <v>5</v>
      </c>
      <c r="I69" s="98"/>
      <c r="J69" s="90"/>
      <c r="K69" s="90"/>
      <c r="L69" s="90"/>
      <c r="M69" s="91"/>
      <c r="N69" s="82">
        <f t="shared" si="0"/>
        <v>0</v>
      </c>
      <c r="O69" s="20">
        <f t="shared" si="1"/>
        <v>0</v>
      </c>
    </row>
    <row r="70" spans="1:16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09"/>
      <c r="I70" s="105"/>
      <c r="J70" s="100"/>
      <c r="K70" s="100"/>
      <c r="L70" s="100"/>
      <c r="M70" s="53"/>
      <c r="N70" s="85">
        <f t="shared" si="0"/>
        <v>0</v>
      </c>
      <c r="O70" s="42">
        <f t="shared" si="1"/>
        <v>0</v>
      </c>
    </row>
    <row r="71" spans="1:16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08">
        <v>1.2</v>
      </c>
      <c r="I71" s="89"/>
      <c r="J71" s="90"/>
      <c r="K71" s="90"/>
      <c r="L71" s="90"/>
      <c r="M71" s="19"/>
      <c r="N71" s="86">
        <f t="shared" si="0"/>
        <v>0</v>
      </c>
      <c r="O71" s="88">
        <f t="shared" si="1"/>
        <v>0</v>
      </c>
    </row>
    <row r="72" spans="1:16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07">
        <v>1</v>
      </c>
      <c r="I72" s="95"/>
      <c r="J72" s="96"/>
      <c r="K72" s="96"/>
      <c r="L72" s="96"/>
      <c r="M72" s="38"/>
      <c r="N72" s="83">
        <f t="shared" si="0"/>
        <v>0</v>
      </c>
      <c r="O72" s="39">
        <f t="shared" si="1"/>
        <v>0</v>
      </c>
    </row>
    <row r="73" spans="1:16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07"/>
      <c r="I73" s="95"/>
      <c r="J73" s="96"/>
      <c r="K73" s="96"/>
      <c r="L73" s="96"/>
      <c r="M73" s="38"/>
      <c r="N73" s="83">
        <f t="shared" si="0"/>
        <v>0</v>
      </c>
      <c r="O73" s="39">
        <f t="shared" si="1"/>
        <v>0</v>
      </c>
    </row>
    <row r="74" spans="1:16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09"/>
      <c r="I74" s="99"/>
      <c r="J74" s="100"/>
      <c r="K74" s="100"/>
      <c r="L74" s="100"/>
      <c r="M74" s="53"/>
      <c r="N74" s="85">
        <f t="shared" si="0"/>
        <v>0</v>
      </c>
      <c r="O74" s="42">
        <f t="shared" si="1"/>
        <v>0</v>
      </c>
    </row>
    <row r="75" spans="1:16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N75" si="5">SUM(F5:F74)</f>
        <v>76679</v>
      </c>
      <c r="G75" s="102">
        <f t="shared" si="5"/>
        <v>3552570</v>
      </c>
      <c r="H75" s="102">
        <f t="shared" si="5"/>
        <v>6867.2</v>
      </c>
      <c r="I75" s="102">
        <f t="shared" si="5"/>
        <v>0</v>
      </c>
      <c r="J75" s="102">
        <f t="shared" si="5"/>
        <v>0</v>
      </c>
      <c r="K75" s="102">
        <f t="shared" si="5"/>
        <v>0</v>
      </c>
      <c r="L75" s="102">
        <f t="shared" si="5"/>
        <v>2</v>
      </c>
      <c r="M75" s="102">
        <f t="shared" si="5"/>
        <v>0</v>
      </c>
      <c r="N75" s="144">
        <f t="shared" si="5"/>
        <v>2</v>
      </c>
      <c r="O75" s="144">
        <f>SUM(O5:O74)</f>
        <v>16300</v>
      </c>
      <c r="P75" s="102"/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5"/>
  <sheetViews>
    <sheetView topLeftCell="A49" zoomScale="85" zoomScaleNormal="85" workbookViewId="0">
      <selection activeCell="O75" sqref="O75"/>
    </sheetView>
  </sheetViews>
  <sheetFormatPr defaultRowHeight="16.5"/>
  <cols>
    <col min="1" max="1" width="21.125" customWidth="1"/>
    <col min="2" max="2" width="31.375" bestFit="1" customWidth="1"/>
    <col min="3" max="3" width="15.25" bestFit="1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413" t="s">
        <v>176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1100</v>
      </c>
      <c r="I6" s="97"/>
      <c r="J6" s="96"/>
      <c r="K6" s="96"/>
      <c r="L6" s="96">
        <v>1000</v>
      </c>
      <c r="M6" s="97"/>
      <c r="N6" s="83">
        <f t="shared" ref="N6:N74" si="0">I6+J6+K6+L6+M6</f>
        <v>1000</v>
      </c>
      <c r="O6" s="39">
        <f t="shared" ref="O6:O74" si="1">E6*N6</f>
        <v>43000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1400</v>
      </c>
      <c r="I7" s="97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1800</v>
      </c>
      <c r="I9" s="97"/>
      <c r="J9" s="96"/>
      <c r="K9" s="96"/>
      <c r="L9" s="96">
        <v>1000</v>
      </c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1200</v>
      </c>
      <c r="I10" s="97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850</v>
      </c>
      <c r="I11" s="104"/>
      <c r="J11" s="103"/>
      <c r="K11" s="103">
        <v>1000</v>
      </c>
      <c r="L11" s="103"/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400</v>
      </c>
      <c r="I12" s="97">
        <v>1000</v>
      </c>
      <c r="J12" s="96"/>
      <c r="K12" s="96"/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97"/>
      <c r="J15" s="96">
        <v>1000</v>
      </c>
      <c r="K15" s="96"/>
      <c r="L15" s="96">
        <v>1000</v>
      </c>
      <c r="M15" s="97"/>
      <c r="N15" s="83">
        <f t="shared" si="0"/>
        <v>2000</v>
      </c>
      <c r="O15" s="39">
        <f t="shared" si="1"/>
        <v>36000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2000</v>
      </c>
      <c r="I18" s="97">
        <v>500</v>
      </c>
      <c r="J18" s="96"/>
      <c r="K18" s="96"/>
      <c r="L18" s="96">
        <v>500</v>
      </c>
      <c r="M18" s="97"/>
      <c r="N18" s="83">
        <f t="shared" si="0"/>
        <v>1000</v>
      </c>
      <c r="O18" s="39">
        <f t="shared" si="1"/>
        <v>7200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400</v>
      </c>
      <c r="I21" s="97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250</v>
      </c>
      <c r="I22" s="97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2800</v>
      </c>
      <c r="I23" s="104"/>
      <c r="J23" s="103"/>
      <c r="K23" s="103"/>
      <c r="L23" s="103">
        <v>8000</v>
      </c>
      <c r="M23" s="104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>
        <v>1</v>
      </c>
      <c r="I24" s="97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3</v>
      </c>
      <c r="I28" s="104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20.2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3</v>
      </c>
      <c r="I29" s="97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4</v>
      </c>
      <c r="I30" s="97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2</v>
      </c>
      <c r="I32" s="97"/>
      <c r="J32" s="96">
        <v>1</v>
      </c>
      <c r="K32" s="96"/>
      <c r="L32" s="96"/>
      <c r="M32" s="97"/>
      <c r="N32" s="83">
        <f t="shared" si="0"/>
        <v>1</v>
      </c>
      <c r="O32" s="39">
        <f>E32*N32</f>
        <v>3200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>
        <v>19</v>
      </c>
      <c r="I33" s="104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29</v>
      </c>
      <c r="I35" s="104"/>
      <c r="J35" s="159"/>
      <c r="K35" s="103"/>
      <c r="L35" s="103">
        <v>12</v>
      </c>
      <c r="M35" s="104"/>
      <c r="N35" s="83">
        <f t="shared" si="0"/>
        <v>12</v>
      </c>
      <c r="O35" s="39">
        <f t="shared" si="1"/>
        <v>92400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13</v>
      </c>
      <c r="I36" s="104"/>
      <c r="J36" s="159"/>
      <c r="K36" s="103"/>
      <c r="L36" s="103"/>
      <c r="M36" s="104"/>
      <c r="N36" s="83">
        <f t="shared" si="0"/>
        <v>0</v>
      </c>
      <c r="O36" s="39">
        <f t="shared" si="1"/>
        <v>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7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4"/>
      <c r="J38" s="93"/>
      <c r="K38" s="96"/>
      <c r="L38" s="96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4</v>
      </c>
      <c r="I39" s="97">
        <v>3</v>
      </c>
      <c r="J39" s="159"/>
      <c r="K39" s="96"/>
      <c r="L39" s="96">
        <v>3</v>
      </c>
      <c r="M39" s="97"/>
      <c r="N39" s="83">
        <f t="shared" si="0"/>
        <v>6</v>
      </c>
      <c r="O39" s="39">
        <f t="shared" si="1"/>
        <v>44160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2</v>
      </c>
      <c r="I40" s="92"/>
      <c r="J40" s="93"/>
      <c r="K40" s="96"/>
      <c r="L40" s="96">
        <v>1</v>
      </c>
      <c r="M40" s="94"/>
      <c r="N40" s="84">
        <f t="shared" si="0"/>
        <v>1</v>
      </c>
      <c r="O40" s="2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>
        <v>100</v>
      </c>
      <c r="K41" s="90"/>
      <c r="L41" s="90"/>
      <c r="M41" s="91"/>
      <c r="N41" s="82">
        <f t="shared" si="0"/>
        <v>100</v>
      </c>
      <c r="O41" s="20">
        <f t="shared" si="1"/>
        <v>640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2</v>
      </c>
      <c r="I43" s="91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7">
        <v>2</v>
      </c>
      <c r="J44" s="96">
        <v>2</v>
      </c>
      <c r="K44" s="96"/>
      <c r="L44" s="96">
        <v>2</v>
      </c>
      <c r="M44" s="97"/>
      <c r="N44" s="83">
        <f t="shared" si="0"/>
        <v>6</v>
      </c>
      <c r="O44" s="39">
        <f t="shared" si="1"/>
        <v>37200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7">
        <v>1</v>
      </c>
      <c r="J45" s="96">
        <v>1</v>
      </c>
      <c r="K45" s="96"/>
      <c r="L45" s="96">
        <v>1</v>
      </c>
      <c r="M45" s="97"/>
      <c r="N45" s="83">
        <f t="shared" si="0"/>
        <v>3</v>
      </c>
      <c r="O45" s="39">
        <f t="shared" si="1"/>
        <v>20100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3</v>
      </c>
      <c r="I46" s="97">
        <v>1</v>
      </c>
      <c r="J46" s="96">
        <v>1</v>
      </c>
      <c r="K46" s="96"/>
      <c r="L46" s="96">
        <v>2</v>
      </c>
      <c r="M46" s="97"/>
      <c r="N46" s="83">
        <f t="shared" si="0"/>
        <v>4</v>
      </c>
      <c r="O46" s="39">
        <f t="shared" si="1"/>
        <v>29000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97"/>
      <c r="J47" s="96">
        <v>1</v>
      </c>
      <c r="K47" s="96"/>
      <c r="L47" s="96"/>
      <c r="M47" s="97"/>
      <c r="N47" s="83">
        <f t="shared" si="0"/>
        <v>1</v>
      </c>
      <c r="O47" s="39">
        <f t="shared" si="1"/>
        <v>5300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2</v>
      </c>
      <c r="I48" s="97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7">
        <v>1</v>
      </c>
      <c r="J49" s="96"/>
      <c r="K49" s="96">
        <v>1</v>
      </c>
      <c r="L49" s="96"/>
      <c r="M49" s="97"/>
      <c r="N49" s="83">
        <f t="shared" si="0"/>
        <v>2</v>
      </c>
      <c r="O49" s="39">
        <f t="shared" si="1"/>
        <v>29000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7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2</v>
      </c>
      <c r="I51" s="97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7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3</v>
      </c>
      <c r="I53" s="95">
        <v>2</v>
      </c>
      <c r="J53" s="96"/>
      <c r="K53" s="96"/>
      <c r="L53" s="97"/>
      <c r="M53" s="97"/>
      <c r="N53" s="83">
        <f>I53+J53+K53+L53+M53</f>
        <v>2</v>
      </c>
      <c r="O53" s="39">
        <f>E53*N53</f>
        <v>10600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164"/>
      <c r="J54" s="96"/>
      <c r="K54" s="9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164"/>
      <c r="J55" s="96"/>
      <c r="K55" s="9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07"/>
      <c r="I56" s="97"/>
      <c r="J56" s="96"/>
      <c r="K56" s="96"/>
      <c r="L56" s="96">
        <v>1</v>
      </c>
      <c r="M56" s="97"/>
      <c r="N56" s="83">
        <f t="shared" si="0"/>
        <v>1</v>
      </c>
      <c r="O56" s="39">
        <f t="shared" si="1"/>
        <v>4500</v>
      </c>
    </row>
    <row r="57" spans="1:15" ht="17.25" thickBot="1">
      <c r="A57" s="416"/>
      <c r="B57" s="378" t="s">
        <v>69</v>
      </c>
      <c r="C57" s="378" t="s">
        <v>5</v>
      </c>
      <c r="D57" s="378" t="s">
        <v>6</v>
      </c>
      <c r="E57" s="379">
        <v>6700</v>
      </c>
      <c r="F57" s="23">
        <v>12</v>
      </c>
      <c r="G57" s="24">
        <v>80400</v>
      </c>
      <c r="H57" s="122"/>
      <c r="I57" s="94">
        <v>1</v>
      </c>
      <c r="J57" s="93"/>
      <c r="K57" s="93">
        <v>1</v>
      </c>
      <c r="L57" s="93">
        <v>1</v>
      </c>
      <c r="M57" s="94"/>
      <c r="N57" s="84">
        <f t="shared" si="0"/>
        <v>3</v>
      </c>
      <c r="O57" s="42">
        <f t="shared" si="1"/>
        <v>20100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08">
        <v>2</v>
      </c>
      <c r="I58" s="91">
        <v>1</v>
      </c>
      <c r="J58" s="90"/>
      <c r="K58" s="90">
        <v>1</v>
      </c>
      <c r="L58" s="90">
        <v>1</v>
      </c>
      <c r="M58" s="91"/>
      <c r="N58" s="82">
        <f t="shared" si="0"/>
        <v>3</v>
      </c>
      <c r="O58" s="88">
        <f t="shared" si="1"/>
        <v>20700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07"/>
      <c r="I59" s="97">
        <v>2</v>
      </c>
      <c r="J59" s="96">
        <v>1</v>
      </c>
      <c r="K59" s="96"/>
      <c r="L59" s="96">
        <v>1</v>
      </c>
      <c r="M59" s="97"/>
      <c r="N59" s="83">
        <f t="shared" si="0"/>
        <v>4</v>
      </c>
      <c r="O59" s="39">
        <f t="shared" si="1"/>
        <v>27600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07">
        <v>3</v>
      </c>
      <c r="I60" s="97"/>
      <c r="J60" s="96"/>
      <c r="K60" s="96"/>
      <c r="L60" s="96">
        <v>1</v>
      </c>
      <c r="M60" s="97"/>
      <c r="N60" s="83">
        <f t="shared" si="0"/>
        <v>1</v>
      </c>
      <c r="O60" s="39">
        <f t="shared" si="1"/>
        <v>6800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07">
        <v>2</v>
      </c>
      <c r="I61" s="97">
        <v>3</v>
      </c>
      <c r="J61" s="96"/>
      <c r="K61" s="96"/>
      <c r="L61" s="96">
        <v>1</v>
      </c>
      <c r="M61" s="97"/>
      <c r="N61" s="83">
        <f t="shared" si="0"/>
        <v>4</v>
      </c>
      <c r="O61" s="39">
        <f t="shared" si="1"/>
        <v>60000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07"/>
      <c r="I62" s="97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07">
        <v>2</v>
      </c>
      <c r="I63" s="97"/>
      <c r="J63" s="96">
        <v>2</v>
      </c>
      <c r="K63" s="96"/>
      <c r="L63" s="96"/>
      <c r="M63" s="97"/>
      <c r="N63" s="83">
        <f t="shared" si="0"/>
        <v>2</v>
      </c>
      <c r="O63" s="39">
        <f t="shared" si="1"/>
        <v>13200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07"/>
      <c r="I64" s="97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>
        <v>2</v>
      </c>
      <c r="I65" s="95">
        <v>1</v>
      </c>
      <c r="J65" s="96"/>
      <c r="K65" s="96"/>
      <c r="L65" s="96">
        <v>1</v>
      </c>
      <c r="M65" s="97"/>
      <c r="N65" s="83">
        <f t="shared" si="0"/>
        <v>2</v>
      </c>
      <c r="O65" s="39">
        <f t="shared" si="1"/>
        <v>14000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07">
        <v>1</v>
      </c>
      <c r="I66" s="97"/>
      <c r="J66" s="96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07"/>
      <c r="I67" s="97"/>
      <c r="J67" s="96"/>
      <c r="K67" s="96"/>
      <c r="L67" s="96"/>
      <c r="M67" s="97"/>
      <c r="N67" s="83">
        <f t="shared" si="0"/>
        <v>0</v>
      </c>
      <c r="O67" s="39">
        <f t="shared" si="1"/>
        <v>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2">
        <v>2</v>
      </c>
      <c r="I68" s="94"/>
      <c r="J68" s="93"/>
      <c r="K68" s="93"/>
      <c r="L68" s="93"/>
      <c r="M68" s="94"/>
      <c r="N68" s="85">
        <f t="shared" si="0"/>
        <v>0</v>
      </c>
      <c r="O68" s="29">
        <f t="shared" si="1"/>
        <v>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08">
        <v>29</v>
      </c>
      <c r="I69" s="91"/>
      <c r="J69" s="90">
        <v>10</v>
      </c>
      <c r="K69" s="90">
        <v>12</v>
      </c>
      <c r="L69" s="90">
        <v>10</v>
      </c>
      <c r="M69" s="91"/>
      <c r="N69" s="82">
        <f t="shared" si="0"/>
        <v>32</v>
      </c>
      <c r="O69" s="20">
        <f t="shared" si="1"/>
        <v>352000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09"/>
      <c r="I70" s="101"/>
      <c r="J70" s="100"/>
      <c r="K70" s="100"/>
      <c r="L70" s="100"/>
      <c r="M70" s="101"/>
      <c r="N70" s="85">
        <f t="shared" si="0"/>
        <v>0</v>
      </c>
      <c r="O70" s="42">
        <f t="shared" si="1"/>
        <v>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08">
        <v>1.65</v>
      </c>
      <c r="I71" s="91"/>
      <c r="J71" s="90"/>
      <c r="K71" s="90"/>
      <c r="L71" s="90"/>
      <c r="M71" s="91"/>
      <c r="N71" s="86">
        <f t="shared" si="0"/>
        <v>0</v>
      </c>
      <c r="O71" s="88">
        <f t="shared" si="1"/>
        <v>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07">
        <v>1.9</v>
      </c>
      <c r="I72" s="97"/>
      <c r="J72" s="96"/>
      <c r="K72" s="96"/>
      <c r="L72" s="96"/>
      <c r="M72" s="97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07">
        <v>2.4</v>
      </c>
      <c r="I73" s="97"/>
      <c r="J73" s="96"/>
      <c r="K73" s="96"/>
      <c r="L73" s="96"/>
      <c r="M73" s="97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09">
        <v>3.95</v>
      </c>
      <c r="I74" s="101"/>
      <c r="J74" s="100"/>
      <c r="K74" s="100"/>
      <c r="L74" s="100"/>
      <c r="M74" s="101"/>
      <c r="N74" s="85">
        <f t="shared" si="0"/>
        <v>0</v>
      </c>
      <c r="O74" s="42">
        <f t="shared" si="1"/>
        <v>0</v>
      </c>
    </row>
    <row r="75" spans="1:15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N75" si="5">SUM(F5:F74)</f>
        <v>76679</v>
      </c>
      <c r="G75" s="102">
        <f t="shared" si="5"/>
        <v>3552570</v>
      </c>
      <c r="H75" s="102">
        <f t="shared" si="5"/>
        <v>13348.9</v>
      </c>
      <c r="I75" s="102">
        <f t="shared" si="5"/>
        <v>1518</v>
      </c>
      <c r="J75" s="102">
        <f t="shared" si="5"/>
        <v>1119</v>
      </c>
      <c r="K75" s="102">
        <f t="shared" si="5"/>
        <v>1015</v>
      </c>
      <c r="L75" s="102">
        <f t="shared" si="5"/>
        <v>11542</v>
      </c>
      <c r="M75" s="102">
        <f t="shared" si="5"/>
        <v>0</v>
      </c>
      <c r="N75" s="144">
        <f t="shared" si="5"/>
        <v>15194</v>
      </c>
      <c r="O75" s="144">
        <f>SUM(O5:O74)</f>
        <v>1037160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5"/>
  <sheetViews>
    <sheetView topLeftCell="A34" zoomScale="70" zoomScaleNormal="70" workbookViewId="0">
      <selection activeCell="B54" sqref="B54:G55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174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800</v>
      </c>
      <c r="I6" s="191"/>
      <c r="J6" s="95"/>
      <c r="K6" s="96"/>
      <c r="L6" s="96"/>
      <c r="M6" s="97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1000</v>
      </c>
      <c r="I7" s="191"/>
      <c r="J7" s="95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161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600</v>
      </c>
      <c r="I9" s="191"/>
      <c r="J9" s="95"/>
      <c r="K9" s="96">
        <v>1000</v>
      </c>
      <c r="L9" s="96"/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300</v>
      </c>
      <c r="I10" s="191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1100</v>
      </c>
      <c r="I11" s="193"/>
      <c r="J11" s="103"/>
      <c r="K11" s="103"/>
      <c r="L11" s="103">
        <v>1000</v>
      </c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150</v>
      </c>
      <c r="I12" s="191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191"/>
      <c r="J15" s="95"/>
      <c r="K15" s="96"/>
      <c r="L15" s="96">
        <v>1000</v>
      </c>
      <c r="M15" s="97"/>
      <c r="N15" s="83">
        <f t="shared" si="0"/>
        <v>1000</v>
      </c>
      <c r="O15" s="39">
        <f t="shared" si="1"/>
        <v>18000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191"/>
      <c r="J16" s="95"/>
      <c r="K16" s="96"/>
      <c r="L16" s="96">
        <v>500</v>
      </c>
      <c r="M16" s="97"/>
      <c r="N16" s="83">
        <f t="shared" si="0"/>
        <v>500</v>
      </c>
      <c r="O16" s="39">
        <f t="shared" si="1"/>
        <v>3450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93"/>
      <c r="J17" s="161"/>
      <c r="K17" s="103"/>
      <c r="L17" s="103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191"/>
      <c r="J18" s="95"/>
      <c r="K18" s="96"/>
      <c r="L18" s="96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500</v>
      </c>
      <c r="I19" s="191"/>
      <c r="J19" s="95"/>
      <c r="K19" s="96"/>
      <c r="L19" s="96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600</v>
      </c>
      <c r="I20" s="193"/>
      <c r="J20" s="161"/>
      <c r="K20" s="103"/>
      <c r="L20" s="103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200</v>
      </c>
      <c r="I21" s="191"/>
      <c r="J21" s="95"/>
      <c r="K21" s="96"/>
      <c r="L21" s="96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191"/>
      <c r="J22" s="95"/>
      <c r="K22" s="96"/>
      <c r="L22" s="96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1200</v>
      </c>
      <c r="I23" s="193"/>
      <c r="J23" s="161"/>
      <c r="K23" s="103"/>
      <c r="L23" s="103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191"/>
      <c r="J24" s="95"/>
      <c r="K24" s="96"/>
      <c r="L24" s="96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95"/>
      <c r="K25" s="96"/>
      <c r="L25" s="96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191"/>
      <c r="J26" s="96"/>
      <c r="K26" s="96"/>
      <c r="L26" s="96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191"/>
      <c r="J27" s="96"/>
      <c r="K27" s="96"/>
      <c r="L27" s="96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3</v>
      </c>
      <c r="I28" s="193"/>
      <c r="J28" s="103"/>
      <c r="K28" s="103"/>
      <c r="L28" s="103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2</v>
      </c>
      <c r="I29" s="191"/>
      <c r="J29" s="96"/>
      <c r="K29" s="96"/>
      <c r="L29" s="96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4</v>
      </c>
      <c r="I30" s="191"/>
      <c r="J30" s="96"/>
      <c r="K30" s="96"/>
      <c r="L30" s="96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96"/>
      <c r="K31" s="96"/>
      <c r="L31" s="96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191"/>
      <c r="J32" s="96"/>
      <c r="K32" s="103">
        <v>1</v>
      </c>
      <c r="L32" s="103"/>
      <c r="M32" s="97"/>
      <c r="N32" s="83">
        <f t="shared" si="0"/>
        <v>1</v>
      </c>
      <c r="O32" s="39">
        <f t="shared" si="1"/>
        <v>3200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5</v>
      </c>
      <c r="I33" s="193"/>
      <c r="J33" s="103"/>
      <c r="K33" s="103"/>
      <c r="L33" s="103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61"/>
      <c r="K34" s="103"/>
      <c r="L34" s="103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4</v>
      </c>
      <c r="I35" s="193">
        <v>3</v>
      </c>
      <c r="J35" s="162"/>
      <c r="K35" s="103">
        <v>5</v>
      </c>
      <c r="L35" s="103">
        <v>4</v>
      </c>
      <c r="M35" s="104"/>
      <c r="N35" s="83">
        <f t="shared" si="0"/>
        <v>12</v>
      </c>
      <c r="O35" s="39">
        <f t="shared" si="1"/>
        <v>92400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3</v>
      </c>
      <c r="I36" s="193"/>
      <c r="J36" s="162">
        <v>3</v>
      </c>
      <c r="K36" s="103"/>
      <c r="L36" s="65">
        <v>2</v>
      </c>
      <c r="M36" s="66"/>
      <c r="N36" s="83">
        <f t="shared" si="0"/>
        <v>5</v>
      </c>
      <c r="O36" s="39">
        <f t="shared" si="1"/>
        <v>6750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62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2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191">
        <v>1</v>
      </c>
      <c r="J39" s="95"/>
      <c r="K39" s="96">
        <v>1</v>
      </c>
      <c r="L39" s="96"/>
      <c r="M39" s="97"/>
      <c r="N39" s="83">
        <f t="shared" si="0"/>
        <v>2</v>
      </c>
      <c r="O39" s="39">
        <f t="shared" si="1"/>
        <v>14720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0</v>
      </c>
      <c r="I40" s="191">
        <v>1</v>
      </c>
      <c r="J40" s="163">
        <v>1</v>
      </c>
      <c r="K40" s="93"/>
      <c r="L40" s="93"/>
      <c r="M40" s="94"/>
      <c r="N40" s="84">
        <f t="shared" si="0"/>
        <v>2</v>
      </c>
      <c r="O40" s="39">
        <f t="shared" si="1"/>
        <v>14720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98">
        <v>100</v>
      </c>
      <c r="J41" s="89"/>
      <c r="K41" s="90"/>
      <c r="L41" s="90"/>
      <c r="M41" s="19"/>
      <c r="N41" s="82">
        <f t="shared" si="0"/>
        <v>100</v>
      </c>
      <c r="O41" s="20">
        <f t="shared" si="1"/>
        <v>640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192"/>
      <c r="J42" s="92"/>
      <c r="K42" s="93"/>
      <c r="L42" s="93"/>
      <c r="M42" s="28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8"/>
      <c r="J43" s="89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191"/>
      <c r="J44" s="95">
        <v>1</v>
      </c>
      <c r="K44" s="96">
        <v>1</v>
      </c>
      <c r="L44" s="96"/>
      <c r="M44" s="97"/>
      <c r="N44" s="83">
        <f t="shared" si="0"/>
        <v>2</v>
      </c>
      <c r="O44" s="39">
        <f t="shared" si="1"/>
        <v>12400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/>
      <c r="J45" s="95"/>
      <c r="K45" s="96"/>
      <c r="L45" s="96">
        <v>1</v>
      </c>
      <c r="M45" s="97"/>
      <c r="N45" s="83">
        <f t="shared" si="0"/>
        <v>1</v>
      </c>
      <c r="O45" s="39">
        <f t="shared" si="1"/>
        <v>6700</v>
      </c>
    </row>
    <row r="46" spans="1:15">
      <c r="A46" s="416"/>
      <c r="B46" s="31" t="s">
        <v>61</v>
      </c>
      <c r="C46" s="31" t="s">
        <v>5</v>
      </c>
      <c r="D46" s="31" t="s">
        <v>165</v>
      </c>
      <c r="E46" s="55">
        <v>7250</v>
      </c>
      <c r="F46" s="33">
        <v>12</v>
      </c>
      <c r="G46" s="34">
        <v>87000</v>
      </c>
      <c r="H46" s="107">
        <v>1</v>
      </c>
      <c r="I46" s="191">
        <v>1</v>
      </c>
      <c r="J46" s="95"/>
      <c r="K46" s="96"/>
      <c r="L46" s="96"/>
      <c r="M46" s="97"/>
      <c r="N46" s="83">
        <f t="shared" si="0"/>
        <v>1</v>
      </c>
      <c r="O46" s="39">
        <f t="shared" si="1"/>
        <v>7250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5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191"/>
      <c r="J48" s="95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191"/>
      <c r="J49" s="95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191"/>
      <c r="J50" s="95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191"/>
      <c r="J51" s="95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191"/>
      <c r="J52" s="95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/>
      <c r="J53" s="96">
        <v>1</v>
      </c>
      <c r="K53" s="96">
        <v>1</v>
      </c>
      <c r="L53" s="96">
        <v>1</v>
      </c>
      <c r="M53" s="97"/>
      <c r="N53" s="83">
        <f>I53+J53+K53+L53+M53</f>
        <v>3</v>
      </c>
      <c r="O53" s="39">
        <f>E53*N53</f>
        <v>15900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/>
      <c r="I54" s="95"/>
      <c r="J54" s="96"/>
      <c r="K54" s="9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/>
      <c r="I55" s="95"/>
      <c r="J55" s="96"/>
      <c r="K55" s="9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31" t="s">
        <v>68</v>
      </c>
      <c r="C56" s="31" t="s">
        <v>63</v>
      </c>
      <c r="D56" s="31" t="s">
        <v>6</v>
      </c>
      <c r="E56" s="55">
        <v>4500</v>
      </c>
      <c r="F56" s="33">
        <v>12</v>
      </c>
      <c r="G56" s="34">
        <v>54000</v>
      </c>
      <c r="H56" s="110">
        <v>1</v>
      </c>
      <c r="I56" s="191"/>
      <c r="J56" s="95"/>
      <c r="K56" s="96">
        <v>1</v>
      </c>
      <c r="L56" s="96">
        <v>1</v>
      </c>
      <c r="M56" s="97"/>
      <c r="N56" s="83">
        <f t="shared" si="0"/>
        <v>2</v>
      </c>
      <c r="O56" s="39">
        <f t="shared" si="1"/>
        <v>9000</v>
      </c>
    </row>
    <row r="57" spans="1:15" ht="17.25" thickBot="1">
      <c r="A57" s="416"/>
      <c r="B57" s="22" t="s">
        <v>69</v>
      </c>
      <c r="C57" s="22" t="s">
        <v>5</v>
      </c>
      <c r="D57" s="22" t="s">
        <v>6</v>
      </c>
      <c r="E57" s="76">
        <v>6700</v>
      </c>
      <c r="F57" s="23">
        <v>12</v>
      </c>
      <c r="G57" s="24">
        <v>80400</v>
      </c>
      <c r="H57" s="120">
        <v>1</v>
      </c>
      <c r="I57" s="192"/>
      <c r="J57" s="92"/>
      <c r="K57" s="93">
        <v>1</v>
      </c>
      <c r="L57" s="93"/>
      <c r="M57" s="94"/>
      <c r="N57" s="84">
        <f t="shared" si="0"/>
        <v>1</v>
      </c>
      <c r="O57" s="42">
        <f t="shared" si="1"/>
        <v>6700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12">
        <v>2</v>
      </c>
      <c r="I58" s="98"/>
      <c r="J58" s="89"/>
      <c r="K58" s="91"/>
      <c r="L58" s="90"/>
      <c r="M58" s="91"/>
      <c r="N58" s="82">
        <f t="shared" si="0"/>
        <v>0</v>
      </c>
      <c r="O58" s="88">
        <f t="shared" si="1"/>
        <v>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10">
        <v>1</v>
      </c>
      <c r="I59" s="191"/>
      <c r="J59" s="95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10">
        <v>1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10">
        <v>2</v>
      </c>
      <c r="I61" s="191"/>
      <c r="J61" s="95"/>
      <c r="K61" s="96"/>
      <c r="L61" s="96">
        <v>1</v>
      </c>
      <c r="M61" s="97"/>
      <c r="N61" s="83">
        <f t="shared" si="0"/>
        <v>1</v>
      </c>
      <c r="O61" s="39">
        <f t="shared" si="1"/>
        <v>15000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10"/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10">
        <v>0</v>
      </c>
      <c r="I63" s="191">
        <v>1</v>
      </c>
      <c r="J63" s="95">
        <v>1</v>
      </c>
      <c r="K63" s="96"/>
      <c r="L63" s="96">
        <v>1</v>
      </c>
      <c r="M63" s="97"/>
      <c r="N63" s="83">
        <f t="shared" si="0"/>
        <v>3</v>
      </c>
      <c r="O63" s="39">
        <f t="shared" si="1"/>
        <v>19800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10"/>
      <c r="I64" s="191"/>
      <c r="J64" s="95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>
        <v>1</v>
      </c>
      <c r="I65" s="95"/>
      <c r="J65" s="96">
        <v>1</v>
      </c>
      <c r="K65" s="96"/>
      <c r="L65" s="96"/>
      <c r="M65" s="97"/>
      <c r="N65" s="83">
        <f t="shared" si="0"/>
        <v>1</v>
      </c>
      <c r="O65" s="39">
        <f t="shared" si="1"/>
        <v>7000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10">
        <v>1</v>
      </c>
      <c r="I66" s="191"/>
      <c r="J66" s="95"/>
      <c r="K66" s="96"/>
      <c r="L66" s="96"/>
      <c r="M66" s="97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10">
        <v>0</v>
      </c>
      <c r="I67" s="191">
        <v>1</v>
      </c>
      <c r="J67" s="95"/>
      <c r="K67" s="96"/>
      <c r="L67" s="96"/>
      <c r="M67" s="97"/>
      <c r="N67" s="83">
        <f t="shared" si="0"/>
        <v>1</v>
      </c>
      <c r="O67" s="39">
        <f t="shared" si="1"/>
        <v>15100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0">
        <v>1</v>
      </c>
      <c r="I68" s="192"/>
      <c r="J68" s="92"/>
      <c r="K68" s="93"/>
      <c r="L68" s="93"/>
      <c r="M68" s="94"/>
      <c r="N68" s="85">
        <f t="shared" si="0"/>
        <v>0</v>
      </c>
      <c r="O68" s="29">
        <f t="shared" si="1"/>
        <v>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12">
        <v>5</v>
      </c>
      <c r="I69" s="98">
        <v>4</v>
      </c>
      <c r="J69" s="89">
        <v>4</v>
      </c>
      <c r="K69" s="91">
        <v>5</v>
      </c>
      <c r="L69" s="90">
        <v>6</v>
      </c>
      <c r="M69" s="91"/>
      <c r="N69" s="82">
        <f t="shared" si="0"/>
        <v>19</v>
      </c>
      <c r="O69" s="20">
        <f t="shared" si="1"/>
        <v>209000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19">
        <v>1</v>
      </c>
      <c r="I70" s="105"/>
      <c r="J70" s="99"/>
      <c r="K70" s="101"/>
      <c r="L70" s="100"/>
      <c r="M70" s="101"/>
      <c r="N70" s="85">
        <f t="shared" si="0"/>
        <v>0</v>
      </c>
      <c r="O70" s="42">
        <f t="shared" si="1"/>
        <v>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12">
        <v>1</v>
      </c>
      <c r="I71" s="98"/>
      <c r="J71" s="89"/>
      <c r="K71" s="90"/>
      <c r="L71" s="90">
        <v>1</v>
      </c>
      <c r="M71" s="91"/>
      <c r="N71" s="86">
        <f t="shared" si="0"/>
        <v>1</v>
      </c>
      <c r="O71" s="88">
        <f t="shared" si="1"/>
        <v>4000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10">
        <v>0.5</v>
      </c>
      <c r="I72" s="191"/>
      <c r="J72" s="95"/>
      <c r="K72" s="96"/>
      <c r="L72" s="96"/>
      <c r="M72" s="97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07">
        <v>1</v>
      </c>
      <c r="I73" s="191"/>
      <c r="J73" s="95"/>
      <c r="K73" s="96"/>
      <c r="L73" s="96"/>
      <c r="M73" s="97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09">
        <v>1</v>
      </c>
      <c r="I74" s="105"/>
      <c r="J74" s="99"/>
      <c r="K74" s="99"/>
      <c r="L74" s="100"/>
      <c r="M74" s="101"/>
      <c r="N74" s="85">
        <f t="shared" si="0"/>
        <v>0</v>
      </c>
      <c r="O74" s="42">
        <f t="shared" si="1"/>
        <v>0</v>
      </c>
    </row>
    <row r="75" spans="1:15" ht="17.25" thickBot="1">
      <c r="A75" s="54"/>
      <c r="B75" s="54"/>
      <c r="C75" s="54"/>
      <c r="D75" s="54"/>
      <c r="E75" s="54">
        <f t="shared" ref="E75:N75" si="5">SUM(E5:E74)</f>
        <v>334992.21499999997</v>
      </c>
      <c r="F75" s="102">
        <f t="shared" si="5"/>
        <v>76679</v>
      </c>
      <c r="G75" s="102">
        <f t="shared" si="5"/>
        <v>3552570</v>
      </c>
      <c r="H75" s="102">
        <f t="shared" si="5"/>
        <v>8855.5</v>
      </c>
      <c r="I75" s="102">
        <f t="shared" si="5"/>
        <v>112</v>
      </c>
      <c r="J75" s="102">
        <f t="shared" si="5"/>
        <v>12</v>
      </c>
      <c r="K75" s="102">
        <f t="shared" si="5"/>
        <v>1016</v>
      </c>
      <c r="L75" s="102">
        <f t="shared" si="5"/>
        <v>2522</v>
      </c>
      <c r="M75" s="102">
        <f t="shared" si="5"/>
        <v>0</v>
      </c>
      <c r="N75" s="145">
        <f t="shared" si="5"/>
        <v>3662</v>
      </c>
      <c r="O75" s="144">
        <f>SUM(O5:O74)</f>
        <v>585830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5"/>
  <sheetViews>
    <sheetView topLeftCell="A37" zoomScale="70" zoomScaleNormal="70" workbookViewId="0">
      <selection activeCell="K55" sqref="K55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13" t="s">
        <v>173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550</v>
      </c>
      <c r="I6" s="191">
        <v>1000</v>
      </c>
      <c r="J6" s="95"/>
      <c r="K6" s="96">
        <v>1000</v>
      </c>
      <c r="L6" s="96"/>
      <c r="M6" s="97"/>
      <c r="N6" s="83">
        <f t="shared" ref="N6:N74" si="0">I6+J6+K6+L6+M6</f>
        <v>2000</v>
      </c>
      <c r="O6" s="39">
        <f t="shared" ref="O6:O74" si="1">E6*N6</f>
        <v>86000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250</v>
      </c>
      <c r="I7" s="191">
        <v>1000</v>
      </c>
      <c r="J7" s="95"/>
      <c r="K7" s="96">
        <v>1000</v>
      </c>
      <c r="L7" s="96"/>
      <c r="M7" s="97"/>
      <c r="N7" s="83">
        <f t="shared" si="0"/>
        <v>2000</v>
      </c>
      <c r="O7" s="39">
        <f t="shared" si="1"/>
        <v>40000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95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1600</v>
      </c>
      <c r="I9" s="191"/>
      <c r="J9" s="95">
        <v>1000</v>
      </c>
      <c r="K9" s="96">
        <v>1000</v>
      </c>
      <c r="L9" s="96">
        <v>1000</v>
      </c>
      <c r="M9" s="97"/>
      <c r="N9" s="83">
        <f t="shared" si="0"/>
        <v>3000</v>
      </c>
      <c r="O9" s="39">
        <f t="shared" si="1"/>
        <v>159000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350</v>
      </c>
      <c r="I10" s="191">
        <v>1000</v>
      </c>
      <c r="J10" s="95">
        <v>1000</v>
      </c>
      <c r="K10" s="96"/>
      <c r="L10" s="96"/>
      <c r="M10" s="97"/>
      <c r="N10" s="83">
        <f t="shared" si="0"/>
        <v>2000</v>
      </c>
      <c r="O10" s="39">
        <f t="shared" si="1"/>
        <v>130000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1350</v>
      </c>
      <c r="I11" s="193"/>
      <c r="J11" s="95">
        <v>1000</v>
      </c>
      <c r="K11" s="103">
        <v>1000</v>
      </c>
      <c r="L11" s="103">
        <v>1000</v>
      </c>
      <c r="M11" s="104"/>
      <c r="N11" s="83">
        <f t="shared" si="0"/>
        <v>3000</v>
      </c>
      <c r="O11" s="39">
        <f t="shared" si="1"/>
        <v>55500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750</v>
      </c>
      <c r="I12" s="191"/>
      <c r="J12" s="95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5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7.2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0</v>
      </c>
      <c r="I15" s="191">
        <v>2000</v>
      </c>
      <c r="J15" s="95">
        <v>1000</v>
      </c>
      <c r="K15" s="96">
        <v>2000</v>
      </c>
      <c r="L15" s="96">
        <v>2000</v>
      </c>
      <c r="M15" s="97"/>
      <c r="N15" s="83">
        <f t="shared" si="0"/>
        <v>7000</v>
      </c>
      <c r="O15" s="39">
        <f t="shared" si="1"/>
        <v>126000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1500</v>
      </c>
      <c r="I16" s="191"/>
      <c r="J16" s="95">
        <v>1000</v>
      </c>
      <c r="K16" s="96">
        <v>500</v>
      </c>
      <c r="L16" s="96">
        <v>1000</v>
      </c>
      <c r="M16" s="97"/>
      <c r="N16" s="83">
        <f t="shared" si="0"/>
        <v>2500</v>
      </c>
      <c r="O16" s="39">
        <f t="shared" si="1"/>
        <v>17250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600</v>
      </c>
      <c r="I17" s="193"/>
      <c r="J17" s="95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191"/>
      <c r="J18" s="95">
        <v>500</v>
      </c>
      <c r="K18" s="96"/>
      <c r="L18" s="96"/>
      <c r="M18" s="97"/>
      <c r="N18" s="83">
        <f t="shared" si="0"/>
        <v>500</v>
      </c>
      <c r="O18" s="39">
        <f t="shared" si="1"/>
        <v>3600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191"/>
      <c r="J19" s="95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93"/>
      <c r="J20" s="95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/>
      <c r="I21" s="191"/>
      <c r="J21" s="95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110</v>
      </c>
      <c r="I22" s="191">
        <v>200</v>
      </c>
      <c r="J22" s="95"/>
      <c r="K22" s="96"/>
      <c r="L22" s="96"/>
      <c r="M22" s="9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2000</v>
      </c>
      <c r="I23" s="193"/>
      <c r="J23" s="95"/>
      <c r="K23" s="103"/>
      <c r="L23" s="103">
        <v>8000</v>
      </c>
      <c r="M23" s="104"/>
      <c r="N23" s="83">
        <f t="shared" si="0"/>
        <v>8000</v>
      </c>
      <c r="O23" s="39">
        <f t="shared" si="1"/>
        <v>29000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191"/>
      <c r="J24" s="95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164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191"/>
      <c r="J26" s="164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191"/>
      <c r="J27" s="164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6</v>
      </c>
      <c r="I28" s="193"/>
      <c r="J28" s="165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15</v>
      </c>
      <c r="I29" s="191"/>
      <c r="J29" s="164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17</v>
      </c>
      <c r="I30" s="191"/>
      <c r="J30" s="164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164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191">
        <v>2</v>
      </c>
      <c r="J32" s="164">
        <v>1</v>
      </c>
      <c r="K32" s="96">
        <v>2</v>
      </c>
      <c r="L32" s="96">
        <v>1</v>
      </c>
      <c r="M32" s="97"/>
      <c r="N32" s="83">
        <f t="shared" si="0"/>
        <v>6</v>
      </c>
      <c r="O32" s="39">
        <f t="shared" si="1"/>
        <v>19200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9</v>
      </c>
      <c r="I33" s="193">
        <v>20</v>
      </c>
      <c r="J33" s="165">
        <v>20</v>
      </c>
      <c r="K33" s="96"/>
      <c r="L33" s="96">
        <v>20</v>
      </c>
      <c r="M33" s="104"/>
      <c r="N33" s="83">
        <f t="shared" si="0"/>
        <v>60</v>
      </c>
      <c r="O33" s="39">
        <f t="shared" si="1"/>
        <v>24600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24</v>
      </c>
      <c r="I35" s="193">
        <v>6</v>
      </c>
      <c r="J35" s="159"/>
      <c r="K35" s="103">
        <v>8</v>
      </c>
      <c r="L35" s="103">
        <v>2</v>
      </c>
      <c r="M35" s="104"/>
      <c r="N35" s="83">
        <f t="shared" si="0"/>
        <v>16</v>
      </c>
      <c r="O35" s="39">
        <f t="shared" si="1"/>
        <v>123200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6</v>
      </c>
      <c r="I36" s="193">
        <v>3</v>
      </c>
      <c r="J36" s="159">
        <v>4</v>
      </c>
      <c r="K36" s="103">
        <v>5</v>
      </c>
      <c r="L36" s="103">
        <v>8</v>
      </c>
      <c r="M36" s="104"/>
      <c r="N36" s="83">
        <f t="shared" si="0"/>
        <v>20</v>
      </c>
      <c r="O36" s="39">
        <f t="shared" si="1"/>
        <v>27000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4</v>
      </c>
      <c r="I39" s="191">
        <v>4</v>
      </c>
      <c r="J39" s="96">
        <v>4</v>
      </c>
      <c r="K39" s="96">
        <v>2</v>
      </c>
      <c r="L39" s="96">
        <v>4</v>
      </c>
      <c r="M39" s="97"/>
      <c r="N39" s="83">
        <f t="shared" si="0"/>
        <v>14</v>
      </c>
      <c r="O39" s="39">
        <f t="shared" si="1"/>
        <v>103040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>
        <v>1</v>
      </c>
      <c r="J40" s="160">
        <v>1</v>
      </c>
      <c r="K40" s="93">
        <v>1</v>
      </c>
      <c r="L40" s="93">
        <v>2</v>
      </c>
      <c r="M40" s="94"/>
      <c r="N40" s="83">
        <f t="shared" si="0"/>
        <v>5</v>
      </c>
      <c r="O40" s="29">
        <f t="shared" si="1"/>
        <v>36800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98">
        <v>100</v>
      </c>
      <c r="J41" s="90">
        <v>100</v>
      </c>
      <c r="K41" s="90">
        <v>100</v>
      </c>
      <c r="L41" s="90">
        <v>100</v>
      </c>
      <c r="M41" s="91"/>
      <c r="N41" s="82">
        <f t="shared" si="0"/>
        <v>400</v>
      </c>
      <c r="O41" s="20">
        <f t="shared" si="1"/>
        <v>2560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1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0</v>
      </c>
      <c r="I43" s="98">
        <v>1</v>
      </c>
      <c r="J43" s="90"/>
      <c r="K43" s="90"/>
      <c r="L43" s="90">
        <v>1</v>
      </c>
      <c r="M43" s="91"/>
      <c r="N43" s="86">
        <f t="shared" si="0"/>
        <v>2</v>
      </c>
      <c r="O43" s="20">
        <f t="shared" si="1"/>
        <v>15400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191">
        <v>2</v>
      </c>
      <c r="J44" s="96">
        <v>3</v>
      </c>
      <c r="K44" s="96">
        <v>3</v>
      </c>
      <c r="L44" s="96">
        <v>3</v>
      </c>
      <c r="M44" s="97"/>
      <c r="N44" s="83">
        <f t="shared" si="0"/>
        <v>11</v>
      </c>
      <c r="O44" s="39">
        <f t="shared" si="1"/>
        <v>68200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>
        <v>2</v>
      </c>
      <c r="J45" s="96">
        <v>1</v>
      </c>
      <c r="K45" s="96">
        <v>1</v>
      </c>
      <c r="L45" s="96">
        <v>2</v>
      </c>
      <c r="M45" s="97"/>
      <c r="N45" s="83">
        <f t="shared" si="0"/>
        <v>6</v>
      </c>
      <c r="O45" s="39">
        <f t="shared" si="1"/>
        <v>40200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3</v>
      </c>
      <c r="I46" s="191"/>
      <c r="J46" s="96">
        <v>2</v>
      </c>
      <c r="K46" s="96">
        <v>2</v>
      </c>
      <c r="L46" s="96">
        <v>1</v>
      </c>
      <c r="M46" s="97"/>
      <c r="N46" s="83">
        <f t="shared" si="0"/>
        <v>5</v>
      </c>
      <c r="O46" s="39">
        <f t="shared" si="1"/>
        <v>36250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6"/>
      <c r="K47" s="96">
        <v>1</v>
      </c>
      <c r="L47" s="96">
        <v>1</v>
      </c>
      <c r="M47" s="97"/>
      <c r="N47" s="83">
        <f t="shared" si="0"/>
        <v>2</v>
      </c>
      <c r="O47" s="39">
        <f t="shared" si="1"/>
        <v>10600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2</v>
      </c>
      <c r="I48" s="191"/>
      <c r="J48" s="96"/>
      <c r="K48" s="96">
        <v>1</v>
      </c>
      <c r="L48" s="96"/>
      <c r="M48" s="97"/>
      <c r="N48" s="83">
        <f t="shared" si="0"/>
        <v>1</v>
      </c>
      <c r="O48" s="39">
        <f t="shared" si="1"/>
        <v>6600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2</v>
      </c>
      <c r="I49" s="191">
        <v>1</v>
      </c>
      <c r="J49" s="96"/>
      <c r="K49" s="96">
        <v>1</v>
      </c>
      <c r="L49" s="96">
        <v>1</v>
      </c>
      <c r="M49" s="97"/>
      <c r="N49" s="83">
        <f t="shared" si="0"/>
        <v>3</v>
      </c>
      <c r="O49" s="39">
        <f t="shared" si="1"/>
        <v>43500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0</v>
      </c>
      <c r="I50" s="191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2</v>
      </c>
      <c r="I51" s="191">
        <v>1</v>
      </c>
      <c r="J51" s="96"/>
      <c r="K51" s="96"/>
      <c r="L51" s="96"/>
      <c r="M51" s="97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0</v>
      </c>
      <c r="I52" s="191"/>
      <c r="J52" s="96"/>
      <c r="K52" s="96">
        <v>1</v>
      </c>
      <c r="L52" s="96"/>
      <c r="M52" s="97"/>
      <c r="N52" s="83">
        <f>I52+J52+K52+L52+M52</f>
        <v>1</v>
      </c>
      <c r="O52" s="39">
        <f>E52*N52</f>
        <v>9000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>
        <v>2</v>
      </c>
      <c r="J53" s="96">
        <v>3</v>
      </c>
      <c r="K53" s="96">
        <v>2</v>
      </c>
      <c r="L53" s="96">
        <v>4</v>
      </c>
      <c r="M53" s="97"/>
      <c r="N53" s="83">
        <f>I53+J53+K53+L53+M53</f>
        <v>11</v>
      </c>
      <c r="O53" s="39">
        <f>E53*N53</f>
        <v>58300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5">
        <v>2</v>
      </c>
      <c r="I54" s="95"/>
      <c r="J54" s="96"/>
      <c r="K54" s="9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5">
        <v>2</v>
      </c>
      <c r="I55" s="95"/>
      <c r="J55" s="96"/>
      <c r="K55" s="9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57" t="s">
        <v>68</v>
      </c>
      <c r="C56" s="57" t="s">
        <v>63</v>
      </c>
      <c r="D56" s="57" t="s">
        <v>6</v>
      </c>
      <c r="E56" s="74">
        <v>4500</v>
      </c>
      <c r="F56" s="33">
        <v>12</v>
      </c>
      <c r="G56" s="34">
        <v>54000</v>
      </c>
      <c r="H56" s="110">
        <v>2</v>
      </c>
      <c r="I56" s="191"/>
      <c r="J56" s="96">
        <v>2</v>
      </c>
      <c r="K56" s="96">
        <v>2</v>
      </c>
      <c r="L56" s="96">
        <v>1</v>
      </c>
      <c r="M56" s="97"/>
      <c r="N56" s="83">
        <f t="shared" si="0"/>
        <v>5</v>
      </c>
      <c r="O56" s="39">
        <f t="shared" si="1"/>
        <v>22500</v>
      </c>
    </row>
    <row r="57" spans="1:15" ht="17.25" thickBot="1">
      <c r="A57" s="416"/>
      <c r="B57" s="22" t="s">
        <v>69</v>
      </c>
      <c r="C57" s="22" t="s">
        <v>5</v>
      </c>
      <c r="D57" s="22" t="s">
        <v>6</v>
      </c>
      <c r="E57" s="76">
        <v>6700</v>
      </c>
      <c r="F57" s="23">
        <v>12</v>
      </c>
      <c r="G57" s="24">
        <v>80400</v>
      </c>
      <c r="H57" s="120">
        <v>2</v>
      </c>
      <c r="I57" s="192"/>
      <c r="J57" s="93">
        <v>2</v>
      </c>
      <c r="K57" s="93">
        <v>1</v>
      </c>
      <c r="L57" s="93">
        <v>2</v>
      </c>
      <c r="M57" s="94"/>
      <c r="N57" s="84">
        <f t="shared" si="0"/>
        <v>5</v>
      </c>
      <c r="O57" s="42">
        <f t="shared" si="1"/>
        <v>33500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108">
        <v>3</v>
      </c>
      <c r="I58" s="98"/>
      <c r="J58" s="89"/>
      <c r="K58" s="90">
        <v>2</v>
      </c>
      <c r="L58" s="90">
        <v>1</v>
      </c>
      <c r="M58" s="91"/>
      <c r="N58" s="82">
        <f t="shared" si="0"/>
        <v>3</v>
      </c>
      <c r="O58" s="88">
        <f t="shared" si="1"/>
        <v>20700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107">
        <v>1</v>
      </c>
      <c r="I59" s="191">
        <v>1</v>
      </c>
      <c r="J59" s="95">
        <v>1</v>
      </c>
      <c r="K59" s="96"/>
      <c r="L59" s="96">
        <v>1</v>
      </c>
      <c r="M59" s="97"/>
      <c r="N59" s="83">
        <f t="shared" si="0"/>
        <v>3</v>
      </c>
      <c r="O59" s="39">
        <f t="shared" si="1"/>
        <v>20700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107">
        <v>1</v>
      </c>
      <c r="I60" s="191">
        <v>1</v>
      </c>
      <c r="J60" s="95">
        <v>1</v>
      </c>
      <c r="K60" s="96"/>
      <c r="L60" s="96"/>
      <c r="M60" s="97"/>
      <c r="N60" s="83">
        <f t="shared" si="0"/>
        <v>2</v>
      </c>
      <c r="O60" s="39">
        <f t="shared" si="1"/>
        <v>13600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107">
        <v>3</v>
      </c>
      <c r="I61" s="191">
        <v>1</v>
      </c>
      <c r="J61" s="95">
        <v>1</v>
      </c>
      <c r="K61" s="96">
        <v>2</v>
      </c>
      <c r="L61" s="96">
        <v>3</v>
      </c>
      <c r="M61" s="97"/>
      <c r="N61" s="83">
        <f t="shared" si="0"/>
        <v>7</v>
      </c>
      <c r="O61" s="39">
        <f t="shared" si="1"/>
        <v>105000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107"/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107">
        <v>1</v>
      </c>
      <c r="I63" s="191">
        <v>2</v>
      </c>
      <c r="J63" s="95">
        <v>2</v>
      </c>
      <c r="K63" s="96">
        <v>2</v>
      </c>
      <c r="L63" s="96">
        <v>1</v>
      </c>
      <c r="M63" s="97"/>
      <c r="N63" s="83">
        <f t="shared" si="0"/>
        <v>7</v>
      </c>
      <c r="O63" s="39">
        <f t="shared" si="1"/>
        <v>46200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107"/>
      <c r="I64" s="191"/>
      <c r="J64" s="95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5">
        <v>1</v>
      </c>
      <c r="I65" s="95">
        <v>2</v>
      </c>
      <c r="J65" s="96"/>
      <c r="K65" s="96">
        <v>1</v>
      </c>
      <c r="L65" s="96">
        <v>2</v>
      </c>
      <c r="M65" s="97"/>
      <c r="N65" s="83">
        <f t="shared" si="0"/>
        <v>5</v>
      </c>
      <c r="O65" s="39">
        <f t="shared" si="1"/>
        <v>35000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107">
        <v>1</v>
      </c>
      <c r="I66" s="191"/>
      <c r="J66" s="95">
        <v>1</v>
      </c>
      <c r="K66" s="96"/>
      <c r="L66" s="96"/>
      <c r="M66" s="97"/>
      <c r="N66" s="83">
        <f t="shared" si="0"/>
        <v>1</v>
      </c>
      <c r="O66" s="39">
        <f t="shared" si="1"/>
        <v>14100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107"/>
      <c r="I67" s="191"/>
      <c r="J67" s="95"/>
      <c r="K67" s="96">
        <v>1</v>
      </c>
      <c r="L67" s="96"/>
      <c r="M67" s="97"/>
      <c r="N67" s="83">
        <f t="shared" si="0"/>
        <v>1</v>
      </c>
      <c r="O67" s="39">
        <f t="shared" si="1"/>
        <v>15100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122">
        <v>2</v>
      </c>
      <c r="I68" s="192"/>
      <c r="J68" s="95"/>
      <c r="K68" s="93"/>
      <c r="L68" s="93">
        <v>2</v>
      </c>
      <c r="M68" s="94"/>
      <c r="N68" s="85">
        <f t="shared" si="0"/>
        <v>2</v>
      </c>
      <c r="O68" s="29">
        <f t="shared" si="1"/>
        <v>30600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108">
        <v>10</v>
      </c>
      <c r="I69" s="98">
        <v>24</v>
      </c>
      <c r="J69" s="89">
        <v>22</v>
      </c>
      <c r="K69" s="90">
        <v>16</v>
      </c>
      <c r="L69" s="90">
        <v>24</v>
      </c>
      <c r="M69" s="91"/>
      <c r="N69" s="82">
        <f t="shared" si="0"/>
        <v>86</v>
      </c>
      <c r="O69" s="20">
        <f t="shared" si="1"/>
        <v>946000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109"/>
      <c r="I70" s="105">
        <v>1</v>
      </c>
      <c r="J70" s="99">
        <v>1</v>
      </c>
      <c r="K70" s="100">
        <v>1</v>
      </c>
      <c r="L70" s="100">
        <v>3</v>
      </c>
      <c r="M70" s="101"/>
      <c r="N70" s="85">
        <f t="shared" si="0"/>
        <v>6</v>
      </c>
      <c r="O70" s="42">
        <f t="shared" si="1"/>
        <v>114000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108">
        <v>0.5</v>
      </c>
      <c r="I71" s="98">
        <v>1</v>
      </c>
      <c r="J71" s="90">
        <v>2</v>
      </c>
      <c r="K71" s="90">
        <v>1</v>
      </c>
      <c r="L71" s="90">
        <v>2</v>
      </c>
      <c r="M71" s="91"/>
      <c r="N71" s="86">
        <f t="shared" si="0"/>
        <v>6</v>
      </c>
      <c r="O71" s="88">
        <f t="shared" si="1"/>
        <v>24000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107">
        <v>0.5</v>
      </c>
      <c r="I72" s="191">
        <v>1</v>
      </c>
      <c r="J72" s="96">
        <v>1</v>
      </c>
      <c r="K72" s="96"/>
      <c r="L72" s="96">
        <v>1</v>
      </c>
      <c r="M72" s="97"/>
      <c r="N72" s="83">
        <f t="shared" si="0"/>
        <v>3</v>
      </c>
      <c r="O72" s="39">
        <f t="shared" si="1"/>
        <v>12000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107">
        <v>0.5</v>
      </c>
      <c r="I73" s="191">
        <v>1</v>
      </c>
      <c r="J73" s="96">
        <v>1</v>
      </c>
      <c r="K73" s="96"/>
      <c r="L73" s="96">
        <v>2</v>
      </c>
      <c r="M73" s="97"/>
      <c r="N73" s="83">
        <f t="shared" si="0"/>
        <v>4</v>
      </c>
      <c r="O73" s="39">
        <f t="shared" si="1"/>
        <v>16000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109">
        <v>0.5</v>
      </c>
      <c r="I74" s="105">
        <v>1</v>
      </c>
      <c r="J74" s="100"/>
      <c r="K74" s="100">
        <v>1</v>
      </c>
      <c r="L74" s="100">
        <v>1</v>
      </c>
      <c r="M74" s="101"/>
      <c r="N74" s="85">
        <f t="shared" si="0"/>
        <v>3</v>
      </c>
      <c r="O74" s="42">
        <f t="shared" si="1"/>
        <v>12900</v>
      </c>
    </row>
    <row r="75" spans="1:15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N75" si="5">SUM(F5:F74)</f>
        <v>76679</v>
      </c>
      <c r="G75" s="102">
        <f t="shared" si="5"/>
        <v>3552570</v>
      </c>
      <c r="H75" s="102">
        <f t="shared" si="5"/>
        <v>9690</v>
      </c>
      <c r="I75" s="102">
        <f t="shared" si="5"/>
        <v>5381</v>
      </c>
      <c r="J75" s="102">
        <f t="shared" si="5"/>
        <v>5676</v>
      </c>
      <c r="K75" s="102">
        <f t="shared" si="5"/>
        <v>6660</v>
      </c>
      <c r="L75" s="102">
        <f t="shared" si="5"/>
        <v>13200</v>
      </c>
      <c r="M75" s="102">
        <f t="shared" si="5"/>
        <v>0</v>
      </c>
      <c r="N75" s="144">
        <f t="shared" si="5"/>
        <v>30917</v>
      </c>
      <c r="O75" s="144">
        <f>SUM(O5:O74)</f>
        <v>2814800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5"/>
  <sheetViews>
    <sheetView topLeftCell="A40" zoomScale="70" zoomScaleNormal="70" workbookViewId="0">
      <selection activeCell="D53" sqref="D53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8" customWidth="1"/>
    <col min="9" max="15" width="11.625" customWidth="1"/>
  </cols>
  <sheetData>
    <row r="1" spans="1:15">
      <c r="A1" s="413" t="s">
        <v>175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</row>
    <row r="2" spans="1:15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ht="17.25" thickBot="1">
      <c r="A3" s="1"/>
      <c r="B3" s="1"/>
      <c r="C3" s="1"/>
      <c r="D3" s="1"/>
      <c r="E3" s="1"/>
      <c r="F3" s="1"/>
      <c r="G3" s="1"/>
      <c r="H3" s="11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1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15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328"/>
      <c r="I5" s="199"/>
      <c r="J5" s="178"/>
      <c r="K5" s="205"/>
      <c r="L5" s="179"/>
      <c r="M5" s="114"/>
      <c r="N5" s="82">
        <f>I5+J5+K5+L5+M5</f>
        <v>0</v>
      </c>
      <c r="O5" s="20">
        <f>E5*N5</f>
        <v>0</v>
      </c>
    </row>
    <row r="6" spans="1:15" ht="16.5" customHeight="1">
      <c r="A6" s="416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29">
        <v>1050</v>
      </c>
      <c r="I6" s="200"/>
      <c r="J6" s="180"/>
      <c r="K6" s="206"/>
      <c r="L6" s="182"/>
      <c r="M6" s="117"/>
      <c r="N6" s="83">
        <f t="shared" ref="N6:N74" si="0">I6+J6+K6+L6+M6</f>
        <v>0</v>
      </c>
      <c r="O6" s="39">
        <f t="shared" ref="O6:O74" si="1">E6*N6</f>
        <v>0</v>
      </c>
    </row>
    <row r="7" spans="1:15" ht="16.5" customHeight="1">
      <c r="A7" s="416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29">
        <v>900</v>
      </c>
      <c r="I7" s="200"/>
      <c r="J7" s="180"/>
      <c r="K7" s="206"/>
      <c r="L7" s="182"/>
      <c r="M7" s="117"/>
      <c r="N7" s="83">
        <f t="shared" si="0"/>
        <v>0</v>
      </c>
      <c r="O7" s="39">
        <f t="shared" si="1"/>
        <v>0</v>
      </c>
    </row>
    <row r="8" spans="1:15" ht="16.5" customHeight="1">
      <c r="A8" s="416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330"/>
      <c r="I8" s="200"/>
      <c r="J8" s="180"/>
      <c r="K8" s="207"/>
      <c r="L8" s="18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416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29">
        <v>950</v>
      </c>
      <c r="I9" s="200"/>
      <c r="J9" s="180">
        <v>1000</v>
      </c>
      <c r="K9" s="206"/>
      <c r="L9" s="182"/>
      <c r="M9" s="117"/>
      <c r="N9" s="83">
        <f t="shared" si="0"/>
        <v>1000</v>
      </c>
      <c r="O9" s="39">
        <f t="shared" si="1"/>
        <v>53000</v>
      </c>
    </row>
    <row r="10" spans="1:15" ht="16.5" customHeight="1">
      <c r="A10" s="416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29">
        <v>650</v>
      </c>
      <c r="I10" s="200"/>
      <c r="J10" s="180"/>
      <c r="K10" s="206"/>
      <c r="L10" s="182"/>
      <c r="M10" s="117"/>
      <c r="N10" s="83">
        <f t="shared" si="0"/>
        <v>0</v>
      </c>
      <c r="O10" s="39">
        <f t="shared" si="1"/>
        <v>0</v>
      </c>
    </row>
    <row r="11" spans="1:15" ht="16.5" customHeight="1">
      <c r="A11" s="416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330">
        <v>900</v>
      </c>
      <c r="I11" s="200"/>
      <c r="J11" s="180">
        <v>1000</v>
      </c>
      <c r="K11" s="207"/>
      <c r="L11" s="183"/>
      <c r="M11" s="111"/>
      <c r="N11" s="83">
        <f t="shared" si="0"/>
        <v>1000</v>
      </c>
      <c r="O11" s="39">
        <f t="shared" si="1"/>
        <v>18500</v>
      </c>
    </row>
    <row r="12" spans="1:15" ht="16.5" customHeight="1">
      <c r="A12" s="416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29">
        <v>300</v>
      </c>
      <c r="I12" s="200"/>
      <c r="J12" s="181"/>
      <c r="K12" s="206">
        <v>1000</v>
      </c>
      <c r="L12" s="182"/>
      <c r="M12" s="117"/>
      <c r="N12" s="83">
        <f t="shared" si="0"/>
        <v>1000</v>
      </c>
      <c r="O12" s="39">
        <f t="shared" si="1"/>
        <v>20000</v>
      </c>
    </row>
    <row r="13" spans="1:15" ht="16.5" customHeight="1">
      <c r="A13" s="416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29"/>
      <c r="I13" s="200"/>
      <c r="J13" s="181"/>
      <c r="K13" s="206"/>
      <c r="L13" s="182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416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29"/>
      <c r="I14" s="200"/>
      <c r="J14" s="181"/>
      <c r="K14" s="206"/>
      <c r="L14" s="182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416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29">
        <v>1000</v>
      </c>
      <c r="I15" s="200"/>
      <c r="J15" s="181">
        <v>1000</v>
      </c>
      <c r="K15" s="206"/>
      <c r="L15" s="182"/>
      <c r="M15" s="117"/>
      <c r="N15" s="83">
        <f t="shared" si="0"/>
        <v>1000</v>
      </c>
      <c r="O15" s="39">
        <f t="shared" si="1"/>
        <v>18000</v>
      </c>
    </row>
    <row r="16" spans="1:15" ht="16.5" customHeight="1">
      <c r="A16" s="416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29"/>
      <c r="I16" s="200"/>
      <c r="J16" s="181"/>
      <c r="K16" s="206"/>
      <c r="L16" s="182"/>
      <c r="M16" s="117"/>
      <c r="N16" s="83">
        <f t="shared" si="0"/>
        <v>0</v>
      </c>
      <c r="O16" s="39">
        <f t="shared" si="1"/>
        <v>0</v>
      </c>
    </row>
    <row r="17" spans="1:15" ht="16.5" customHeight="1">
      <c r="A17" s="416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330"/>
      <c r="I17" s="200"/>
      <c r="J17" s="180"/>
      <c r="K17" s="207"/>
      <c r="L17" s="18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416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29">
        <v>500</v>
      </c>
      <c r="I18" s="200">
        <v>500</v>
      </c>
      <c r="J18" s="180">
        <v>1000</v>
      </c>
      <c r="K18" s="206"/>
      <c r="L18" s="182"/>
      <c r="M18" s="117"/>
      <c r="N18" s="83">
        <f t="shared" si="0"/>
        <v>1500</v>
      </c>
      <c r="O18" s="39">
        <f t="shared" si="1"/>
        <v>10800</v>
      </c>
    </row>
    <row r="19" spans="1:15" ht="16.5" customHeight="1">
      <c r="A19" s="416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29"/>
      <c r="I19" s="200"/>
      <c r="J19" s="180"/>
      <c r="K19" s="206"/>
      <c r="L19" s="182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416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330"/>
      <c r="I20" s="200"/>
      <c r="J20" s="180"/>
      <c r="K20" s="207"/>
      <c r="L20" s="18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416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29">
        <v>200</v>
      </c>
      <c r="I21" s="200"/>
      <c r="J21" s="180"/>
      <c r="K21" s="206"/>
      <c r="L21" s="182"/>
      <c r="M21" s="117"/>
      <c r="N21" s="83">
        <f t="shared" si="0"/>
        <v>0</v>
      </c>
      <c r="O21" s="39">
        <f t="shared" si="1"/>
        <v>0</v>
      </c>
    </row>
    <row r="22" spans="1:15" ht="16.5" customHeight="1">
      <c r="A22" s="416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29">
        <v>20</v>
      </c>
      <c r="I22" s="200"/>
      <c r="J22" s="180">
        <v>200</v>
      </c>
      <c r="K22" s="206"/>
      <c r="L22" s="182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416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330">
        <v>6800</v>
      </c>
      <c r="I23" s="200"/>
      <c r="J23" s="180"/>
      <c r="K23" s="207"/>
      <c r="L23" s="183"/>
      <c r="M23" s="111"/>
      <c r="N23" s="83">
        <f t="shared" si="0"/>
        <v>0</v>
      </c>
      <c r="O23" s="39">
        <f t="shared" si="1"/>
        <v>0</v>
      </c>
    </row>
    <row r="24" spans="1:15" ht="16.5" customHeight="1">
      <c r="A24" s="416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29"/>
      <c r="I24" s="200"/>
      <c r="J24" s="180"/>
      <c r="K24" s="206"/>
      <c r="L24" s="182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416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29"/>
      <c r="I25" s="200"/>
      <c r="J25" s="180"/>
      <c r="K25" s="206"/>
      <c r="L25" s="182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416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29"/>
      <c r="I26" s="200"/>
      <c r="J26" s="180"/>
      <c r="K26" s="206"/>
      <c r="L26" s="182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416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29"/>
      <c r="I27" s="200"/>
      <c r="J27" s="180"/>
      <c r="K27" s="206"/>
      <c r="L27" s="182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416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330"/>
      <c r="I28" s="200"/>
      <c r="J28" s="180"/>
      <c r="K28" s="207"/>
      <c r="L28" s="18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416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29"/>
      <c r="I29" s="200"/>
      <c r="J29" s="180"/>
      <c r="K29" s="206"/>
      <c r="L29" s="182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416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29"/>
      <c r="I30" s="200"/>
      <c r="J30" s="180"/>
      <c r="K30" s="206"/>
      <c r="L30" s="182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416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31"/>
      <c r="I31" s="200"/>
      <c r="J31" s="180"/>
      <c r="K31" s="206"/>
      <c r="L31" s="182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416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31">
        <v>1</v>
      </c>
      <c r="I32" s="200"/>
      <c r="J32" s="180">
        <v>1</v>
      </c>
      <c r="K32" s="206"/>
      <c r="L32" s="182"/>
      <c r="M32" s="117"/>
      <c r="N32" s="83">
        <f t="shared" si="0"/>
        <v>1</v>
      </c>
      <c r="O32" s="39">
        <f>E32*N32</f>
        <v>3200</v>
      </c>
    </row>
    <row r="33" spans="1:15" ht="16.5" customHeight="1">
      <c r="A33" s="416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332"/>
      <c r="I33" s="200"/>
      <c r="J33" s="180"/>
      <c r="K33" s="207"/>
      <c r="L33" s="18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416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332"/>
      <c r="I34" s="200"/>
      <c r="J34" s="180"/>
      <c r="K34" s="207"/>
      <c r="L34" s="18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416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332">
        <v>8</v>
      </c>
      <c r="I35" s="200">
        <v>6</v>
      </c>
      <c r="J35" s="184"/>
      <c r="K35" s="207">
        <v>6</v>
      </c>
      <c r="L35" s="183">
        <v>6</v>
      </c>
      <c r="M35" s="111"/>
      <c r="N35" s="83">
        <f t="shared" si="0"/>
        <v>18</v>
      </c>
      <c r="O35" s="39">
        <f t="shared" si="1"/>
        <v>138600</v>
      </c>
    </row>
    <row r="36" spans="1:15" ht="16.5" customHeight="1">
      <c r="A36" s="416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332">
        <v>2</v>
      </c>
      <c r="I36" s="200">
        <v>5</v>
      </c>
      <c r="J36" s="184"/>
      <c r="K36" s="207"/>
      <c r="L36" s="183"/>
      <c r="M36" s="111"/>
      <c r="N36" s="83">
        <f t="shared" si="0"/>
        <v>5</v>
      </c>
      <c r="O36" s="39">
        <f t="shared" si="1"/>
        <v>6750</v>
      </c>
    </row>
    <row r="37" spans="1:15" ht="16.5" customHeight="1">
      <c r="A37" s="416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31"/>
      <c r="I37" s="200"/>
      <c r="J37" s="184"/>
      <c r="K37" s="206"/>
      <c r="L37" s="182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416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333"/>
      <c r="I38" s="201"/>
      <c r="J38" s="184"/>
      <c r="K38" s="206"/>
      <c r="L38" s="182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416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31">
        <v>1</v>
      </c>
      <c r="I39" s="200">
        <v>2</v>
      </c>
      <c r="J39" s="180">
        <v>1</v>
      </c>
      <c r="K39" s="206">
        <v>1</v>
      </c>
      <c r="L39" s="182">
        <v>1</v>
      </c>
      <c r="M39" s="117"/>
      <c r="N39" s="83">
        <f t="shared" si="0"/>
        <v>5</v>
      </c>
      <c r="O39" s="39">
        <f t="shared" si="1"/>
        <v>36800</v>
      </c>
    </row>
    <row r="40" spans="1:15" ht="18" customHeight="1" thickBot="1">
      <c r="A40" s="417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333">
        <v>1</v>
      </c>
      <c r="I40" s="201"/>
      <c r="J40" s="185"/>
      <c r="K40" s="206">
        <v>1</v>
      </c>
      <c r="L40" s="182"/>
      <c r="M40" s="113"/>
      <c r="N40" s="84">
        <f t="shared" si="0"/>
        <v>1</v>
      </c>
      <c r="O40" s="29">
        <f t="shared" si="1"/>
        <v>7360</v>
      </c>
    </row>
    <row r="41" spans="1:15">
      <c r="A41" s="410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328"/>
      <c r="I41" s="199"/>
      <c r="J41" s="89"/>
      <c r="K41" s="205"/>
      <c r="L41" s="179"/>
      <c r="M41" s="174"/>
      <c r="N41" s="82">
        <f t="shared" si="0"/>
        <v>0</v>
      </c>
      <c r="O41" s="20">
        <f t="shared" si="1"/>
        <v>0</v>
      </c>
    </row>
    <row r="42" spans="1:15" ht="17.25" thickBot="1">
      <c r="A42" s="414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334"/>
      <c r="I42" s="201"/>
      <c r="J42" s="92"/>
      <c r="K42" s="208"/>
      <c r="L42" s="197"/>
      <c r="M42" s="175"/>
      <c r="N42" s="85">
        <f t="shared" si="0"/>
        <v>0</v>
      </c>
      <c r="O42" s="42">
        <f t="shared" si="1"/>
        <v>0</v>
      </c>
    </row>
    <row r="43" spans="1:15">
      <c r="A43" s="415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335">
        <v>1</v>
      </c>
      <c r="I43" s="199">
        <v>2</v>
      </c>
      <c r="J43" s="89"/>
      <c r="K43" s="205"/>
      <c r="L43" s="179"/>
      <c r="M43" s="174"/>
      <c r="N43" s="86">
        <f t="shared" si="0"/>
        <v>2</v>
      </c>
      <c r="O43" s="20">
        <f t="shared" si="1"/>
        <v>15400</v>
      </c>
    </row>
    <row r="44" spans="1:15">
      <c r="A44" s="416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36">
        <v>1</v>
      </c>
      <c r="I44" s="200"/>
      <c r="J44" s="95"/>
      <c r="K44" s="206"/>
      <c r="L44" s="182">
        <v>1</v>
      </c>
      <c r="M44" s="176"/>
      <c r="N44" s="83">
        <f t="shared" si="0"/>
        <v>1</v>
      </c>
      <c r="O44" s="39">
        <f t="shared" si="1"/>
        <v>6200</v>
      </c>
    </row>
    <row r="45" spans="1:15">
      <c r="A45" s="416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36">
        <v>1</v>
      </c>
      <c r="I45" s="200"/>
      <c r="J45" s="95"/>
      <c r="K45" s="206"/>
      <c r="L45" s="182"/>
      <c r="M45" s="176"/>
      <c r="N45" s="83">
        <f t="shared" si="0"/>
        <v>0</v>
      </c>
      <c r="O45" s="39">
        <f t="shared" si="1"/>
        <v>0</v>
      </c>
    </row>
    <row r="46" spans="1:15">
      <c r="A46" s="416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36">
        <v>1</v>
      </c>
      <c r="I46" s="200">
        <v>2</v>
      </c>
      <c r="J46" s="95"/>
      <c r="K46" s="206"/>
      <c r="L46" s="182"/>
      <c r="M46" s="176"/>
      <c r="N46" s="83">
        <f t="shared" si="0"/>
        <v>2</v>
      </c>
      <c r="O46" s="39">
        <f t="shared" si="1"/>
        <v>14500</v>
      </c>
    </row>
    <row r="47" spans="1:15">
      <c r="A47" s="416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36"/>
      <c r="I47" s="200">
        <v>2</v>
      </c>
      <c r="J47" s="95"/>
      <c r="K47" s="206"/>
      <c r="L47" s="182"/>
      <c r="M47" s="176"/>
      <c r="N47" s="83">
        <f t="shared" si="0"/>
        <v>2</v>
      </c>
      <c r="O47" s="39">
        <f t="shared" si="1"/>
        <v>10600</v>
      </c>
    </row>
    <row r="48" spans="1:15">
      <c r="A48" s="416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36"/>
      <c r="I48" s="200">
        <v>1</v>
      </c>
      <c r="J48" s="95"/>
      <c r="K48" s="206"/>
      <c r="L48" s="182">
        <v>1</v>
      </c>
      <c r="M48" s="176"/>
      <c r="N48" s="83">
        <f t="shared" si="0"/>
        <v>2</v>
      </c>
      <c r="O48" s="39">
        <f t="shared" si="1"/>
        <v>13200</v>
      </c>
    </row>
    <row r="49" spans="1:15">
      <c r="A49" s="416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36"/>
      <c r="I49" s="200"/>
      <c r="J49" s="95"/>
      <c r="K49" s="206"/>
      <c r="L49" s="182"/>
      <c r="M49" s="176"/>
      <c r="N49" s="83">
        <f t="shared" si="0"/>
        <v>0</v>
      </c>
      <c r="O49" s="39">
        <f t="shared" si="1"/>
        <v>0</v>
      </c>
    </row>
    <row r="50" spans="1:15">
      <c r="A50" s="416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36"/>
      <c r="I50" s="200"/>
      <c r="J50" s="95"/>
      <c r="K50" s="206"/>
      <c r="L50" s="182"/>
      <c r="M50" s="176"/>
      <c r="N50" s="83">
        <f t="shared" si="0"/>
        <v>0</v>
      </c>
      <c r="O50" s="39">
        <f t="shared" si="1"/>
        <v>0</v>
      </c>
    </row>
    <row r="51" spans="1:15">
      <c r="A51" s="416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336"/>
      <c r="I51" s="200">
        <v>1</v>
      </c>
      <c r="J51" s="95"/>
      <c r="K51" s="206"/>
      <c r="L51" s="182"/>
      <c r="M51" s="176"/>
      <c r="N51" s="83">
        <f>I51+J51+K51+L51+M51</f>
        <v>1</v>
      </c>
      <c r="O51" s="39">
        <f>E51*N51</f>
        <v>7000</v>
      </c>
    </row>
    <row r="52" spans="1:15">
      <c r="A52" s="416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336"/>
      <c r="I52" s="200">
        <v>1</v>
      </c>
      <c r="J52" s="95"/>
      <c r="K52" s="206"/>
      <c r="L52" s="182"/>
      <c r="M52" s="176"/>
      <c r="N52" s="83">
        <f>I52+J52+K52+L52+M52</f>
        <v>1</v>
      </c>
      <c r="O52" s="39">
        <f>E52*N52</f>
        <v>9000</v>
      </c>
    </row>
    <row r="53" spans="1:15">
      <c r="A53" s="416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29"/>
      <c r="I53" s="95">
        <v>1</v>
      </c>
      <c r="J53" s="96"/>
      <c r="K53" s="206"/>
      <c r="L53" s="96"/>
      <c r="M53" s="97"/>
      <c r="N53" s="83">
        <f>I53+J53+K53+L53+M53</f>
        <v>1</v>
      </c>
      <c r="O53" s="39">
        <f>E53*N53</f>
        <v>5300</v>
      </c>
    </row>
    <row r="54" spans="1:15">
      <c r="A54" s="416"/>
      <c r="B54" s="264" t="s">
        <v>180</v>
      </c>
      <c r="C54" s="264" t="s">
        <v>63</v>
      </c>
      <c r="D54" s="264" t="s">
        <v>157</v>
      </c>
      <c r="E54" s="343">
        <v>7900</v>
      </c>
      <c r="F54" s="250">
        <v>12</v>
      </c>
      <c r="G54" s="251">
        <f t="shared" ref="G54:G55" si="2">F54*E54</f>
        <v>94800</v>
      </c>
      <c r="H54" s="329"/>
      <c r="I54" s="95"/>
      <c r="J54" s="96"/>
      <c r="K54" s="206"/>
      <c r="L54" s="97">
        <v>2</v>
      </c>
      <c r="M54" s="97"/>
      <c r="N54" s="83">
        <f t="shared" ref="N54:N55" si="3">I54+J54+K54+L54+M54</f>
        <v>2</v>
      </c>
      <c r="O54" s="39">
        <f t="shared" ref="O54:O55" si="4">E54*N54</f>
        <v>15800</v>
      </c>
    </row>
    <row r="55" spans="1:15">
      <c r="A55" s="416"/>
      <c r="B55" s="264" t="s">
        <v>181</v>
      </c>
      <c r="C55" s="264" t="s">
        <v>63</v>
      </c>
      <c r="D55" s="264" t="s">
        <v>157</v>
      </c>
      <c r="E55" s="343">
        <v>8400</v>
      </c>
      <c r="F55" s="250">
        <v>12</v>
      </c>
      <c r="G55" s="251">
        <f t="shared" si="2"/>
        <v>100800</v>
      </c>
      <c r="H55" s="329"/>
      <c r="I55" s="95"/>
      <c r="J55" s="96"/>
      <c r="K55" s="206"/>
      <c r="L55" s="97">
        <v>2</v>
      </c>
      <c r="M55" s="97"/>
      <c r="N55" s="83">
        <f t="shared" si="3"/>
        <v>2</v>
      </c>
      <c r="O55" s="39">
        <f t="shared" si="4"/>
        <v>16800</v>
      </c>
    </row>
    <row r="56" spans="1:15">
      <c r="A56" s="416"/>
      <c r="B56" s="31" t="s">
        <v>68</v>
      </c>
      <c r="C56" s="31" t="s">
        <v>63</v>
      </c>
      <c r="D56" s="31" t="s">
        <v>6</v>
      </c>
      <c r="E56" s="55">
        <v>4500</v>
      </c>
      <c r="F56" s="33">
        <v>12</v>
      </c>
      <c r="G56" s="34">
        <v>54000</v>
      </c>
      <c r="H56" s="336">
        <v>1</v>
      </c>
      <c r="I56" s="200"/>
      <c r="J56" s="95">
        <v>2</v>
      </c>
      <c r="K56" s="206"/>
      <c r="L56" s="182"/>
      <c r="M56" s="176"/>
      <c r="N56" s="83">
        <f t="shared" si="0"/>
        <v>2</v>
      </c>
      <c r="O56" s="39">
        <f t="shared" si="1"/>
        <v>9000</v>
      </c>
    </row>
    <row r="57" spans="1:15" ht="17.25" thickBot="1">
      <c r="A57" s="416"/>
      <c r="B57" s="22" t="s">
        <v>69</v>
      </c>
      <c r="C57" s="22" t="s">
        <v>5</v>
      </c>
      <c r="D57" s="22" t="s">
        <v>6</v>
      </c>
      <c r="E57" s="76">
        <v>6700</v>
      </c>
      <c r="F57" s="23">
        <v>12</v>
      </c>
      <c r="G57" s="24">
        <v>80400</v>
      </c>
      <c r="H57" s="337"/>
      <c r="I57" s="200">
        <v>2</v>
      </c>
      <c r="J57" s="95"/>
      <c r="K57" s="208"/>
      <c r="L57" s="197"/>
      <c r="M57" s="175"/>
      <c r="N57" s="84">
        <f t="shared" si="0"/>
        <v>2</v>
      </c>
      <c r="O57" s="42">
        <f t="shared" si="1"/>
        <v>13400</v>
      </c>
    </row>
    <row r="58" spans="1:15">
      <c r="A58" s="410" t="s">
        <v>70</v>
      </c>
      <c r="B58" s="12" t="s">
        <v>71</v>
      </c>
      <c r="C58" s="12" t="s">
        <v>66</v>
      </c>
      <c r="D58" s="12" t="s">
        <v>6</v>
      </c>
      <c r="E58" s="56">
        <v>6900</v>
      </c>
      <c r="F58" s="14">
        <v>6</v>
      </c>
      <c r="G58" s="15">
        <v>41400</v>
      </c>
      <c r="H58" s="335"/>
      <c r="I58" s="202">
        <v>2</v>
      </c>
      <c r="J58" s="166"/>
      <c r="K58" s="205"/>
      <c r="L58" s="179"/>
      <c r="M58" s="174"/>
      <c r="N58" s="82">
        <f t="shared" si="0"/>
        <v>2</v>
      </c>
      <c r="O58" s="88">
        <f t="shared" si="1"/>
        <v>13800</v>
      </c>
    </row>
    <row r="59" spans="1:15">
      <c r="A59" s="411"/>
      <c r="B59" s="31" t="s">
        <v>72</v>
      </c>
      <c r="C59" s="31" t="s">
        <v>66</v>
      </c>
      <c r="D59" s="31" t="s">
        <v>6</v>
      </c>
      <c r="E59" s="55">
        <v>6900</v>
      </c>
      <c r="F59" s="33">
        <v>6</v>
      </c>
      <c r="G59" s="34">
        <v>41400</v>
      </c>
      <c r="H59" s="336"/>
      <c r="I59" s="200"/>
      <c r="J59" s="167"/>
      <c r="K59" s="206"/>
      <c r="L59" s="182"/>
      <c r="M59" s="176"/>
      <c r="N59" s="83">
        <f t="shared" si="0"/>
        <v>0</v>
      </c>
      <c r="O59" s="39">
        <f t="shared" si="1"/>
        <v>0</v>
      </c>
    </row>
    <row r="60" spans="1:15">
      <c r="A60" s="411"/>
      <c r="B60" s="31" t="s">
        <v>73</v>
      </c>
      <c r="C60" s="31" t="s">
        <v>66</v>
      </c>
      <c r="D60" s="31" t="s">
        <v>6</v>
      </c>
      <c r="E60" s="55">
        <v>6800</v>
      </c>
      <c r="F60" s="33">
        <v>6</v>
      </c>
      <c r="G60" s="34">
        <v>40800</v>
      </c>
      <c r="H60" s="336"/>
      <c r="I60" s="200"/>
      <c r="J60" s="167">
        <v>2</v>
      </c>
      <c r="K60" s="206"/>
      <c r="L60" s="182"/>
      <c r="M60" s="176"/>
      <c r="N60" s="83">
        <f t="shared" si="0"/>
        <v>2</v>
      </c>
      <c r="O60" s="39">
        <f t="shared" si="1"/>
        <v>13600</v>
      </c>
    </row>
    <row r="61" spans="1:15">
      <c r="A61" s="411"/>
      <c r="B61" s="31" t="s">
        <v>74</v>
      </c>
      <c r="C61" s="31" t="s">
        <v>75</v>
      </c>
      <c r="D61" s="31" t="s">
        <v>6</v>
      </c>
      <c r="E61" s="55">
        <v>15000</v>
      </c>
      <c r="F61" s="33">
        <v>4</v>
      </c>
      <c r="G61" s="34">
        <v>60000</v>
      </c>
      <c r="H61" s="336"/>
      <c r="I61" s="200">
        <v>2</v>
      </c>
      <c r="J61" s="167"/>
      <c r="K61" s="206"/>
      <c r="L61" s="182"/>
      <c r="M61" s="176"/>
      <c r="N61" s="83">
        <f t="shared" si="0"/>
        <v>2</v>
      </c>
      <c r="O61" s="39">
        <f t="shared" si="1"/>
        <v>30000</v>
      </c>
    </row>
    <row r="62" spans="1:15">
      <c r="A62" s="411"/>
      <c r="B62" s="31" t="s">
        <v>76</v>
      </c>
      <c r="C62" s="31" t="s">
        <v>77</v>
      </c>
      <c r="D62" s="31" t="s">
        <v>6</v>
      </c>
      <c r="E62" s="55">
        <v>5300</v>
      </c>
      <c r="F62" s="33">
        <v>6</v>
      </c>
      <c r="G62" s="34">
        <v>31800</v>
      </c>
      <c r="H62" s="336"/>
      <c r="I62" s="200"/>
      <c r="J62" s="167"/>
      <c r="K62" s="206"/>
      <c r="L62" s="182"/>
      <c r="M62" s="176"/>
      <c r="N62" s="83">
        <f t="shared" si="0"/>
        <v>0</v>
      </c>
      <c r="O62" s="39">
        <f t="shared" si="1"/>
        <v>0</v>
      </c>
    </row>
    <row r="63" spans="1:15">
      <c r="A63" s="411"/>
      <c r="B63" s="31" t="s">
        <v>78</v>
      </c>
      <c r="C63" s="31" t="s">
        <v>77</v>
      </c>
      <c r="D63" s="31" t="s">
        <v>6</v>
      </c>
      <c r="E63" s="55">
        <v>6600</v>
      </c>
      <c r="F63" s="33">
        <v>6</v>
      </c>
      <c r="G63" s="34">
        <v>39600</v>
      </c>
      <c r="H63" s="336">
        <v>1</v>
      </c>
      <c r="I63" s="200"/>
      <c r="J63" s="167"/>
      <c r="K63" s="206"/>
      <c r="L63" s="182"/>
      <c r="M63" s="176"/>
      <c r="N63" s="83">
        <f t="shared" si="0"/>
        <v>0</v>
      </c>
      <c r="O63" s="39">
        <f t="shared" si="1"/>
        <v>0</v>
      </c>
    </row>
    <row r="64" spans="1:15">
      <c r="A64" s="411"/>
      <c r="B64" s="31" t="s">
        <v>79</v>
      </c>
      <c r="C64" s="31" t="s">
        <v>80</v>
      </c>
      <c r="D64" s="31" t="s">
        <v>6</v>
      </c>
      <c r="E64" s="55">
        <v>5600</v>
      </c>
      <c r="F64" s="33">
        <v>10</v>
      </c>
      <c r="G64" s="34">
        <v>56000</v>
      </c>
      <c r="H64" s="336"/>
      <c r="I64" s="200"/>
      <c r="J64" s="167"/>
      <c r="K64" s="206"/>
      <c r="L64" s="182"/>
      <c r="M64" s="176"/>
      <c r="N64" s="83">
        <f t="shared" si="0"/>
        <v>0</v>
      </c>
      <c r="O64" s="39">
        <f t="shared" si="1"/>
        <v>0</v>
      </c>
    </row>
    <row r="65" spans="1:15">
      <c r="A65" s="411"/>
      <c r="B65" s="31" t="s">
        <v>154</v>
      </c>
      <c r="C65" s="31" t="s">
        <v>153</v>
      </c>
      <c r="D65" s="31" t="s">
        <v>6</v>
      </c>
      <c r="E65" s="55">
        <v>7000</v>
      </c>
      <c r="F65" s="33">
        <v>6</v>
      </c>
      <c r="G65" s="34">
        <f>F65*E65</f>
        <v>42000</v>
      </c>
      <c r="H65" s="329">
        <v>2</v>
      </c>
      <c r="I65" s="95"/>
      <c r="J65" s="96"/>
      <c r="K65" s="206"/>
      <c r="L65" s="96"/>
      <c r="M65" s="97"/>
      <c r="N65" s="83">
        <f t="shared" si="0"/>
        <v>0</v>
      </c>
      <c r="O65" s="39">
        <f t="shared" si="1"/>
        <v>0</v>
      </c>
    </row>
    <row r="66" spans="1:15">
      <c r="A66" s="411"/>
      <c r="B66" s="31" t="s">
        <v>81</v>
      </c>
      <c r="C66" s="31" t="s">
        <v>82</v>
      </c>
      <c r="D66" s="31" t="s">
        <v>6</v>
      </c>
      <c r="E66" s="55">
        <v>14100</v>
      </c>
      <c r="F66" s="33">
        <v>4</v>
      </c>
      <c r="G66" s="34">
        <v>56400</v>
      </c>
      <c r="H66" s="336">
        <v>1</v>
      </c>
      <c r="I66" s="200"/>
      <c r="J66" s="167"/>
      <c r="K66" s="206"/>
      <c r="L66" s="182"/>
      <c r="M66" s="176"/>
      <c r="N66" s="83">
        <f t="shared" si="0"/>
        <v>0</v>
      </c>
      <c r="O66" s="39">
        <f t="shared" si="1"/>
        <v>0</v>
      </c>
    </row>
    <row r="67" spans="1:15">
      <c r="A67" s="411"/>
      <c r="B67" s="31" t="s">
        <v>83</v>
      </c>
      <c r="C67" s="31" t="s">
        <v>82</v>
      </c>
      <c r="D67" s="31" t="s">
        <v>6</v>
      </c>
      <c r="E67" s="55">
        <v>15100</v>
      </c>
      <c r="F67" s="33">
        <v>4</v>
      </c>
      <c r="G67" s="34">
        <v>60400</v>
      </c>
      <c r="H67" s="336"/>
      <c r="I67" s="200"/>
      <c r="J67" s="167">
        <v>1</v>
      </c>
      <c r="K67" s="206"/>
      <c r="L67" s="182"/>
      <c r="M67" s="176"/>
      <c r="N67" s="83">
        <f t="shared" si="0"/>
        <v>1</v>
      </c>
      <c r="O67" s="39">
        <f t="shared" si="1"/>
        <v>15100</v>
      </c>
    </row>
    <row r="68" spans="1:15" ht="17.25" thickBot="1">
      <c r="A68" s="412"/>
      <c r="B68" s="41" t="s">
        <v>84</v>
      </c>
      <c r="C68" s="41" t="s">
        <v>75</v>
      </c>
      <c r="D68" s="41" t="s">
        <v>6</v>
      </c>
      <c r="E68" s="76">
        <v>15300</v>
      </c>
      <c r="F68" s="23">
        <v>4</v>
      </c>
      <c r="G68" s="34">
        <v>61200</v>
      </c>
      <c r="H68" s="337"/>
      <c r="I68" s="200"/>
      <c r="J68" s="168">
        <v>1</v>
      </c>
      <c r="K68" s="208"/>
      <c r="L68" s="197"/>
      <c r="M68" s="175"/>
      <c r="N68" s="85">
        <f t="shared" si="0"/>
        <v>1</v>
      </c>
      <c r="O68" s="29">
        <f t="shared" si="1"/>
        <v>15300</v>
      </c>
    </row>
    <row r="69" spans="1:15">
      <c r="A69" s="415" t="s">
        <v>85</v>
      </c>
      <c r="B69" s="12" t="s">
        <v>86</v>
      </c>
      <c r="C69" s="43" t="s">
        <v>87</v>
      </c>
      <c r="D69" s="12" t="s">
        <v>6</v>
      </c>
      <c r="E69" s="56">
        <v>11000</v>
      </c>
      <c r="F69" s="14">
        <v>10</v>
      </c>
      <c r="G69" s="45">
        <v>110000</v>
      </c>
      <c r="H69" s="335">
        <v>16</v>
      </c>
      <c r="I69" s="202">
        <v>6</v>
      </c>
      <c r="J69" s="166">
        <v>10</v>
      </c>
      <c r="K69" s="205">
        <v>5</v>
      </c>
      <c r="L69" s="179">
        <v>8</v>
      </c>
      <c r="M69" s="174"/>
      <c r="N69" s="82">
        <f t="shared" si="0"/>
        <v>29</v>
      </c>
      <c r="O69" s="20">
        <f t="shared" si="1"/>
        <v>319000</v>
      </c>
    </row>
    <row r="70" spans="1:15" ht="17.25" thickBot="1">
      <c r="A70" s="417"/>
      <c r="B70" s="41" t="s">
        <v>88</v>
      </c>
      <c r="C70" s="41" t="s">
        <v>87</v>
      </c>
      <c r="D70" s="41" t="s">
        <v>6</v>
      </c>
      <c r="E70" s="47">
        <v>19000</v>
      </c>
      <c r="F70" s="48">
        <v>10</v>
      </c>
      <c r="G70" s="67">
        <v>190000</v>
      </c>
      <c r="H70" s="338"/>
      <c r="I70" s="203"/>
      <c r="J70" s="100"/>
      <c r="K70" s="209"/>
      <c r="L70" s="198">
        <v>1</v>
      </c>
      <c r="M70" s="177"/>
      <c r="N70" s="85">
        <f t="shared" si="0"/>
        <v>1</v>
      </c>
      <c r="O70" s="42">
        <f t="shared" si="1"/>
        <v>19000</v>
      </c>
    </row>
    <row r="71" spans="1:15">
      <c r="A71" s="410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5">
        <v>4000</v>
      </c>
      <c r="H71" s="339">
        <v>1.22</v>
      </c>
      <c r="I71" s="199"/>
      <c r="J71" s="89"/>
      <c r="K71" s="205"/>
      <c r="L71" s="179">
        <v>1</v>
      </c>
      <c r="M71" s="174"/>
      <c r="N71" s="86">
        <f t="shared" si="0"/>
        <v>1</v>
      </c>
      <c r="O71" s="88">
        <f t="shared" si="1"/>
        <v>4000</v>
      </c>
    </row>
    <row r="72" spans="1:15">
      <c r="A72" s="411"/>
      <c r="B72" s="31" t="s">
        <v>93</v>
      </c>
      <c r="C72" s="31" t="s">
        <v>91</v>
      </c>
      <c r="D72" s="31" t="s">
        <v>92</v>
      </c>
      <c r="E72" s="32">
        <v>4000</v>
      </c>
      <c r="F72" s="33">
        <v>1</v>
      </c>
      <c r="G72" s="34">
        <v>4000</v>
      </c>
      <c r="H72" s="340">
        <v>1.65</v>
      </c>
      <c r="I72" s="200"/>
      <c r="J72" s="95"/>
      <c r="K72" s="206"/>
      <c r="L72" s="182"/>
      <c r="M72" s="176"/>
      <c r="N72" s="83">
        <f t="shared" si="0"/>
        <v>0</v>
      </c>
      <c r="O72" s="39">
        <f t="shared" si="1"/>
        <v>0</v>
      </c>
    </row>
    <row r="73" spans="1:15">
      <c r="A73" s="411"/>
      <c r="B73" s="31" t="s">
        <v>94</v>
      </c>
      <c r="C73" s="31" t="s">
        <v>91</v>
      </c>
      <c r="D73" s="31" t="s">
        <v>92</v>
      </c>
      <c r="E73" s="32">
        <v>4000</v>
      </c>
      <c r="F73" s="33">
        <v>1</v>
      </c>
      <c r="G73" s="34">
        <v>4000</v>
      </c>
      <c r="H73" s="340">
        <v>1.64</v>
      </c>
      <c r="I73" s="200"/>
      <c r="J73" s="95"/>
      <c r="K73" s="206"/>
      <c r="L73" s="182"/>
      <c r="M73" s="176"/>
      <c r="N73" s="83">
        <f t="shared" si="0"/>
        <v>0</v>
      </c>
      <c r="O73" s="39">
        <f t="shared" si="1"/>
        <v>0</v>
      </c>
    </row>
    <row r="74" spans="1:15" ht="17.25" thickBot="1">
      <c r="A74" s="412"/>
      <c r="B74" s="41" t="s">
        <v>95</v>
      </c>
      <c r="C74" s="41" t="s">
        <v>91</v>
      </c>
      <c r="D74" s="41" t="s">
        <v>92</v>
      </c>
      <c r="E74" s="47">
        <v>4300</v>
      </c>
      <c r="F74" s="48">
        <v>1</v>
      </c>
      <c r="G74" s="49">
        <v>4300</v>
      </c>
      <c r="H74" s="341">
        <v>1.1000000000000001</v>
      </c>
      <c r="I74" s="204"/>
      <c r="J74" s="99"/>
      <c r="K74" s="209"/>
      <c r="L74" s="198">
        <v>1</v>
      </c>
      <c r="M74" s="177"/>
      <c r="N74" s="85">
        <f t="shared" si="0"/>
        <v>1</v>
      </c>
      <c r="O74" s="42">
        <f t="shared" si="1"/>
        <v>4300</v>
      </c>
    </row>
    <row r="75" spans="1:15" ht="17.25" thickBot="1">
      <c r="A75" s="54"/>
      <c r="B75" s="54"/>
      <c r="C75" s="54"/>
      <c r="D75" s="54"/>
      <c r="E75" s="54">
        <f>SUM(E5:E74)</f>
        <v>334992.21499999997</v>
      </c>
      <c r="F75" s="102">
        <f t="shared" ref="F75:N75" si="5">SUM(F5:F74)</f>
        <v>76679</v>
      </c>
      <c r="G75" s="102">
        <f t="shared" si="5"/>
        <v>3552570</v>
      </c>
      <c r="H75" s="102">
        <f t="shared" si="5"/>
        <v>13313.609999999999</v>
      </c>
      <c r="I75" s="102">
        <f t="shared" si="5"/>
        <v>535</v>
      </c>
      <c r="J75" s="102">
        <f t="shared" si="5"/>
        <v>4218</v>
      </c>
      <c r="K75" s="102">
        <f t="shared" si="5"/>
        <v>1013</v>
      </c>
      <c r="L75" s="102">
        <f t="shared" si="5"/>
        <v>24</v>
      </c>
      <c r="M75" s="102">
        <f t="shared" si="5"/>
        <v>0</v>
      </c>
      <c r="N75" s="145">
        <f t="shared" si="5"/>
        <v>5790</v>
      </c>
      <c r="O75" s="144">
        <f>SUM(O5:O74)</f>
        <v>905810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66:O74 N5:O20 N41:O50 O33 O21:O31 N56:O6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2024-11-01T05:00:20Z</cp:lastPrinted>
  <dcterms:created xsi:type="dcterms:W3CDTF">2023-09-22T00:54:38Z</dcterms:created>
  <dcterms:modified xsi:type="dcterms:W3CDTF">2024-12-05T03:57:49Z</dcterms:modified>
</cp:coreProperties>
</file>