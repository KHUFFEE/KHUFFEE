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3월\"/>
    </mc:Choice>
  </mc:AlternateContent>
  <bookViews>
    <workbookView xWindow="0" yWindow="0" windowWidth="28800" windowHeight="12285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  <sheet name="Sheet1" sheetId="2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9" i="1" l="1"/>
  <c r="S38" i="1" l="1"/>
  <c r="S39" i="1"/>
  <c r="R38" i="1"/>
  <c r="R39" i="1"/>
  <c r="Q38" i="1"/>
  <c r="Q39" i="1"/>
  <c r="P38" i="1"/>
  <c r="P39" i="1"/>
  <c r="N39" i="21"/>
  <c r="O39" i="21" s="1"/>
  <c r="G39" i="21"/>
  <c r="N38" i="21"/>
  <c r="O38" i="21" s="1"/>
  <c r="G38" i="21"/>
  <c r="N39" i="20"/>
  <c r="O39" i="20" s="1"/>
  <c r="G39" i="20"/>
  <c r="N38" i="20"/>
  <c r="O38" i="20" s="1"/>
  <c r="G38" i="20"/>
  <c r="N39" i="19"/>
  <c r="O39" i="19" s="1"/>
  <c r="G39" i="19"/>
  <c r="N38" i="19"/>
  <c r="O38" i="19" s="1"/>
  <c r="G38" i="19"/>
  <c r="O39" i="17"/>
  <c r="N39" i="17"/>
  <c r="G39" i="17"/>
  <c r="N38" i="17"/>
  <c r="O38" i="17" s="1"/>
  <c r="G38" i="17"/>
  <c r="N39" i="18"/>
  <c r="O39" i="18" s="1"/>
  <c r="G39" i="18"/>
  <c r="N38" i="18"/>
  <c r="O38" i="18" s="1"/>
  <c r="G38" i="18"/>
  <c r="N39" i="16"/>
  <c r="O39" i="16" s="1"/>
  <c r="G39" i="16"/>
  <c r="N38" i="16"/>
  <c r="O38" i="16" s="1"/>
  <c r="G38" i="16"/>
  <c r="N39" i="14"/>
  <c r="O39" i="14" s="1"/>
  <c r="G39" i="14"/>
  <c r="N38" i="14"/>
  <c r="O38" i="14" s="1"/>
  <c r="G38" i="14"/>
  <c r="N39" i="13"/>
  <c r="O39" i="13" s="1"/>
  <c r="G39" i="13"/>
  <c r="N38" i="13"/>
  <c r="O38" i="13" s="1"/>
  <c r="G38" i="13"/>
  <c r="N39" i="12"/>
  <c r="O39" i="12" s="1"/>
  <c r="G39" i="12"/>
  <c r="N38" i="12"/>
  <c r="O38" i="12" s="1"/>
  <c r="G38" i="12"/>
  <c r="G39" i="22"/>
  <c r="G38" i="22"/>
  <c r="G39" i="2"/>
  <c r="G38" i="2"/>
  <c r="G39" i="1"/>
  <c r="G38" i="1"/>
  <c r="O39" i="22"/>
  <c r="N39" i="22"/>
  <c r="N38" i="22"/>
  <c r="O38" i="22" s="1"/>
  <c r="N39" i="2"/>
  <c r="O39" i="2" s="1"/>
  <c r="N38" i="2"/>
  <c r="O38" i="2" s="1"/>
  <c r="AA39" i="1"/>
  <c r="T39" i="1"/>
  <c r="N39" i="1"/>
  <c r="AA38" i="1"/>
  <c r="T38" i="1"/>
  <c r="N38" i="1"/>
  <c r="U38" i="1" l="1"/>
  <c r="V38" i="1" s="1"/>
  <c r="U39" i="1"/>
  <c r="V39" i="1" s="1"/>
  <c r="O38" i="1"/>
  <c r="O39" i="1"/>
  <c r="J62" i="20"/>
  <c r="W39" i="1" l="1"/>
  <c r="X39" i="1" s="1"/>
  <c r="W38" i="1"/>
  <c r="X38" i="1" s="1"/>
  <c r="H68" i="21"/>
  <c r="I68" i="21"/>
  <c r="J68" i="21"/>
  <c r="J68" i="14" l="1"/>
  <c r="H68" i="14" l="1"/>
  <c r="I68" i="14"/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5" i="1"/>
  <c r="R5" i="1"/>
  <c r="S5" i="1"/>
  <c r="T5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3" i="1"/>
  <c r="P64" i="1"/>
  <c r="P65" i="1"/>
  <c r="P66" i="1"/>
  <c r="P67" i="1"/>
  <c r="P62" i="1"/>
  <c r="M68" i="22"/>
  <c r="L68" i="22"/>
  <c r="K68" i="22"/>
  <c r="J68" i="22"/>
  <c r="I68" i="22"/>
  <c r="H68" i="22"/>
  <c r="G68" i="22"/>
  <c r="F68" i="22"/>
  <c r="E68" i="22"/>
  <c r="N67" i="22"/>
  <c r="O67" i="22" s="1"/>
  <c r="N66" i="22"/>
  <c r="O66" i="22" s="1"/>
  <c r="N65" i="22"/>
  <c r="O65" i="22" s="1"/>
  <c r="N64" i="22"/>
  <c r="O64" i="22" s="1"/>
  <c r="N63" i="22"/>
  <c r="O63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6" i="22"/>
  <c r="O56" i="22" s="1"/>
  <c r="N55" i="22"/>
  <c r="O55" i="22" s="1"/>
  <c r="N54" i="22"/>
  <c r="O54" i="22" s="1"/>
  <c r="N53" i="22"/>
  <c r="O53" i="22" s="1"/>
  <c r="N52" i="22"/>
  <c r="O52" i="22" s="1"/>
  <c r="N51" i="22"/>
  <c r="O51" i="22" s="1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40" i="22"/>
  <c r="O40" i="22" s="1"/>
  <c r="N37" i="22"/>
  <c r="O37" i="22" s="1"/>
  <c r="N36" i="22"/>
  <c r="O36" i="22" s="1"/>
  <c r="N35" i="22"/>
  <c r="O35" i="22" s="1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N68" i="22" l="1"/>
  <c r="O5" i="22"/>
  <c r="O68" i="22" s="1"/>
  <c r="H68" i="12" l="1"/>
  <c r="Z68" i="1" l="1"/>
  <c r="I68" i="1" l="1"/>
  <c r="J68" i="1"/>
  <c r="K68" i="1"/>
  <c r="L68" i="1"/>
  <c r="M68" i="1"/>
  <c r="H68" i="1"/>
  <c r="N32" i="1"/>
  <c r="O32" i="1" s="1"/>
  <c r="F68" i="21"/>
  <c r="G68" i="21"/>
  <c r="L68" i="21"/>
  <c r="M68" i="21"/>
  <c r="E68" i="21"/>
  <c r="N32" i="21"/>
  <c r="O32" i="21" s="1"/>
  <c r="N33" i="21"/>
  <c r="O33" i="21" s="1"/>
  <c r="F68" i="20"/>
  <c r="G68" i="20"/>
  <c r="H68" i="20"/>
  <c r="I68" i="20"/>
  <c r="J68" i="20"/>
  <c r="K68" i="20"/>
  <c r="L68" i="20"/>
  <c r="M68" i="20"/>
  <c r="E68" i="20"/>
  <c r="N32" i="20"/>
  <c r="O32" i="20" s="1"/>
  <c r="N32" i="19"/>
  <c r="O32" i="19" s="1"/>
  <c r="F68" i="19"/>
  <c r="G68" i="19"/>
  <c r="H68" i="19"/>
  <c r="I68" i="19"/>
  <c r="J68" i="19"/>
  <c r="K68" i="19"/>
  <c r="L68" i="19"/>
  <c r="M68" i="19"/>
  <c r="F68" i="18"/>
  <c r="G68" i="18"/>
  <c r="H68" i="18"/>
  <c r="I68" i="18"/>
  <c r="J68" i="18"/>
  <c r="K68" i="18"/>
  <c r="L68" i="18"/>
  <c r="M68" i="18"/>
  <c r="E68" i="18"/>
  <c r="N32" i="18"/>
  <c r="O32" i="18" s="1"/>
  <c r="F68" i="17"/>
  <c r="G68" i="17"/>
  <c r="H68" i="17"/>
  <c r="I68" i="17"/>
  <c r="J68" i="17"/>
  <c r="K68" i="17"/>
  <c r="L68" i="17"/>
  <c r="M68" i="17"/>
  <c r="E68" i="17"/>
  <c r="N32" i="17"/>
  <c r="O32" i="17" s="1"/>
  <c r="F68" i="14"/>
  <c r="G68" i="14"/>
  <c r="L68" i="14"/>
  <c r="M68" i="14"/>
  <c r="E68" i="16"/>
  <c r="E68" i="14"/>
  <c r="N32" i="14"/>
  <c r="O32" i="14" s="1"/>
  <c r="N32" i="16"/>
  <c r="O32" i="16" s="1"/>
  <c r="H68" i="13"/>
  <c r="F68" i="13"/>
  <c r="G68" i="13"/>
  <c r="I68" i="13"/>
  <c r="J68" i="13"/>
  <c r="K68" i="13"/>
  <c r="L68" i="13"/>
  <c r="M68" i="13"/>
  <c r="E68" i="13"/>
  <c r="N32" i="13"/>
  <c r="O32" i="13" s="1"/>
  <c r="N32" i="12"/>
  <c r="O32" i="12" s="1"/>
  <c r="N33" i="12"/>
  <c r="N34" i="12"/>
  <c r="F68" i="12"/>
  <c r="G68" i="12"/>
  <c r="I68" i="12"/>
  <c r="J68" i="12"/>
  <c r="K68" i="12"/>
  <c r="L68" i="12"/>
  <c r="M68" i="12"/>
  <c r="E68" i="12"/>
  <c r="N32" i="2"/>
  <c r="O32" i="2" s="1"/>
  <c r="AA32" i="1"/>
  <c r="U32" i="1" l="1"/>
  <c r="V32" i="1" s="1"/>
  <c r="W32" i="1" l="1"/>
  <c r="X32" i="1" s="1"/>
  <c r="AA52" i="1"/>
  <c r="AA53" i="1"/>
  <c r="AA54" i="1"/>
  <c r="AA55" i="1"/>
  <c r="AA56" i="1"/>
  <c r="AA57" i="1"/>
  <c r="AA58" i="1"/>
  <c r="AA59" i="1"/>
  <c r="AA60" i="1"/>
  <c r="AA61" i="1"/>
  <c r="AA62" i="1"/>
  <c r="AB62" i="1" s="1"/>
  <c r="AC62" i="1" s="1"/>
  <c r="AA63" i="1"/>
  <c r="AB63" i="1" s="1"/>
  <c r="AC63" i="1" s="1"/>
  <c r="AA64" i="1"/>
  <c r="AA65" i="1"/>
  <c r="AA66" i="1"/>
  <c r="AA67" i="1"/>
  <c r="AA43" i="1"/>
  <c r="AA44" i="1"/>
  <c r="AA45" i="1"/>
  <c r="AA46" i="1"/>
  <c r="AA47" i="1"/>
  <c r="AA48" i="1"/>
  <c r="AA49" i="1"/>
  <c r="AA50" i="1"/>
  <c r="AA51" i="1"/>
  <c r="AA42" i="1"/>
  <c r="AA41" i="1"/>
  <c r="AA40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3" i="1"/>
  <c r="AA34" i="1"/>
  <c r="AA35" i="1"/>
  <c r="AA36" i="1"/>
  <c r="AA37" i="1"/>
  <c r="AA5" i="1"/>
  <c r="AB5" i="1" l="1"/>
  <c r="AC5" i="1" s="1"/>
  <c r="AB42" i="1"/>
  <c r="AC42" i="1" s="1"/>
  <c r="AB40" i="1"/>
  <c r="AC40" i="1" s="1"/>
  <c r="AB64" i="1"/>
  <c r="AC64" i="1" s="1"/>
  <c r="AB52" i="1"/>
  <c r="AC52" i="1" s="1"/>
  <c r="H68" i="16" l="1"/>
  <c r="I68" i="16"/>
  <c r="J68" i="16"/>
  <c r="K68" i="16"/>
  <c r="T68" i="1" l="1"/>
  <c r="R68" i="1"/>
  <c r="S68" i="1"/>
  <c r="P68" i="1"/>
  <c r="Q68" i="1"/>
  <c r="U6" i="1"/>
  <c r="V6" i="1" s="1"/>
  <c r="U13" i="1"/>
  <c r="V13" i="1" s="1"/>
  <c r="U56" i="1"/>
  <c r="V56" i="1" s="1"/>
  <c r="U48" i="1"/>
  <c r="V48" i="1" s="1"/>
  <c r="U64" i="1"/>
  <c r="V64" i="1" s="1"/>
  <c r="U40" i="1"/>
  <c r="V40" i="1" s="1"/>
  <c r="U21" i="1"/>
  <c r="V21" i="1" s="1"/>
  <c r="U29" i="1"/>
  <c r="V29" i="1" s="1"/>
  <c r="U62" i="1"/>
  <c r="V62" i="1" s="1"/>
  <c r="U46" i="1"/>
  <c r="V46" i="1" s="1"/>
  <c r="U36" i="1"/>
  <c r="V36" i="1" s="1"/>
  <c r="U27" i="1"/>
  <c r="V27" i="1" s="1"/>
  <c r="U19" i="1"/>
  <c r="V19" i="1" s="1"/>
  <c r="U11" i="1"/>
  <c r="V11" i="1" s="1"/>
  <c r="U54" i="1"/>
  <c r="V54" i="1" s="1"/>
  <c r="U8" i="1"/>
  <c r="V8" i="1" s="1"/>
  <c r="U55" i="1"/>
  <c r="V55" i="1" s="1"/>
  <c r="U47" i="1"/>
  <c r="V47" i="1" s="1"/>
  <c r="U37" i="1"/>
  <c r="V37" i="1" s="1"/>
  <c r="U28" i="1"/>
  <c r="V28" i="1" s="1"/>
  <c r="U20" i="1"/>
  <c r="V20" i="1" s="1"/>
  <c r="U12" i="1"/>
  <c r="V12" i="1" s="1"/>
  <c r="U26" i="1"/>
  <c r="V26" i="1" s="1"/>
  <c r="U5" i="1"/>
  <c r="U60" i="1"/>
  <c r="V60" i="1" s="1"/>
  <c r="U52" i="1"/>
  <c r="V52" i="1" s="1"/>
  <c r="U44" i="1"/>
  <c r="V44" i="1" s="1"/>
  <c r="U34" i="1"/>
  <c r="V34" i="1" s="1"/>
  <c r="U25" i="1"/>
  <c r="V25" i="1" s="1"/>
  <c r="U17" i="1"/>
  <c r="V17" i="1" s="1"/>
  <c r="U9" i="1"/>
  <c r="V9" i="1" s="1"/>
  <c r="U61" i="1"/>
  <c r="V61" i="1" s="1"/>
  <c r="U35" i="1"/>
  <c r="V35" i="1" s="1"/>
  <c r="U51" i="1"/>
  <c r="V51" i="1" s="1"/>
  <c r="U16" i="1"/>
  <c r="V16" i="1" s="1"/>
  <c r="U45" i="1"/>
  <c r="V45" i="1" s="1"/>
  <c r="U10" i="1"/>
  <c r="V10" i="1" s="1"/>
  <c r="U59" i="1"/>
  <c r="V59" i="1" s="1"/>
  <c r="U33" i="1"/>
  <c r="V33" i="1" s="1"/>
  <c r="U50" i="1"/>
  <c r="V50" i="1" s="1"/>
  <c r="U31" i="1"/>
  <c r="V31" i="1" s="1"/>
  <c r="U7" i="1"/>
  <c r="V7" i="1" s="1"/>
  <c r="U53" i="1"/>
  <c r="V53" i="1" s="1"/>
  <c r="U18" i="1"/>
  <c r="V18" i="1" s="1"/>
  <c r="U67" i="1"/>
  <c r="V67" i="1" s="1"/>
  <c r="U43" i="1"/>
  <c r="V43" i="1" s="1"/>
  <c r="U24" i="1"/>
  <c r="V24" i="1" s="1"/>
  <c r="U66" i="1"/>
  <c r="V66" i="1" s="1"/>
  <c r="U58" i="1"/>
  <c r="V58" i="1" s="1"/>
  <c r="U42" i="1"/>
  <c r="U23" i="1"/>
  <c r="V23" i="1" s="1"/>
  <c r="U15" i="1"/>
  <c r="V15" i="1" s="1"/>
  <c r="U65" i="1"/>
  <c r="V65" i="1" s="1"/>
  <c r="U57" i="1"/>
  <c r="V57" i="1" s="1"/>
  <c r="U49" i="1"/>
  <c r="V49" i="1" s="1"/>
  <c r="U41" i="1"/>
  <c r="V41" i="1" s="1"/>
  <c r="U30" i="1"/>
  <c r="V30" i="1" s="1"/>
  <c r="U22" i="1"/>
  <c r="V22" i="1" s="1"/>
  <c r="U14" i="1"/>
  <c r="V14" i="1" s="1"/>
  <c r="U63" i="1"/>
  <c r="V63" i="1" s="1"/>
  <c r="N67" i="21"/>
  <c r="O67" i="21" s="1"/>
  <c r="N66" i="21"/>
  <c r="O66" i="21" s="1"/>
  <c r="N65" i="21"/>
  <c r="O65" i="21" s="1"/>
  <c r="N64" i="21"/>
  <c r="O64" i="21" s="1"/>
  <c r="N63" i="21"/>
  <c r="O63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5" i="21"/>
  <c r="O55" i="21" s="1"/>
  <c r="N54" i="21"/>
  <c r="O54" i="21" s="1"/>
  <c r="N53" i="21"/>
  <c r="O53" i="21" s="1"/>
  <c r="N52" i="21"/>
  <c r="O52" i="21" s="1"/>
  <c r="N51" i="21"/>
  <c r="O51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N40" i="21"/>
  <c r="O40" i="21" s="1"/>
  <c r="N37" i="21"/>
  <c r="O37" i="21" s="1"/>
  <c r="N36" i="21"/>
  <c r="O36" i="21" s="1"/>
  <c r="N35" i="21"/>
  <c r="O35" i="21" s="1"/>
  <c r="N34" i="21"/>
  <c r="O34" i="21" s="1"/>
  <c r="N31" i="21"/>
  <c r="O31" i="21" s="1"/>
  <c r="N30" i="21"/>
  <c r="O30" i="21" s="1"/>
  <c r="N29" i="21"/>
  <c r="O29" i="21" s="1"/>
  <c r="N28" i="21"/>
  <c r="O28" i="21" s="1"/>
  <c r="N27" i="21"/>
  <c r="O27" i="21" s="1"/>
  <c r="N26" i="21"/>
  <c r="O26" i="21" s="1"/>
  <c r="N25" i="21"/>
  <c r="O25" i="21" s="1"/>
  <c r="N24" i="21"/>
  <c r="O24" i="21" s="1"/>
  <c r="N23" i="21"/>
  <c r="O23" i="21" s="1"/>
  <c r="N22" i="21"/>
  <c r="O22" i="21" s="1"/>
  <c r="N21" i="21"/>
  <c r="O21" i="21" s="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N67" i="20"/>
  <c r="O67" i="20" s="1"/>
  <c r="N66" i="20"/>
  <c r="O66" i="20" s="1"/>
  <c r="N65" i="20"/>
  <c r="O65" i="20" s="1"/>
  <c r="N64" i="20"/>
  <c r="O64" i="20" s="1"/>
  <c r="N63" i="20"/>
  <c r="O63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N56" i="20"/>
  <c r="O56" i="20" s="1"/>
  <c r="N55" i="20"/>
  <c r="O55" i="20" s="1"/>
  <c r="N54" i="20"/>
  <c r="O54" i="20" s="1"/>
  <c r="N53" i="20"/>
  <c r="O53" i="20" s="1"/>
  <c r="N52" i="20"/>
  <c r="O52" i="20" s="1"/>
  <c r="N51" i="20"/>
  <c r="O51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N40" i="20"/>
  <c r="O40" i="20" s="1"/>
  <c r="N37" i="20"/>
  <c r="O37" i="20" s="1"/>
  <c r="N36" i="20"/>
  <c r="O36" i="20" s="1"/>
  <c r="N35" i="20"/>
  <c r="O35" i="20" s="1"/>
  <c r="N34" i="20"/>
  <c r="O34" i="20" s="1"/>
  <c r="N33" i="20"/>
  <c r="O33" i="20" s="1"/>
  <c r="N31" i="20"/>
  <c r="O31" i="20" s="1"/>
  <c r="N30" i="20"/>
  <c r="O30" i="20" s="1"/>
  <c r="N29" i="20"/>
  <c r="O29" i="20" s="1"/>
  <c r="N28" i="20"/>
  <c r="O28" i="20" s="1"/>
  <c r="N27" i="20"/>
  <c r="O27" i="20" s="1"/>
  <c r="N26" i="20"/>
  <c r="O26" i="20" s="1"/>
  <c r="N25" i="20"/>
  <c r="O25" i="20" s="1"/>
  <c r="N24" i="20"/>
  <c r="O24" i="20" s="1"/>
  <c r="N23" i="20"/>
  <c r="O23" i="20" s="1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E68" i="19"/>
  <c r="N67" i="19"/>
  <c r="O67" i="19" s="1"/>
  <c r="N66" i="19"/>
  <c r="O66" i="19" s="1"/>
  <c r="N65" i="19"/>
  <c r="O65" i="19" s="1"/>
  <c r="N64" i="19"/>
  <c r="O64" i="19" s="1"/>
  <c r="N63" i="19"/>
  <c r="O63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3" i="19"/>
  <c r="O53" i="19" s="1"/>
  <c r="N52" i="19"/>
  <c r="O52" i="19" s="1"/>
  <c r="N51" i="19"/>
  <c r="O51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7" i="19"/>
  <c r="O37" i="19" s="1"/>
  <c r="N36" i="19"/>
  <c r="O36" i="19" s="1"/>
  <c r="N35" i="19"/>
  <c r="O35" i="19" s="1"/>
  <c r="N34" i="19"/>
  <c r="O34" i="19" s="1"/>
  <c r="N33" i="19"/>
  <c r="O33" i="19" s="1"/>
  <c r="N31" i="19"/>
  <c r="O31" i="19" s="1"/>
  <c r="N30" i="19"/>
  <c r="O30" i="19" s="1"/>
  <c r="N29" i="19"/>
  <c r="O29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N5" i="19"/>
  <c r="N67" i="18"/>
  <c r="O67" i="18" s="1"/>
  <c r="N66" i="18"/>
  <c r="O66" i="18" s="1"/>
  <c r="N65" i="18"/>
  <c r="O65" i="18" s="1"/>
  <c r="N64" i="18"/>
  <c r="O64" i="18" s="1"/>
  <c r="N63" i="18"/>
  <c r="O63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5" i="18"/>
  <c r="O55" i="18" s="1"/>
  <c r="N54" i="18"/>
  <c r="O54" i="18" s="1"/>
  <c r="N53" i="18"/>
  <c r="O53" i="18" s="1"/>
  <c r="N52" i="18"/>
  <c r="O52" i="18" s="1"/>
  <c r="N51" i="18"/>
  <c r="O51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40" i="18"/>
  <c r="O40" i="18" s="1"/>
  <c r="N37" i="18"/>
  <c r="O37" i="18" s="1"/>
  <c r="N36" i="18"/>
  <c r="O36" i="18" s="1"/>
  <c r="N35" i="18"/>
  <c r="O35" i="18" s="1"/>
  <c r="N34" i="18"/>
  <c r="O34" i="18" s="1"/>
  <c r="N33" i="18"/>
  <c r="O33" i="18" s="1"/>
  <c r="N31" i="18"/>
  <c r="O31" i="18" s="1"/>
  <c r="N30" i="18"/>
  <c r="O30" i="18" s="1"/>
  <c r="N29" i="18"/>
  <c r="O29" i="18" s="1"/>
  <c r="N28" i="18"/>
  <c r="O28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N5" i="18"/>
  <c r="N67" i="17"/>
  <c r="O67" i="17" s="1"/>
  <c r="N66" i="17"/>
  <c r="O66" i="17" s="1"/>
  <c r="N65" i="17"/>
  <c r="O65" i="17" s="1"/>
  <c r="N64" i="17"/>
  <c r="O64" i="17" s="1"/>
  <c r="N63" i="17"/>
  <c r="O63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5" i="17"/>
  <c r="O55" i="17" s="1"/>
  <c r="N54" i="17"/>
  <c r="O54" i="17" s="1"/>
  <c r="N53" i="17"/>
  <c r="O53" i="17" s="1"/>
  <c r="N52" i="17"/>
  <c r="O52" i="17" s="1"/>
  <c r="N51" i="17"/>
  <c r="O51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40" i="17"/>
  <c r="O40" i="17" s="1"/>
  <c r="N37" i="17"/>
  <c r="O37" i="17" s="1"/>
  <c r="N36" i="17"/>
  <c r="O36" i="17" s="1"/>
  <c r="N35" i="17"/>
  <c r="O35" i="17" s="1"/>
  <c r="N34" i="17"/>
  <c r="O34" i="17" s="1"/>
  <c r="N33" i="17"/>
  <c r="O33" i="17" s="1"/>
  <c r="N31" i="17"/>
  <c r="O31" i="17" s="1"/>
  <c r="N30" i="17"/>
  <c r="O30" i="17" s="1"/>
  <c r="N29" i="17"/>
  <c r="O29" i="17" s="1"/>
  <c r="N28" i="17"/>
  <c r="O28" i="17" s="1"/>
  <c r="N27" i="17"/>
  <c r="O27" i="17" s="1"/>
  <c r="N26" i="17"/>
  <c r="O26" i="17" s="1"/>
  <c r="N25" i="17"/>
  <c r="O25" i="17" s="1"/>
  <c r="N24" i="17"/>
  <c r="O24" i="17" s="1"/>
  <c r="N23" i="17"/>
  <c r="O23" i="17" s="1"/>
  <c r="N22" i="17"/>
  <c r="O22" i="17" s="1"/>
  <c r="N21" i="17"/>
  <c r="O21" i="17" s="1"/>
  <c r="N20" i="17"/>
  <c r="O20" i="17" s="1"/>
  <c r="N19" i="17"/>
  <c r="O19" i="17" s="1"/>
  <c r="N18" i="17"/>
  <c r="O18" i="17" s="1"/>
  <c r="N17" i="17"/>
  <c r="O17" i="17" s="1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M68" i="16"/>
  <c r="G68" i="16"/>
  <c r="F68" i="16"/>
  <c r="N67" i="16"/>
  <c r="O67" i="16" s="1"/>
  <c r="N66" i="16"/>
  <c r="O66" i="16" s="1"/>
  <c r="N65" i="16"/>
  <c r="O65" i="16" s="1"/>
  <c r="N64" i="16"/>
  <c r="O64" i="16" s="1"/>
  <c r="N63" i="16"/>
  <c r="O63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5" i="16"/>
  <c r="O55" i="16" s="1"/>
  <c r="N54" i="16"/>
  <c r="O54" i="16" s="1"/>
  <c r="N53" i="16"/>
  <c r="O53" i="16" s="1"/>
  <c r="N52" i="16"/>
  <c r="O52" i="16" s="1"/>
  <c r="N51" i="16"/>
  <c r="O51" i="16" s="1"/>
  <c r="N50" i="16"/>
  <c r="O50" i="16" s="1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7" i="16"/>
  <c r="O37" i="16" s="1"/>
  <c r="N36" i="16"/>
  <c r="O36" i="16" s="1"/>
  <c r="N35" i="16"/>
  <c r="O35" i="16" s="1"/>
  <c r="N34" i="16"/>
  <c r="O34" i="16" s="1"/>
  <c r="N33" i="16"/>
  <c r="O33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N67" i="14"/>
  <c r="O67" i="14" s="1"/>
  <c r="N66" i="14"/>
  <c r="O66" i="14" s="1"/>
  <c r="N65" i="14"/>
  <c r="O65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3" i="14"/>
  <c r="O53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40" i="14"/>
  <c r="O40" i="14" s="1"/>
  <c r="N37" i="14"/>
  <c r="O37" i="14" s="1"/>
  <c r="N36" i="14"/>
  <c r="O36" i="14" s="1"/>
  <c r="N35" i="14"/>
  <c r="O35" i="14" s="1"/>
  <c r="N34" i="14"/>
  <c r="O34" i="14" s="1"/>
  <c r="N33" i="14"/>
  <c r="O33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O26" i="14" s="1"/>
  <c r="N25" i="14"/>
  <c r="O25" i="14" s="1"/>
  <c r="N24" i="14"/>
  <c r="O24" i="14" s="1"/>
  <c r="N23" i="14"/>
  <c r="O23" i="14" s="1"/>
  <c r="N22" i="14"/>
  <c r="O22" i="14" s="1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N9" i="14"/>
  <c r="O9" i="14" s="1"/>
  <c r="N8" i="14"/>
  <c r="O8" i="14" s="1"/>
  <c r="N7" i="14"/>
  <c r="O7" i="14" s="1"/>
  <c r="N6" i="14"/>
  <c r="O6" i="14" s="1"/>
  <c r="N5" i="14"/>
  <c r="N67" i="13"/>
  <c r="O67" i="13" s="1"/>
  <c r="N66" i="13"/>
  <c r="O66" i="13" s="1"/>
  <c r="N65" i="13"/>
  <c r="O65" i="13" s="1"/>
  <c r="N64" i="13"/>
  <c r="O64" i="13" s="1"/>
  <c r="N63" i="13"/>
  <c r="O63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N56" i="13"/>
  <c r="O56" i="13" s="1"/>
  <c r="N55" i="13"/>
  <c r="O55" i="13" s="1"/>
  <c r="N54" i="13"/>
  <c r="O54" i="13" s="1"/>
  <c r="N53" i="13"/>
  <c r="O53" i="13" s="1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O41" i="13" s="1"/>
  <c r="N40" i="13"/>
  <c r="O40" i="13" s="1"/>
  <c r="N37" i="13"/>
  <c r="O37" i="13" s="1"/>
  <c r="N36" i="13"/>
  <c r="O36" i="13" s="1"/>
  <c r="N35" i="13"/>
  <c r="O35" i="13" s="1"/>
  <c r="N34" i="13"/>
  <c r="O34" i="13" s="1"/>
  <c r="N33" i="13"/>
  <c r="O33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N67" i="12"/>
  <c r="O67" i="12" s="1"/>
  <c r="N66" i="12"/>
  <c r="O66" i="12" s="1"/>
  <c r="N65" i="12"/>
  <c r="O65" i="12" s="1"/>
  <c r="N64" i="12"/>
  <c r="O64" i="12" s="1"/>
  <c r="N63" i="12"/>
  <c r="O63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5" i="12"/>
  <c r="O55" i="12" s="1"/>
  <c r="N54" i="12"/>
  <c r="O54" i="12" s="1"/>
  <c r="N53" i="12"/>
  <c r="O53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7" i="12"/>
  <c r="O37" i="12" s="1"/>
  <c r="N36" i="12"/>
  <c r="O36" i="12" s="1"/>
  <c r="N35" i="12"/>
  <c r="O35" i="12" s="1"/>
  <c r="O34" i="12"/>
  <c r="O33" i="12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N7" i="12"/>
  <c r="O7" i="12" s="1"/>
  <c r="N6" i="12"/>
  <c r="O6" i="12" s="1"/>
  <c r="N5" i="12"/>
  <c r="M68" i="2"/>
  <c r="L68" i="2"/>
  <c r="K68" i="2"/>
  <c r="J68" i="2"/>
  <c r="I68" i="2"/>
  <c r="H68" i="2"/>
  <c r="G68" i="2"/>
  <c r="F68" i="2"/>
  <c r="E68" i="2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7" i="2"/>
  <c r="O37" i="2" s="1"/>
  <c r="N36" i="2"/>
  <c r="O36" i="2" s="1"/>
  <c r="N35" i="2"/>
  <c r="O35" i="2" s="1"/>
  <c r="N34" i="2"/>
  <c r="O34" i="2" s="1"/>
  <c r="N33" i="2"/>
  <c r="O33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N6" i="1"/>
  <c r="N7" i="1"/>
  <c r="N8" i="1"/>
  <c r="N9" i="1"/>
  <c r="O9" i="1" s="1"/>
  <c r="N10" i="1"/>
  <c r="O10" i="1" s="1"/>
  <c r="N11" i="1"/>
  <c r="N12" i="1"/>
  <c r="N13" i="1"/>
  <c r="N14" i="1"/>
  <c r="N15" i="1"/>
  <c r="O15" i="1" s="1"/>
  <c r="N16" i="1"/>
  <c r="N17" i="1"/>
  <c r="O17" i="1" s="1"/>
  <c r="N18" i="1"/>
  <c r="O18" i="1" s="1"/>
  <c r="N19" i="1"/>
  <c r="N20" i="1"/>
  <c r="N21" i="1"/>
  <c r="N22" i="1"/>
  <c r="N23" i="1"/>
  <c r="N24" i="1"/>
  <c r="N25" i="1"/>
  <c r="O25" i="1" s="1"/>
  <c r="N26" i="1"/>
  <c r="O26" i="1" s="1"/>
  <c r="N27" i="1"/>
  <c r="N28" i="1"/>
  <c r="N29" i="1"/>
  <c r="N30" i="1"/>
  <c r="N31" i="1"/>
  <c r="O31" i="1" s="1"/>
  <c r="N33" i="1"/>
  <c r="N34" i="1"/>
  <c r="O34" i="1" s="1"/>
  <c r="N35" i="1"/>
  <c r="O35" i="1" s="1"/>
  <c r="N36" i="1"/>
  <c r="N37" i="1"/>
  <c r="N40" i="1"/>
  <c r="N41" i="1"/>
  <c r="N42" i="1"/>
  <c r="O42" i="1" s="1"/>
  <c r="N43" i="1"/>
  <c r="N44" i="1"/>
  <c r="N45" i="1"/>
  <c r="O45" i="1" s="1"/>
  <c r="N46" i="1"/>
  <c r="N47" i="1"/>
  <c r="N48" i="1"/>
  <c r="N49" i="1"/>
  <c r="N50" i="1"/>
  <c r="O50" i="1" s="1"/>
  <c r="N51" i="1"/>
  <c r="N52" i="1"/>
  <c r="N53" i="1"/>
  <c r="N54" i="1"/>
  <c r="N55" i="1"/>
  <c r="N56" i="1"/>
  <c r="N57" i="1"/>
  <c r="N58" i="1"/>
  <c r="N59" i="1"/>
  <c r="W59" i="1" s="1"/>
  <c r="N60" i="1"/>
  <c r="N61" i="1"/>
  <c r="N62" i="1"/>
  <c r="N63" i="1"/>
  <c r="N64" i="1"/>
  <c r="N65" i="1"/>
  <c r="N66" i="1"/>
  <c r="O66" i="1" s="1"/>
  <c r="N67" i="1"/>
  <c r="N5" i="1"/>
  <c r="O5" i="1" s="1"/>
  <c r="Y68" i="1"/>
  <c r="AA68" i="1"/>
  <c r="W57" i="1" l="1"/>
  <c r="X57" i="1" s="1"/>
  <c r="W54" i="1"/>
  <c r="X54" i="1" s="1"/>
  <c r="W55" i="1"/>
  <c r="X55" i="1" s="1"/>
  <c r="O58" i="1"/>
  <c r="W58" i="1"/>
  <c r="X58" i="1" s="1"/>
  <c r="O61" i="1"/>
  <c r="W61" i="1"/>
  <c r="X61" i="1" s="1"/>
  <c r="W53" i="1"/>
  <c r="X53" i="1" s="1"/>
  <c r="W56" i="1"/>
  <c r="X56" i="1" s="1"/>
  <c r="O60" i="1"/>
  <c r="W60" i="1"/>
  <c r="X60" i="1" s="1"/>
  <c r="W52" i="1"/>
  <c r="X52" i="1" s="1"/>
  <c r="O5" i="18"/>
  <c r="N68" i="18"/>
  <c r="N68" i="2"/>
  <c r="O5" i="19"/>
  <c r="N68" i="19"/>
  <c r="N68" i="20"/>
  <c r="N68" i="1"/>
  <c r="N68" i="17"/>
  <c r="N68" i="21"/>
  <c r="N68" i="14"/>
  <c r="O5" i="12"/>
  <c r="N68" i="12"/>
  <c r="O5" i="13"/>
  <c r="O68" i="13" s="1"/>
  <c r="N68" i="13"/>
  <c r="V5" i="1"/>
  <c r="U68" i="1"/>
  <c r="W46" i="1"/>
  <c r="X46" i="1" s="1"/>
  <c r="W36" i="1"/>
  <c r="X36" i="1" s="1"/>
  <c r="W20" i="1"/>
  <c r="X20" i="1" s="1"/>
  <c r="W19" i="1"/>
  <c r="X19" i="1" s="1"/>
  <c r="W51" i="1"/>
  <c r="X51" i="1" s="1"/>
  <c r="W16" i="1"/>
  <c r="X16" i="1" s="1"/>
  <c r="W44" i="1"/>
  <c r="X44" i="1" s="1"/>
  <c r="W23" i="1"/>
  <c r="X23" i="1" s="1"/>
  <c r="W7" i="1"/>
  <c r="X7" i="1" s="1"/>
  <c r="W22" i="1"/>
  <c r="X22" i="1" s="1"/>
  <c r="W14" i="1"/>
  <c r="X14" i="1" s="1"/>
  <c r="W13" i="1"/>
  <c r="X13" i="1" s="1"/>
  <c r="W47" i="1"/>
  <c r="X47" i="1" s="1"/>
  <c r="W37" i="1"/>
  <c r="X37" i="1" s="1"/>
  <c r="V42" i="1"/>
  <c r="W42" i="1"/>
  <c r="X42" i="1" s="1"/>
  <c r="O44" i="1"/>
  <c r="O53" i="1"/>
  <c r="O52" i="1"/>
  <c r="O7" i="1"/>
  <c r="O23" i="1"/>
  <c r="W67" i="1"/>
  <c r="X67" i="1" s="1"/>
  <c r="W40" i="1"/>
  <c r="X40" i="1" s="1"/>
  <c r="W64" i="1"/>
  <c r="X64" i="1" s="1"/>
  <c r="W48" i="1"/>
  <c r="X48" i="1" s="1"/>
  <c r="W34" i="1"/>
  <c r="X34" i="1" s="1"/>
  <c r="W30" i="1"/>
  <c r="X30" i="1" s="1"/>
  <c r="W10" i="1"/>
  <c r="X10" i="1" s="1"/>
  <c r="W29" i="1"/>
  <c r="X29" i="1" s="1"/>
  <c r="W25" i="1"/>
  <c r="X25" i="1" s="1"/>
  <c r="W21" i="1"/>
  <c r="X21" i="1" s="1"/>
  <c r="W31" i="1"/>
  <c r="X31" i="1" s="1"/>
  <c r="W62" i="1"/>
  <c r="X62" i="1" s="1"/>
  <c r="W35" i="1"/>
  <c r="X35" i="1" s="1"/>
  <c r="W6" i="1"/>
  <c r="X6" i="1" s="1"/>
  <c r="W15" i="1"/>
  <c r="X15" i="1" s="1"/>
  <c r="W28" i="1"/>
  <c r="X28" i="1" s="1"/>
  <c r="W27" i="1"/>
  <c r="X27" i="1" s="1"/>
  <c r="W45" i="1"/>
  <c r="X45" i="1" s="1"/>
  <c r="W18" i="1"/>
  <c r="X18" i="1" s="1"/>
  <c r="W63" i="1"/>
  <c r="X63" i="1" s="1"/>
  <c r="W11" i="1"/>
  <c r="X11" i="1" s="1"/>
  <c r="W17" i="1"/>
  <c r="X17" i="1" s="1"/>
  <c r="X59" i="1"/>
  <c r="W43" i="1"/>
  <c r="X43" i="1" s="1"/>
  <c r="W5" i="1"/>
  <c r="X5" i="1" s="1"/>
  <c r="W9" i="1"/>
  <c r="X9" i="1" s="1"/>
  <c r="W8" i="1"/>
  <c r="X8" i="1" s="1"/>
  <c r="W26" i="1"/>
  <c r="X26" i="1" s="1"/>
  <c r="W33" i="1"/>
  <c r="X33" i="1" s="1"/>
  <c r="W24" i="1"/>
  <c r="X24" i="1" s="1"/>
  <c r="W66" i="1"/>
  <c r="X66" i="1" s="1"/>
  <c r="W50" i="1"/>
  <c r="X50" i="1" s="1"/>
  <c r="W65" i="1"/>
  <c r="X65" i="1" s="1"/>
  <c r="W49" i="1"/>
  <c r="X49" i="1" s="1"/>
  <c r="W41" i="1"/>
  <c r="X41" i="1" s="1"/>
  <c r="W12" i="1"/>
  <c r="O67" i="1"/>
  <c r="O59" i="1"/>
  <c r="O51" i="1"/>
  <c r="O43" i="1"/>
  <c r="O33" i="1"/>
  <c r="O24" i="1"/>
  <c r="O16" i="1"/>
  <c r="O8" i="1"/>
  <c r="O57" i="1"/>
  <c r="O41" i="1"/>
  <c r="O14" i="1"/>
  <c r="O64" i="1"/>
  <c r="O56" i="1"/>
  <c r="O48" i="1"/>
  <c r="O40" i="1"/>
  <c r="O29" i="1"/>
  <c r="O21" i="1"/>
  <c r="O13" i="1"/>
  <c r="O65" i="1"/>
  <c r="O49" i="1"/>
  <c r="O30" i="1"/>
  <c r="O6" i="1"/>
  <c r="O63" i="1"/>
  <c r="O55" i="1"/>
  <c r="O47" i="1"/>
  <c r="O37" i="1"/>
  <c r="O28" i="1"/>
  <c r="O20" i="1"/>
  <c r="O12" i="1"/>
  <c r="O22" i="1"/>
  <c r="O62" i="1"/>
  <c r="O54" i="1"/>
  <c r="O46" i="1"/>
  <c r="O36" i="1"/>
  <c r="O27" i="1"/>
  <c r="O19" i="1"/>
  <c r="O11" i="1"/>
  <c r="O6" i="19"/>
  <c r="O6" i="18"/>
  <c r="N68" i="16"/>
  <c r="O5" i="21"/>
  <c r="O68" i="21" s="1"/>
  <c r="O5" i="20"/>
  <c r="O68" i="20" s="1"/>
  <c r="O5" i="17"/>
  <c r="O68" i="17" s="1"/>
  <c r="O5" i="16"/>
  <c r="O68" i="16" s="1"/>
  <c r="O5" i="14"/>
  <c r="O68" i="14" s="1"/>
  <c r="O8" i="12"/>
  <c r="O5" i="2"/>
  <c r="O68" i="2" s="1"/>
  <c r="O68" i="12" l="1"/>
  <c r="O68" i="18"/>
  <c r="O68" i="19"/>
  <c r="O68" i="1"/>
  <c r="V68" i="1"/>
  <c r="X12" i="1"/>
  <c r="X68" i="1" s="1"/>
  <c r="W68" i="1"/>
</calcChain>
</file>

<file path=xl/comments1.xml><?xml version="1.0" encoding="utf-8"?>
<comments xmlns="http://schemas.openxmlformats.org/spreadsheetml/2006/main">
  <authors>
    <author>Administrator</author>
    <author>Windows 사용자</author>
  </authors>
  <commentList>
    <comment ref="J62" authorId="0" shapeId="0">
      <text>
        <r>
          <rPr>
            <b/>
            <sz val="11"/>
            <color indexed="81"/>
            <rFont val="Tahoma"/>
            <family val="2"/>
          </rPr>
          <t>3/11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월</t>
        </r>
        <r>
          <rPr>
            <b/>
            <sz val="11"/>
            <color indexed="81"/>
            <rFont val="Tahoma"/>
            <family val="2"/>
          </rPr>
          <t xml:space="preserve">) 
10kg </t>
        </r>
        <r>
          <rPr>
            <b/>
            <sz val="11"/>
            <color indexed="81"/>
            <rFont val="돋움"/>
            <family val="3"/>
            <charset val="129"/>
          </rPr>
          <t xml:space="preserve">출고
</t>
        </r>
      </text>
    </comment>
    <comment ref="L62" authorId="1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원두</t>
        </r>
        <r>
          <rPr>
            <b/>
            <sz val="9"/>
            <color indexed="81"/>
            <rFont val="Tahoma"/>
            <family val="2"/>
          </rPr>
          <t xml:space="preserve"> 10kg </t>
        </r>
        <r>
          <rPr>
            <b/>
            <sz val="9"/>
            <color indexed="81"/>
            <rFont val="돋움"/>
            <family val="3"/>
            <charset val="129"/>
          </rPr>
          <t>풀고</t>
        </r>
      </text>
    </comment>
  </commentList>
</comments>
</file>

<file path=xl/sharedStrings.xml><?xml version="1.0" encoding="utf-8"?>
<sst xmlns="http://schemas.openxmlformats.org/spreadsheetml/2006/main" count="2549" uniqueCount="163">
  <si>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</si>
  <si>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</si>
  <si>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</si>
  <si>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</si>
  <si>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</si>
  <si>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</si>
  <si>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</si>
  <si>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</si>
  <si>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</si>
  <si>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</si>
  <si>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</si>
  <si>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</si>
  <si>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</si>
  <si>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</si>
  <si>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</si>
  <si>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</si>
  <si>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</si>
  <si>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</si>
  <si>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</si>
  <si>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</si>
  <si>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</si>
  <si>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</si>
  <si>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</si>
  <si>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</si>
  <si>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</si>
  <si>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</si>
  <si>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</si>
  <si>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</si>
  <si>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</si>
  <si>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</si>
  <si>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</si>
  <si>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</si>
  <si>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</si>
  <si>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</si>
  <si>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</si>
  <si>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</si>
  <si>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</si>
  <si>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</si>
  <si>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</si>
  <si>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</si>
  <si>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</si>
  <si>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</si>
  <si>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</si>
  <si>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</si>
  <si>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</si>
  <si>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</si>
  <si>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</si>
  <si>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</si>
  <si>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</si>
  <si>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</si>
  <si>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</si>
  <si>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</si>
  <si>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</si>
  <si>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</si>
  <si>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</si>
  <si>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</si>
  <si>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</si>
  <si>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</si>
  <si>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</si>
  <si>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</si>
  <si>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</si>
  <si>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</si>
  <si>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</si>
  <si>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</si>
  <si>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</si>
  <si>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</si>
  <si>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</si>
  <si>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</si>
  <si>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</si>
  <si>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</si>
  <si>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</si>
  <si>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</si>
  <si>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</si>
  <si>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</si>
  <si>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</si>
  <si>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</si>
  <si>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</si>
  <si>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</si>
  <si>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</si>
  <si>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</si>
  <si>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</si>
  <si>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</si>
  <si>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</si>
  <si>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</si>
  <si>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</si>
  <si>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</si>
  <si>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</si>
  <si>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</si>
  <si>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</si>
  <si>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</si>
  <si>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</si>
  <si>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</si>
  <si>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</si>
  <si>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</si>
  <si>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</si>
  <si>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</si>
  <si>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8" type="noConversion"/>
  </si>
  <si>
    <t>2주차 발주</t>
    <phoneticPr fontId="18" type="noConversion"/>
  </si>
  <si>
    <t>3주차 발주</t>
    <phoneticPr fontId="18" type="noConversion"/>
  </si>
  <si>
    <t>4주차 발주</t>
    <phoneticPr fontId="18" type="noConversion"/>
  </si>
  <si>
    <t>5주차 발주</t>
    <phoneticPr fontId="18" type="noConversion"/>
  </si>
  <si>
    <t>월 발주량</t>
    <phoneticPr fontId="18" type="noConversion"/>
  </si>
  <si>
    <t>월 발주 금액</t>
    <phoneticPr fontId="18" type="noConversion"/>
  </si>
  <si>
    <t>입고단가</t>
    <phoneticPr fontId="18" type="noConversion"/>
  </si>
  <si>
    <t>입고단위</t>
    <phoneticPr fontId="18" type="noConversion"/>
  </si>
  <si>
    <t>입고단위단가</t>
    <phoneticPr fontId="18" type="noConversion"/>
  </si>
  <si>
    <t>전월 재고</t>
    <phoneticPr fontId="18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</si>
  <si>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</si>
  <si>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rFont val="돋움"/>
        <family val="3"/>
        <charset val="129"/>
      </rPr>
      <t>비고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</si>
  <si>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</si>
  <si>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</si>
  <si>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</si>
  <si>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</si>
  <si>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</si>
  <si>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</si>
  <si>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</si>
  <si>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</si>
  <si>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</si>
  <si>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8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</si>
  <si>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8" type="noConversion"/>
  </si>
  <si>
    <t>1box=6ea</t>
    <phoneticPr fontId="18" type="noConversion"/>
  </si>
  <si>
    <t>삼다수</t>
    <phoneticPr fontId="18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</si>
  <si>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</si>
  <si>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8" type="noConversion"/>
  </si>
  <si>
    <t>입고단가</t>
    <phoneticPr fontId="18" type="noConversion"/>
  </si>
  <si>
    <t>입고단위</t>
    <phoneticPr fontId="18" type="noConversion"/>
  </si>
  <si>
    <t>입고단위단가</t>
    <phoneticPr fontId="18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</si>
  <si>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8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</si>
  <si>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8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</si>
  <si>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8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</si>
  <si>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8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</si>
  <si>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8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</si>
  <si>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8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</si>
  <si>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8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</si>
  <si>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8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</si>
  <si>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8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</si>
  <si>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8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</si>
  <si>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8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</si>
  <si>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8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</si>
  <si>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8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</si>
  <si>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8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</si>
  <si>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8" type="noConversion"/>
  </si>
  <si>
    <t>현재고</t>
    <phoneticPr fontId="18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</si>
  <si>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8" type="noConversion"/>
  </si>
  <si>
    <t>월 마감 후 익월 15일 결제</t>
    <phoneticPr fontId="18" type="noConversion"/>
  </si>
  <si>
    <t>카페 쿠피 3월 발주 관리 대장 (푸른솔)</t>
    <phoneticPr fontId="18" type="noConversion"/>
  </si>
  <si>
    <t>카페 쿠피 3월 입출고 관리 대장 (본사창고)</t>
    <phoneticPr fontId="18" type="noConversion"/>
  </si>
  <si>
    <t>카페 쿠피 3월 발주 관리 대장 (교육용,R&amp;D,삼의원(잇다카페))</t>
    <phoneticPr fontId="18" type="noConversion"/>
  </si>
  <si>
    <t>카페 쿠피 3월 발주 관리 대장 (교육용,R&amp;D,삼의원(잇다카페))</t>
    <phoneticPr fontId="18" type="noConversion"/>
  </si>
  <si>
    <t>카페 쿠피 3월 발주 관리 대장 (의과대학)</t>
    <phoneticPr fontId="18" type="noConversion"/>
  </si>
  <si>
    <t>카페 쿠피 3월 발주 관리 대장 (중앙도서관)</t>
    <phoneticPr fontId="18" type="noConversion"/>
  </si>
  <si>
    <t>카페 쿠피 3월 발주 관리 대장 (학생회관)</t>
    <phoneticPr fontId="18" type="noConversion"/>
  </si>
  <si>
    <t>카페 쿠피 3월 발주 관리 대장 (멀티미디어관)</t>
    <phoneticPr fontId="18" type="noConversion"/>
  </si>
  <si>
    <t>카페 쿠피 3월 발주 관리 대장 (제2기숙사)</t>
    <phoneticPr fontId="18" type="noConversion"/>
  </si>
  <si>
    <t>카페 쿠피 3월 발주 관리 대장 (선승관)</t>
    <phoneticPr fontId="18" type="noConversion"/>
  </si>
  <si>
    <t>카페 쿠피 3월 발주 관리 대장 (예술디자인대)</t>
    <phoneticPr fontId="18" type="noConversion"/>
  </si>
  <si>
    <t>카페 쿠피 3월 발주 관리 대장 (공학관)</t>
    <phoneticPr fontId="18" type="noConversion"/>
  </si>
  <si>
    <t>콤부차진저레몬</t>
    <phoneticPr fontId="18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</si>
  <si>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8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</si>
  <si>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8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</si>
  <si>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8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</si>
  <si>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8" type="noConversion"/>
  </si>
  <si>
    <t>2024년 3월 커피머신 소모품 비교용 (지마켓 판매량 높음 기준)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</si>
</sst>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0"/>
      <color rgb="FFFF000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957">
    <xf numFmtId="0" fontId="0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0" fontId="6" fillId="0" borderId="0" xfId="1">
      <alignment vertical="center"/>
    </xf>
    <xf numFmtId="41" fontId="6" fillId="0" borderId="0" xfId="9488" applyFont="1" applyFill="1">
      <alignment vertical="center"/>
    </xf>
    <xf numFmtId="41" fontId="6" fillId="0" borderId="1" xfId="9488" applyFont="1" applyFill="1" applyBorder="1">
      <alignment vertical="center"/>
    </xf>
    <xf numFmtId="41" fontId="9" fillId="0" borderId="2" xfId="9488" applyFont="1" applyBorder="1" applyAlignment="1">
      <alignment horizontal="center" vertical="center"/>
    </xf>
    <xf numFmtId="41" fontId="2" fillId="0" borderId="46" xfId="9488" applyFont="1" applyBorder="1" applyAlignment="1" applyProtection="1">
      <alignment horizontal="center" vertical="center"/>
      <protection locked="0"/>
    </xf>
    <xf numFmtId="41" fontId="3" fillId="0" borderId="46" xfId="9488" applyFont="1" applyBorder="1" applyAlignment="1" applyProtection="1">
      <alignment horizontal="center" vertical="center" wrapText="1"/>
      <protection locked="0"/>
    </xf>
    <xf numFmtId="41" fontId="3" fillId="0" borderId="30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30" xfId="9488" applyFont="1" applyFill="1" applyBorder="1" applyAlignment="1" applyProtection="1">
      <alignment horizontal="center" vertical="center" wrapText="1"/>
      <protection locked="0"/>
    </xf>
    <xf numFmtId="41" fontId="3" fillId="5" borderId="45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0" borderId="26" xfId="9488" applyFont="1" applyBorder="1" applyAlignment="1" applyProtection="1">
      <alignment horizontal="right" vertical="center"/>
      <protection locked="0"/>
    </xf>
    <xf numFmtId="41" fontId="4" fillId="0" borderId="26" xfId="9488" applyFont="1" applyFill="1" applyBorder="1" applyAlignment="1" applyProtection="1">
      <alignment horizontal="right" vertical="center"/>
      <protection locked="0"/>
    </xf>
    <xf numFmtId="41" fontId="4" fillId="0" borderId="42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2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4" fillId="7" borderId="12" xfId="9488" applyFont="1" applyFill="1" applyBorder="1" applyAlignment="1" applyProtection="1">
      <alignment horizontal="right" vertical="center"/>
      <protection locked="0"/>
    </xf>
    <xf numFmtId="41" fontId="15" fillId="0" borderId="9" xfId="9488" applyFont="1" applyBorder="1">
      <alignment vertical="center"/>
    </xf>
    <xf numFmtId="41" fontId="4" fillId="0" borderId="27" xfId="9488" applyFont="1" applyBorder="1" applyAlignment="1" applyProtection="1">
      <alignment horizontal="left" vertical="center"/>
      <protection locked="0"/>
    </xf>
    <xf numFmtId="41" fontId="4" fillId="0" borderId="27" xfId="9488" applyFont="1" applyFill="1" applyBorder="1" applyAlignment="1" applyProtection="1">
      <alignment horizontal="right" vertical="center"/>
      <protection locked="0"/>
    </xf>
    <xf numFmtId="41" fontId="4" fillId="0" borderId="41" xfId="9488" applyFont="1" applyFill="1" applyBorder="1" applyAlignment="1" applyProtection="1">
      <alignment horizontal="right" vertical="center"/>
      <protection locked="0"/>
    </xf>
    <xf numFmtId="41" fontId="4" fillId="2" borderId="21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3" borderId="21" xfId="9488" applyFont="1" applyFill="1" applyBorder="1" applyAlignment="1" applyProtection="1">
      <alignment horizontal="right" vertical="center"/>
      <protection locked="0"/>
    </xf>
    <xf numFmtId="41" fontId="6" fillId="0" borderId="31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41" fontId="4" fillId="2" borderId="38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3" borderId="38" xfId="9488" applyFont="1" applyFill="1" applyBorder="1" applyAlignment="1" applyProtection="1">
      <alignment horizontal="right" vertical="center"/>
      <protection locked="0"/>
    </xf>
    <xf numFmtId="41" fontId="4" fillId="7" borderId="38" xfId="9488" applyFont="1" applyFill="1" applyBorder="1" applyAlignment="1" applyProtection="1">
      <alignment horizontal="right" vertical="center"/>
      <protection locked="0"/>
    </xf>
    <xf numFmtId="41" fontId="15" fillId="0" borderId="25" xfId="9488" applyFont="1" applyBorder="1">
      <alignment vertical="center"/>
    </xf>
    <xf numFmtId="41" fontId="5" fillId="0" borderId="49" xfId="9488" applyFont="1" applyFill="1" applyBorder="1" applyAlignment="1" applyProtection="1">
      <alignment horizontal="right" vertical="center"/>
      <protection locked="0"/>
    </xf>
    <xf numFmtId="41" fontId="5" fillId="0" borderId="20" xfId="9488" applyFont="1" applyFill="1" applyBorder="1" applyAlignment="1" applyProtection="1">
      <alignment horizontal="right" vertical="center"/>
      <protection locked="0"/>
    </xf>
    <xf numFmtId="41" fontId="5" fillId="0" borderId="11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Border="1" applyAlignment="1" applyProtection="1">
      <alignment horizontal="left" vertical="center"/>
      <protection locked="0"/>
    </xf>
    <xf numFmtId="41" fontId="4" fillId="3" borderId="39" xfId="9488" applyFont="1" applyFill="1" applyBorder="1" applyAlignment="1" applyProtection="1">
      <alignment horizontal="right" vertical="center"/>
      <protection locked="0"/>
    </xf>
    <xf numFmtId="41" fontId="4" fillId="7" borderId="39" xfId="9488" applyFont="1" applyFill="1" applyBorder="1" applyAlignment="1" applyProtection="1">
      <alignment horizontal="right" vertical="center"/>
      <protection locked="0"/>
    </xf>
    <xf numFmtId="41" fontId="4" fillId="0" borderId="28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41" fontId="4" fillId="0" borderId="37" xfId="9488" applyFont="1" applyFill="1" applyBorder="1" applyAlignment="1" applyProtection="1">
      <alignment horizontal="right" vertical="center"/>
      <protection locked="0"/>
    </xf>
    <xf numFmtId="41" fontId="4" fillId="2" borderId="39" xfId="9488" applyFont="1" applyFill="1" applyBorder="1" applyAlignment="1" applyProtection="1">
      <alignment horizontal="right" vertical="center"/>
      <protection locked="0"/>
    </xf>
    <xf numFmtId="41" fontId="4" fillId="5" borderId="22" xfId="9488" applyFont="1" applyFill="1" applyBorder="1" applyAlignment="1" applyProtection="1">
      <alignment horizontal="right" vertical="center"/>
      <protection locked="0"/>
    </xf>
    <xf numFmtId="41" fontId="4" fillId="5" borderId="33" xfId="9488" applyFont="1" applyFill="1" applyBorder="1" applyAlignment="1" applyProtection="1">
      <alignment horizontal="right" vertical="center"/>
      <protection locked="0"/>
    </xf>
    <xf numFmtId="41" fontId="4" fillId="5" borderId="37" xfId="9488" applyFont="1" applyFill="1" applyBorder="1" applyAlignment="1" applyProtection="1">
      <alignment horizontal="right" vertical="center"/>
      <protection locked="0"/>
    </xf>
    <xf numFmtId="41" fontId="5" fillId="0" borderId="50" xfId="9488" applyFont="1" applyFill="1" applyBorder="1" applyAlignment="1" applyProtection="1">
      <alignment horizontal="right" vertical="center"/>
      <protection locked="0"/>
    </xf>
    <xf numFmtId="41" fontId="10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6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6" xfId="9488" applyFont="1" applyFill="1" applyBorder="1" applyAlignment="1" applyProtection="1">
      <alignment horizontal="left" vertical="center"/>
      <protection locked="0"/>
    </xf>
    <xf numFmtId="41" fontId="12" fillId="0" borderId="8" xfId="9488" applyFont="1" applyFill="1" applyBorder="1" applyAlignment="1" applyProtection="1">
      <alignment horizontal="left" vertical="center"/>
      <protection locked="0"/>
    </xf>
    <xf numFmtId="41" fontId="12" fillId="0" borderId="8" xfId="9488" applyFont="1" applyBorder="1" applyAlignment="1" applyProtection="1">
      <alignment horizontal="left" vertical="center"/>
      <protection locked="0"/>
    </xf>
    <xf numFmtId="41" fontId="12" fillId="0" borderId="8" xfId="9488" applyFont="1" applyBorder="1" applyAlignment="1" applyProtection="1">
      <alignment horizontal="right" vertical="center"/>
      <protection locked="0"/>
    </xf>
    <xf numFmtId="41" fontId="12" fillId="0" borderId="8" xfId="9488" applyFont="1" applyFill="1" applyBorder="1" applyAlignment="1" applyProtection="1">
      <alignment horizontal="right" vertical="center"/>
      <protection locked="0"/>
    </xf>
    <xf numFmtId="41" fontId="12" fillId="0" borderId="32" xfId="9488" applyFont="1" applyFill="1" applyBorder="1" applyAlignment="1" applyProtection="1">
      <alignment horizontal="right" vertical="center"/>
      <protection locked="0"/>
    </xf>
    <xf numFmtId="41" fontId="12" fillId="2" borderId="38" xfId="9488" applyFont="1" applyFill="1" applyBorder="1" applyAlignment="1" applyProtection="1">
      <alignment horizontal="right" vertical="center"/>
      <protection locked="0"/>
    </xf>
    <xf numFmtId="41" fontId="12" fillId="5" borderId="8" xfId="9488" applyFont="1" applyFill="1" applyBorder="1" applyAlignment="1" applyProtection="1">
      <alignment horizontal="right" vertical="center"/>
      <protection locked="0"/>
    </xf>
    <xf numFmtId="41" fontId="12" fillId="5" borderId="32" xfId="9488" applyFont="1" applyFill="1" applyBorder="1" applyAlignment="1" applyProtection="1">
      <alignment horizontal="right" vertical="center"/>
      <protection locked="0"/>
    </xf>
    <xf numFmtId="41" fontId="4" fillId="0" borderId="35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12" fillId="0" borderId="27" xfId="9488" applyFont="1" applyBorder="1" applyAlignment="1" applyProtection="1">
      <alignment horizontal="left" vertical="center"/>
      <protection locked="0"/>
    </xf>
    <xf numFmtId="41" fontId="12" fillId="0" borderId="27" xfId="9488" applyFont="1" applyFill="1" applyBorder="1" applyAlignment="1" applyProtection="1">
      <alignment horizontal="right" vertical="center"/>
      <protection locked="0"/>
    </xf>
    <xf numFmtId="41" fontId="12" fillId="0" borderId="41" xfId="9488" applyFont="1" applyFill="1" applyBorder="1" applyAlignment="1" applyProtection="1">
      <alignment horizontal="right" vertical="center"/>
      <protection locked="0"/>
    </xf>
    <xf numFmtId="41" fontId="4" fillId="0" borderId="34" xfId="9488" applyFont="1" applyFill="1" applyBorder="1" applyAlignment="1" applyProtection="1">
      <alignment horizontal="right" vertical="center"/>
      <protection locked="0"/>
    </xf>
    <xf numFmtId="176" fontId="12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2" fillId="0" borderId="27" xfId="9488" applyNumberFormat="1" applyFont="1" applyBorder="1" applyAlignment="1" applyProtection="1">
      <alignment horizontal="right" vertical="center"/>
      <protection locked="0"/>
    </xf>
    <xf numFmtId="176" fontId="4" fillId="0" borderId="27" xfId="9488" applyNumberFormat="1" applyFont="1" applyBorder="1" applyAlignment="1" applyProtection="1">
      <alignment horizontal="right" vertical="center"/>
      <protection locked="0"/>
    </xf>
    <xf numFmtId="177" fontId="12" fillId="0" borderId="8" xfId="9488" applyNumberFormat="1" applyFont="1" applyBorder="1" applyAlignment="1" applyProtection="1">
      <alignment horizontal="right" vertical="center"/>
      <protection locked="0"/>
    </xf>
    <xf numFmtId="41" fontId="15" fillId="0" borderId="29" xfId="9488" applyFont="1" applyBorder="1">
      <alignment vertical="center"/>
    </xf>
    <xf numFmtId="41" fontId="6" fillId="0" borderId="40" xfId="9488" applyFont="1" applyBorder="1">
      <alignment vertical="center"/>
    </xf>
    <xf numFmtId="41" fontId="15" fillId="0" borderId="15" xfId="9488" applyFont="1" applyBorder="1">
      <alignment vertical="center"/>
    </xf>
    <xf numFmtId="41" fontId="10" fillId="0" borderId="48" xfId="9488" applyFont="1" applyBorder="1">
      <alignment vertical="center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53" xfId="9488" applyFont="1" applyFill="1" applyBorder="1" applyAlignment="1" applyProtection="1">
      <alignment horizontal="right" vertical="center"/>
      <protection locked="0"/>
    </xf>
    <xf numFmtId="41" fontId="4" fillId="4" borderId="54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10" fillId="0" borderId="23" xfId="9488" applyFont="1" applyBorder="1">
      <alignment vertical="center"/>
    </xf>
    <xf numFmtId="41" fontId="4" fillId="3" borderId="17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2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2" xfId="9488" applyFont="1" applyFill="1" applyBorder="1" applyAlignment="1" applyProtection="1">
      <alignment horizontal="right" vertical="center"/>
      <protection locked="0"/>
    </xf>
    <xf numFmtId="41" fontId="4" fillId="5" borderId="33" xfId="9488" applyFont="1" applyFill="1" applyBorder="1" applyAlignment="1" applyProtection="1">
      <alignment horizontal="right" vertical="center"/>
      <protection locked="0"/>
    </xf>
    <xf numFmtId="41" fontId="4" fillId="5" borderId="37" xfId="9488" applyFont="1" applyFill="1" applyBorder="1" applyAlignment="1" applyProtection="1">
      <alignment horizontal="right" vertical="center"/>
      <protection locked="0"/>
    </xf>
    <xf numFmtId="41" fontId="10" fillId="0" borderId="0" xfId="9488" applyFont="1">
      <alignment vertical="center"/>
    </xf>
    <xf numFmtId="41" fontId="12" fillId="5" borderId="8" xfId="9488" applyFont="1" applyFill="1" applyBorder="1" applyAlignment="1" applyProtection="1">
      <alignment horizontal="right" vertical="center"/>
      <protection locked="0"/>
    </xf>
    <xf numFmtId="41" fontId="12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8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9" xfId="9488" applyNumberFormat="1" applyFont="1" applyFill="1" applyBorder="1" applyAlignment="1" applyProtection="1">
      <alignment horizontal="right" vertical="center"/>
      <protection locked="0"/>
    </xf>
    <xf numFmtId="178" fontId="4" fillId="2" borderId="38" xfId="9488" applyNumberFormat="1" applyFont="1" applyFill="1" applyBorder="1" applyAlignment="1" applyProtection="1">
      <alignment horizontal="right" vertical="center"/>
      <protection locked="0"/>
    </xf>
    <xf numFmtId="41" fontId="12" fillId="5" borderId="32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41" xfId="9488" applyNumberFormat="1" applyFont="1" applyFill="1" applyBorder="1" applyAlignment="1" applyProtection="1">
      <alignment horizontal="right" vertical="center"/>
      <protection locked="0"/>
    </xf>
    <xf numFmtId="41" fontId="12" fillId="5" borderId="8" xfId="9488" applyNumberFormat="1" applyFont="1" applyFill="1" applyBorder="1" applyAlignment="1" applyProtection="1">
      <alignment horizontal="right" vertical="center"/>
      <protection locked="0"/>
    </xf>
    <xf numFmtId="41" fontId="4" fillId="5" borderId="42" xfId="9488" applyNumberFormat="1" applyFont="1" applyFill="1" applyBorder="1" applyAlignment="1" applyProtection="1">
      <alignment horizontal="right" vertical="center"/>
      <protection locked="0"/>
    </xf>
    <xf numFmtId="41" fontId="4" fillId="0" borderId="29" xfId="9488" applyFont="1" applyFill="1" applyBorder="1" applyAlignment="1" applyProtection="1">
      <alignment horizontal="right" vertical="center"/>
      <protection locked="0"/>
    </xf>
    <xf numFmtId="41" fontId="4" fillId="0" borderId="16" xfId="9488" applyFont="1" applyFill="1" applyBorder="1" applyAlignment="1" applyProtection="1">
      <alignment horizontal="right" vertical="center"/>
      <protection locked="0"/>
    </xf>
    <xf numFmtId="41" fontId="4" fillId="0" borderId="36" xfId="9488" applyFont="1" applyFill="1" applyBorder="1" applyAlignment="1" applyProtection="1">
      <alignment horizontal="right" vertical="center"/>
      <protection locked="0"/>
    </xf>
    <xf numFmtId="178" fontId="6" fillId="0" borderId="0" xfId="1" applyNumberFormat="1">
      <alignment vertical="center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27" xfId="9488" applyNumberFormat="1" applyFont="1" applyFill="1" applyBorder="1" applyAlignment="1" applyProtection="1">
      <alignment horizontal="right" vertical="center"/>
      <protection locked="0"/>
    </xf>
    <xf numFmtId="41" fontId="4" fillId="5" borderId="32" xfId="9488" applyNumberFormat="1" applyFont="1" applyFill="1" applyBorder="1" applyAlignment="1" applyProtection="1">
      <alignment horizontal="right" vertical="center"/>
      <protection locked="0"/>
    </xf>
    <xf numFmtId="41" fontId="4" fillId="5" borderId="26" xfId="9488" applyNumberFormat="1" applyFont="1" applyFill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9" xfId="9488" applyFont="1" applyFill="1" applyBorder="1" applyAlignment="1" applyProtection="1">
      <alignment horizontal="right" vertical="center"/>
      <protection locked="0"/>
    </xf>
    <xf numFmtId="41" fontId="4" fillId="3" borderId="13" xfId="9488" applyFont="1" applyFill="1" applyBorder="1" applyAlignment="1" applyProtection="1">
      <alignment horizontal="right" vertical="center"/>
      <protection locked="0"/>
    </xf>
    <xf numFmtId="41" fontId="4" fillId="3" borderId="54" xfId="9488" applyFont="1" applyFill="1" applyBorder="1" applyAlignment="1" applyProtection="1">
      <alignment horizontal="right" vertical="center"/>
      <protection locked="0"/>
    </xf>
    <xf numFmtId="41" fontId="4" fillId="3" borderId="53" xfId="9488" applyFont="1" applyFill="1" applyBorder="1" applyAlignment="1" applyProtection="1">
      <alignment horizontal="right" vertical="center"/>
      <protection locked="0"/>
    </xf>
    <xf numFmtId="41" fontId="4" fillId="3" borderId="52" xfId="9488" applyFont="1" applyFill="1" applyBorder="1" applyAlignment="1" applyProtection="1">
      <alignment horizontal="right" vertical="center"/>
      <protection locked="0"/>
    </xf>
    <xf numFmtId="41" fontId="4" fillId="3" borderId="51" xfId="9488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9" xfId="9488" applyNumberFormat="1" applyFont="1" applyFill="1" applyBorder="1" applyAlignment="1" applyProtection="1">
      <alignment horizontal="right" vertical="center"/>
      <protection locked="0"/>
    </xf>
    <xf numFmtId="178" fontId="4" fillId="2" borderId="21" xfId="9488" applyNumberFormat="1" applyFont="1" applyFill="1" applyBorder="1" applyAlignment="1" applyProtection="1">
      <alignment horizontal="right" vertical="center"/>
      <protection locked="0"/>
    </xf>
    <xf numFmtId="178" fontId="12" fillId="2" borderId="38" xfId="9488" applyNumberFormat="1" applyFont="1" applyFill="1" applyBorder="1" applyAlignment="1" applyProtection="1">
      <alignment horizontal="right" vertical="center"/>
      <protection locked="0"/>
    </xf>
    <xf numFmtId="41" fontId="4" fillId="5" borderId="37" xfId="9488" applyNumberFormat="1" applyFont="1" applyFill="1" applyBorder="1" applyAlignment="1" applyProtection="1">
      <alignment horizontal="right" vertical="center"/>
      <protection locked="0"/>
    </xf>
    <xf numFmtId="41" fontId="4" fillId="5" borderId="33" xfId="9488" applyNumberFormat="1" applyFont="1" applyFill="1" applyBorder="1" applyAlignment="1" applyProtection="1">
      <alignment horizontal="right" vertical="center"/>
      <protection locked="0"/>
    </xf>
    <xf numFmtId="176" fontId="4" fillId="2" borderId="21" xfId="9488" applyNumberFormat="1" applyFont="1" applyFill="1" applyBorder="1" applyAlignment="1" applyProtection="1">
      <alignment horizontal="right" vertical="center"/>
      <protection locked="0"/>
    </xf>
    <xf numFmtId="176" fontId="12" fillId="2" borderId="38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6" fillId="0" borderId="0" xfId="1" applyNumberFormat="1">
      <alignment vertical="center"/>
    </xf>
    <xf numFmtId="41" fontId="4" fillId="6" borderId="51" xfId="9488" applyFont="1" applyFill="1" applyBorder="1" applyAlignment="1" applyProtection="1">
      <alignment horizontal="right" vertical="center"/>
    </xf>
    <xf numFmtId="41" fontId="4" fillId="6" borderId="52" xfId="9488" applyFont="1" applyFill="1" applyBorder="1" applyAlignment="1" applyProtection="1">
      <alignment horizontal="right" vertical="center"/>
    </xf>
    <xf numFmtId="41" fontId="4" fillId="6" borderId="54" xfId="9488" applyFont="1" applyFill="1" applyBorder="1" applyAlignment="1" applyProtection="1">
      <alignment horizontal="right" vertical="center"/>
    </xf>
    <xf numFmtId="41" fontId="10" fillId="0" borderId="55" xfId="9488" applyFont="1" applyBorder="1">
      <alignment vertical="center"/>
    </xf>
    <xf numFmtId="41" fontId="4" fillId="8" borderId="51" xfId="9488" applyFont="1" applyFill="1" applyBorder="1" applyAlignment="1" applyProtection="1">
      <alignment horizontal="right" vertical="center"/>
      <protection locked="0"/>
    </xf>
    <xf numFmtId="41" fontId="4" fillId="8" borderId="52" xfId="9488" applyFont="1" applyFill="1" applyBorder="1" applyAlignment="1" applyProtection="1">
      <alignment horizontal="right" vertical="center"/>
      <protection locked="0"/>
    </xf>
    <xf numFmtId="41" fontId="4" fillId="8" borderId="54" xfId="9488" applyFont="1" applyFill="1" applyBorder="1" applyAlignment="1" applyProtection="1">
      <alignment horizontal="right" vertical="center"/>
      <protection locked="0"/>
    </xf>
    <xf numFmtId="41" fontId="6" fillId="0" borderId="56" xfId="9488" applyFont="1" applyBorder="1">
      <alignment vertical="center"/>
    </xf>
    <xf numFmtId="41" fontId="10" fillId="0" borderId="3" xfId="9488" applyFont="1" applyBorder="1">
      <alignment vertical="center"/>
    </xf>
    <xf numFmtId="41" fontId="19" fillId="0" borderId="0" xfId="0" applyNumberFormat="1" applyFont="1">
      <alignment vertical="center"/>
    </xf>
    <xf numFmtId="0" fontId="6" fillId="0" borderId="0" xfId="1" applyAlignment="1">
      <alignment vertical="center"/>
    </xf>
    <xf numFmtId="41" fontId="20" fillId="0" borderId="46" xfId="9488" applyFont="1" applyBorder="1" applyAlignment="1" applyProtection="1">
      <alignment horizontal="center" vertical="center"/>
      <protection locked="0"/>
    </xf>
    <xf numFmtId="41" fontId="22" fillId="0" borderId="2" xfId="9488" applyFont="1" applyBorder="1" applyAlignment="1">
      <alignment horizontal="center" vertical="center"/>
    </xf>
    <xf numFmtId="41" fontId="20" fillId="2" borderId="4" xfId="9488" applyFont="1" applyFill="1" applyBorder="1" applyAlignment="1" applyProtection="1">
      <alignment horizontal="center" vertical="center" wrapText="1"/>
      <protection locked="0"/>
    </xf>
    <xf numFmtId="41" fontId="20" fillId="5" borderId="3" xfId="9488" applyFont="1" applyFill="1" applyBorder="1" applyAlignment="1" applyProtection="1">
      <alignment horizontal="center" vertical="center" wrapText="1"/>
      <protection locked="0"/>
    </xf>
    <xf numFmtId="41" fontId="20" fillId="5" borderId="30" xfId="9488" applyFont="1" applyFill="1" applyBorder="1" applyAlignment="1" applyProtection="1">
      <alignment horizontal="center" vertical="center" wrapText="1"/>
      <protection locked="0"/>
    </xf>
    <xf numFmtId="41" fontId="20" fillId="5" borderId="45" xfId="9488" applyFont="1" applyFill="1" applyBorder="1" applyAlignment="1" applyProtection="1">
      <alignment horizontal="center" vertical="center" wrapText="1"/>
      <protection locked="0"/>
    </xf>
    <xf numFmtId="41" fontId="20" fillId="4" borderId="4" xfId="9488" applyFont="1" applyFill="1" applyBorder="1" applyAlignment="1" applyProtection="1">
      <alignment horizontal="center" vertical="center" wrapText="1"/>
      <protection locked="0"/>
    </xf>
    <xf numFmtId="41" fontId="20" fillId="3" borderId="4" xfId="9488" applyFont="1" applyFill="1" applyBorder="1" applyAlignment="1" applyProtection="1">
      <alignment horizontal="center" vertical="center" wrapText="1"/>
      <protection locked="0"/>
    </xf>
    <xf numFmtId="41" fontId="20" fillId="0" borderId="5" xfId="9488" applyFont="1" applyFill="1" applyBorder="1" applyAlignment="1" applyProtection="1">
      <alignment horizontal="center" vertical="center" wrapText="1"/>
      <protection locked="0"/>
    </xf>
    <xf numFmtId="41" fontId="20" fillId="0" borderId="4" xfId="9488" applyFont="1" applyFill="1" applyBorder="1" applyAlignment="1" applyProtection="1">
      <alignment horizontal="center" vertical="center" wrapText="1"/>
      <protection locked="0"/>
    </xf>
    <xf numFmtId="41" fontId="20" fillId="0" borderId="3" xfId="9488" applyFont="1" applyFill="1" applyBorder="1" applyAlignment="1" applyProtection="1">
      <alignment horizontal="center" vertical="center" wrapText="1"/>
      <protection locked="0"/>
    </xf>
    <xf numFmtId="41" fontId="20" fillId="0" borderId="6" xfId="9488" applyFont="1" applyFill="1" applyBorder="1" applyAlignment="1" applyProtection="1">
      <alignment horizontal="center" vertical="center" wrapText="1"/>
      <protection locked="0"/>
    </xf>
    <xf numFmtId="41" fontId="20" fillId="6" borderId="4" xfId="9488" applyFont="1" applyFill="1" applyBorder="1" applyAlignment="1" applyProtection="1">
      <alignment horizontal="center" vertical="center" wrapText="1"/>
      <protection locked="0"/>
    </xf>
    <xf numFmtId="41" fontId="20" fillId="7" borderId="4" xfId="9488" applyFont="1" applyFill="1" applyBorder="1" applyAlignment="1" applyProtection="1">
      <alignment horizontal="center" vertical="center" wrapText="1"/>
      <protection locked="0"/>
    </xf>
    <xf numFmtId="41" fontId="20" fillId="0" borderId="3" xfId="9488" applyFont="1" applyFill="1" applyBorder="1" applyAlignment="1" applyProtection="1">
      <alignment horizontal="center" vertical="center"/>
      <protection locked="0"/>
    </xf>
    <xf numFmtId="41" fontId="24" fillId="0" borderId="7" xfId="9488" applyFont="1" applyBorder="1" applyAlignment="1">
      <alignment horizontal="center" vertical="center"/>
    </xf>
    <xf numFmtId="41" fontId="22" fillId="0" borderId="43" xfId="9488" applyFont="1" applyBorder="1" applyAlignment="1">
      <alignment horizontal="center" vertical="center"/>
    </xf>
    <xf numFmtId="41" fontId="22" fillId="0" borderId="7" xfId="9488" applyFont="1" applyBorder="1" applyAlignment="1">
      <alignment horizontal="center" vertical="center" wrapText="1"/>
    </xf>
    <xf numFmtId="41" fontId="22" fillId="0" borderId="43" xfId="9488" applyFont="1" applyBorder="1" applyAlignment="1">
      <alignment horizontal="center" vertical="center" wrapText="1"/>
    </xf>
    <xf numFmtId="41" fontId="26" fillId="0" borderId="31" xfId="9488" applyFont="1" applyBorder="1">
      <alignment vertical="center"/>
    </xf>
    <xf numFmtId="41" fontId="12" fillId="0" borderId="25" xfId="9488" applyFont="1" applyBorder="1">
      <alignment vertical="center"/>
    </xf>
    <xf numFmtId="41" fontId="12" fillId="0" borderId="9" xfId="9488" applyFont="1" applyBorder="1">
      <alignment vertical="center"/>
    </xf>
    <xf numFmtId="41" fontId="26" fillId="0" borderId="42" xfId="9488" applyFont="1" applyBorder="1">
      <alignment vertical="center"/>
    </xf>
    <xf numFmtId="41" fontId="12" fillId="0" borderId="36" xfId="9488" applyFont="1" applyBorder="1">
      <alignment vertical="center"/>
    </xf>
    <xf numFmtId="41" fontId="26" fillId="0" borderId="37" xfId="9488" applyFont="1" applyBorder="1">
      <alignment vertical="center"/>
    </xf>
    <xf numFmtId="41" fontId="26" fillId="0" borderId="56" xfId="9488" applyFont="1" applyBorder="1">
      <alignment vertical="center"/>
    </xf>
    <xf numFmtId="41" fontId="26" fillId="0" borderId="40" xfId="9488" applyFont="1" applyBorder="1">
      <alignment vertical="center"/>
    </xf>
    <xf numFmtId="41" fontId="26" fillId="0" borderId="35" xfId="9488" applyFont="1" applyBorder="1">
      <alignment vertical="center"/>
    </xf>
    <xf numFmtId="41" fontId="26" fillId="0" borderId="9" xfId="9488" applyFont="1" applyBorder="1" applyAlignment="1">
      <alignment horizontal="center" vertical="center"/>
    </xf>
    <xf numFmtId="41" fontId="26" fillId="0" borderId="40" xfId="9488" applyFont="1" applyBorder="1" applyAlignment="1">
      <alignment horizontal="center" vertical="center"/>
    </xf>
    <xf numFmtId="41" fontId="26" fillId="0" borderId="36" xfId="9488" applyFont="1" applyBorder="1" applyAlignment="1">
      <alignment horizontal="center" vertical="center"/>
    </xf>
    <xf numFmtId="41" fontId="26" fillId="0" borderId="35" xfId="9488" applyFont="1" applyBorder="1" applyAlignment="1">
      <alignment horizontal="center" vertical="center"/>
    </xf>
    <xf numFmtId="176" fontId="4" fillId="0" borderId="33" xfId="9488" applyNumberFormat="1" applyFont="1" applyBorder="1" applyAlignment="1" applyProtection="1">
      <alignment horizontal="right" vertical="center"/>
      <protection locked="0"/>
    </xf>
    <xf numFmtId="41" fontId="26" fillId="0" borderId="57" xfId="9488" applyFont="1" applyBorder="1">
      <alignment vertical="center"/>
    </xf>
    <xf numFmtId="41" fontId="4" fillId="0" borderId="58" xfId="9488" applyFont="1" applyBorder="1" applyAlignment="1" applyProtection="1">
      <alignment horizontal="left" vertical="center"/>
      <protection locked="0"/>
    </xf>
    <xf numFmtId="41" fontId="14" fillId="0" borderId="27" xfId="9488" applyFont="1" applyBorder="1" applyAlignment="1" applyProtection="1">
      <alignment horizontal="left" vertical="center"/>
      <protection locked="0"/>
    </xf>
    <xf numFmtId="41" fontId="10" fillId="0" borderId="59" xfId="9488" applyFont="1" applyBorder="1">
      <alignment vertical="center"/>
    </xf>
    <xf numFmtId="41" fontId="10" fillId="0" borderId="60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41" fontId="21" fillId="0" borderId="46" xfId="9488" applyFont="1" applyBorder="1" applyAlignment="1" applyProtection="1">
      <alignment horizontal="center" vertical="center" wrapText="1"/>
      <protection locked="0"/>
    </xf>
    <xf numFmtId="41" fontId="21" fillId="0" borderId="30" xfId="9488" applyFont="1" applyFill="1" applyBorder="1" applyAlignment="1" applyProtection="1">
      <alignment horizontal="center" vertical="center" wrapText="1"/>
      <protection locked="0"/>
    </xf>
    <xf numFmtId="41" fontId="21" fillId="8" borderId="4" xfId="9488" applyFont="1" applyFill="1" applyBorder="1" applyAlignment="1" applyProtection="1">
      <alignment horizontal="center" vertical="center" wrapText="1"/>
      <protection locked="0"/>
    </xf>
    <xf numFmtId="41" fontId="4" fillId="6" borderId="11" xfId="9488" applyFont="1" applyFill="1" applyBorder="1" applyAlignment="1" applyProtection="1">
      <alignment horizontal="right" vertical="center"/>
    </xf>
    <xf numFmtId="41" fontId="4" fillId="6" borderId="49" xfId="9488" applyFont="1" applyFill="1" applyBorder="1" applyAlignment="1" applyProtection="1">
      <alignment horizontal="right" vertical="center"/>
    </xf>
    <xf numFmtId="41" fontId="4" fillId="6" borderId="50" xfId="9488" applyFont="1" applyFill="1" applyBorder="1" applyAlignment="1" applyProtection="1">
      <alignment horizontal="right" vertical="center"/>
    </xf>
    <xf numFmtId="41" fontId="4" fillId="0" borderId="61" xfId="9488" applyFont="1" applyFill="1" applyBorder="1" applyAlignment="1" applyProtection="1">
      <alignment horizontal="right" vertical="center"/>
      <protection locked="0"/>
    </xf>
    <xf numFmtId="41" fontId="4" fillId="0" borderId="62" xfId="9488" applyFont="1" applyFill="1" applyBorder="1" applyAlignment="1" applyProtection="1">
      <alignment horizontal="right" vertical="center"/>
      <protection locked="0"/>
    </xf>
    <xf numFmtId="0" fontId="27" fillId="0" borderId="0" xfId="0" applyFont="1">
      <alignment vertical="center"/>
    </xf>
    <xf numFmtId="41" fontId="14" fillId="0" borderId="8" xfId="9488" applyFont="1" applyFill="1" applyBorder="1" applyAlignment="1" applyProtection="1">
      <alignment horizontal="left" vertical="center"/>
      <protection locked="0"/>
    </xf>
    <xf numFmtId="41" fontId="4" fillId="2" borderId="38" xfId="7" applyFont="1" applyFill="1" applyBorder="1" applyAlignment="1" applyProtection="1">
      <alignment horizontal="right" vertical="center"/>
      <protection locked="0"/>
    </xf>
    <xf numFmtId="41" fontId="30" fillId="9" borderId="63" xfId="9488" applyNumberFormat="1" applyFont="1" applyFill="1" applyBorder="1" applyAlignment="1" applyProtection="1">
      <alignment horizontal="right" vertical="center"/>
      <protection locked="0"/>
    </xf>
    <xf numFmtId="41" fontId="30" fillId="9" borderId="64" xfId="9488" applyNumberFormat="1" applyFont="1" applyFill="1" applyBorder="1" applyAlignment="1" applyProtection="1">
      <alignment horizontal="right" vertical="center"/>
      <protection locked="0"/>
    </xf>
    <xf numFmtId="41" fontId="30" fillId="9" borderId="65" xfId="9488" applyNumberFormat="1" applyFont="1" applyFill="1" applyBorder="1" applyAlignment="1" applyProtection="1">
      <alignment horizontal="right" vertical="center"/>
      <protection locked="0"/>
    </xf>
    <xf numFmtId="41" fontId="30" fillId="9" borderId="66" xfId="9488" applyNumberFormat="1" applyFont="1" applyFill="1" applyBorder="1" applyAlignment="1" applyProtection="1">
      <alignment horizontal="right" vertical="center"/>
      <protection locked="0"/>
    </xf>
    <xf numFmtId="41" fontId="4" fillId="5" borderId="26" xfId="9488" quotePrefix="1" applyFont="1" applyFill="1" applyBorder="1" applyAlignment="1" applyProtection="1">
      <alignment horizontal="right" vertical="center"/>
      <protection locked="0"/>
    </xf>
    <xf numFmtId="41" fontId="4" fillId="5" borderId="14" xfId="9488" applyFont="1" applyFill="1" applyBorder="1" applyAlignment="1" applyProtection="1">
      <alignment horizontal="right" vertical="center"/>
      <protection locked="0"/>
    </xf>
    <xf numFmtId="41" fontId="12" fillId="0" borderId="16" xfId="9488" applyFont="1" applyBorder="1">
      <alignment vertical="center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4" fillId="2" borderId="17" xfId="9488" applyFont="1" applyFill="1" applyBorder="1" applyAlignment="1" applyProtection="1">
      <alignment horizontal="right" vertical="center"/>
      <protection locked="0"/>
    </xf>
    <xf numFmtId="41" fontId="4" fillId="5" borderId="67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6" borderId="68" xfId="9488" applyFont="1" applyFill="1" applyBorder="1" applyAlignment="1" applyProtection="1">
      <alignment horizontal="right" vertical="center"/>
    </xf>
    <xf numFmtId="41" fontId="4" fillId="6" borderId="13" xfId="9488" applyFont="1" applyFill="1" applyBorder="1" applyAlignment="1" applyProtection="1">
      <alignment horizontal="right" vertical="center"/>
    </xf>
    <xf numFmtId="41" fontId="4" fillId="8" borderId="13" xfId="9488" applyFont="1" applyFill="1" applyBorder="1" applyAlignment="1" applyProtection="1">
      <alignment horizontal="right" vertical="center"/>
      <protection locked="0"/>
    </xf>
    <xf numFmtId="41" fontId="4" fillId="7" borderId="17" xfId="9488" applyFont="1" applyFill="1" applyBorder="1" applyAlignment="1" applyProtection="1">
      <alignment horizontal="right" vertical="center"/>
      <protection locked="0"/>
    </xf>
    <xf numFmtId="41" fontId="5" fillId="0" borderId="68" xfId="9488" applyFont="1" applyFill="1" applyBorder="1" applyAlignment="1" applyProtection="1">
      <alignment horizontal="right" vertical="center"/>
      <protection locked="0"/>
    </xf>
    <xf numFmtId="41" fontId="7" fillId="0" borderId="0" xfId="9488" applyFont="1" applyAlignment="1">
      <alignment horizontal="left" vertical="center"/>
    </xf>
    <xf numFmtId="41" fontId="22" fillId="0" borderId="9" xfId="9488" applyFont="1" applyBorder="1" applyAlignment="1">
      <alignment horizontal="center" vertical="center"/>
    </xf>
    <xf numFmtId="41" fontId="22" fillId="0" borderId="25" xfId="9488" applyFont="1" applyBorder="1" applyAlignment="1">
      <alignment horizontal="center" vertical="center"/>
    </xf>
    <xf numFmtId="41" fontId="22" fillId="0" borderId="36" xfId="9488" applyFont="1" applyBorder="1" applyAlignment="1">
      <alignment horizontal="center" vertical="center"/>
    </xf>
    <xf numFmtId="41" fontId="8" fillId="0" borderId="9" xfId="9488" applyFont="1" applyBorder="1" applyAlignment="1">
      <alignment horizontal="center" vertical="center"/>
    </xf>
    <xf numFmtId="41" fontId="8" fillId="0" borderId="25" xfId="9488" applyFont="1" applyBorder="1" applyAlignment="1">
      <alignment horizontal="center" vertical="center"/>
    </xf>
    <xf numFmtId="41" fontId="8" fillId="0" borderId="36" xfId="9488" applyFont="1" applyBorder="1" applyAlignment="1">
      <alignment horizontal="center" vertical="center"/>
    </xf>
    <xf numFmtId="41" fontId="22" fillId="0" borderId="29" xfId="9488" applyFont="1" applyBorder="1" applyAlignment="1">
      <alignment horizontal="center" vertical="center"/>
    </xf>
    <xf numFmtId="41" fontId="22" fillId="0" borderId="2" xfId="9488" applyFont="1" applyBorder="1" applyAlignment="1">
      <alignment horizontal="center" vertical="center"/>
    </xf>
    <xf numFmtId="41" fontId="22" fillId="0" borderId="15" xfId="9488" applyFont="1" applyBorder="1" applyAlignment="1">
      <alignment horizontal="center" vertical="center"/>
    </xf>
    <xf numFmtId="41" fontId="22" fillId="0" borderId="24" xfId="9488" applyFont="1" applyBorder="1" applyAlignment="1">
      <alignment horizontal="center" vertical="center"/>
    </xf>
    <xf numFmtId="41" fontId="26" fillId="0" borderId="2" xfId="9488" applyFont="1" applyBorder="1" applyAlignment="1">
      <alignment horizontal="center" vertical="center"/>
    </xf>
    <xf numFmtId="41" fontId="26" fillId="0" borderId="24" xfId="9488" applyFont="1" applyBorder="1" applyAlignment="1">
      <alignment horizontal="center" vertical="center"/>
    </xf>
    <xf numFmtId="41" fontId="26" fillId="0" borderId="15" xfId="9488" applyFont="1" applyBorder="1" applyAlignment="1">
      <alignment horizontal="center" vertical="center"/>
    </xf>
    <xf numFmtId="41" fontId="26" fillId="0" borderId="47" xfId="9488" applyFont="1" applyBorder="1" applyAlignment="1">
      <alignment horizontal="center" vertical="center"/>
    </xf>
    <xf numFmtId="41" fontId="26" fillId="0" borderId="44" xfId="9488" applyFont="1" applyBorder="1" applyAlignment="1">
      <alignment horizontal="center" vertical="center"/>
    </xf>
    <xf numFmtId="41" fontId="26" fillId="0" borderId="69" xfId="9488" applyFont="1" applyBorder="1" applyAlignment="1">
      <alignment horizontal="center" vertical="center"/>
    </xf>
    <xf numFmtId="41" fontId="6" fillId="0" borderId="9" xfId="9488" applyFont="1" applyBorder="1" applyAlignment="1">
      <alignment horizontal="center" vertical="center"/>
    </xf>
    <xf numFmtId="41" fontId="6" fillId="0" borderId="25" xfId="9488" applyFont="1" applyBorder="1" applyAlignment="1">
      <alignment horizontal="center" vertical="center"/>
    </xf>
    <xf numFmtId="41" fontId="6" fillId="0" borderId="36" xfId="9488" applyFont="1" applyBorder="1" applyAlignment="1">
      <alignment horizontal="center" vertical="center"/>
    </xf>
    <xf numFmtId="41" fontId="26" fillId="0" borderId="40" xfId="9488" applyFont="1" applyBorder="1" applyAlignment="1">
      <alignment horizontal="center" vertical="center"/>
    </xf>
    <xf numFmtId="41" fontId="26" fillId="0" borderId="35" xfId="9488" applyFont="1" applyBorder="1" applyAlignment="1">
      <alignment horizontal="center" vertical="center"/>
    </xf>
    <xf numFmtId="41" fontId="26" fillId="0" borderId="34" xfId="9488" applyFont="1" applyBorder="1" applyAlignment="1">
      <alignment horizontal="center" vertical="center"/>
    </xf>
    <xf numFmtId="41" fontId="6" fillId="0" borderId="40" xfId="9488" applyFont="1" applyBorder="1" applyAlignment="1">
      <alignment horizontal="center" vertical="center"/>
    </xf>
    <xf numFmtId="41" fontId="6" fillId="0" borderId="34" xfId="9488" applyFont="1" applyBorder="1" applyAlignment="1">
      <alignment horizontal="center" vertical="center"/>
    </xf>
    <xf numFmtId="41" fontId="6" fillId="0" borderId="35" xfId="9488" applyFont="1" applyBorder="1" applyAlignment="1">
      <alignment horizontal="center" vertical="center"/>
    </xf>
    <xf numFmtId="41" fontId="26" fillId="0" borderId="9" xfId="9488" applyFont="1" applyBorder="1" applyAlignment="1">
      <alignment horizontal="center" vertical="center"/>
    </xf>
    <xf numFmtId="41" fontId="26" fillId="0" borderId="36" xfId="9488" applyFont="1" applyBorder="1" applyAlignment="1">
      <alignment horizontal="center" vertical="center"/>
    </xf>
    <xf numFmtId="41" fontId="26" fillId="0" borderId="25" xfId="9488" applyFont="1" applyBorder="1" applyAlignment="1">
      <alignment horizontal="center" vertical="center"/>
    </xf>
    <xf numFmtId="41" fontId="8" fillId="0" borderId="29" xfId="9488" applyFont="1" applyBorder="1" applyAlignment="1">
      <alignment horizontal="center" vertical="center"/>
    </xf>
    <xf numFmtId="41" fontId="8" fillId="0" borderId="2" xfId="9488" applyFont="1" applyBorder="1" applyAlignment="1">
      <alignment horizontal="center" vertical="center"/>
    </xf>
    <xf numFmtId="41" fontId="8" fillId="0" borderId="24" xfId="9488" applyFont="1" applyBorder="1" applyAlignment="1">
      <alignment horizontal="center" vertical="center"/>
    </xf>
    <xf numFmtId="41" fontId="8" fillId="0" borderId="15" xfId="9488" applyFont="1" applyBorder="1" applyAlignment="1">
      <alignment horizontal="center" vertical="center"/>
    </xf>
  </cellXfs>
  <cellStyles count="45957">
    <cellStyle name="백분율 2" xfId="30709"/>
    <cellStyle name="백분율 2 2" xfId="30712"/>
    <cellStyle name="백분율 3" xfId="30715"/>
    <cellStyle name="백분율 3 2" xfId="30720"/>
    <cellStyle name="백분율 3 2 2" xfId="30725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2">
    <dxf>
      <font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190500</xdr:rowOff>
    </xdr:from>
    <xdr:to>
      <xdr:col>7</xdr:col>
      <xdr:colOff>647700</xdr:colOff>
      <xdr:row>29</xdr:row>
      <xdr:rowOff>190500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050"/>
          <a:ext cx="54483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28575</xdr:rowOff>
    </xdr:from>
    <xdr:to>
      <xdr:col>7</xdr:col>
      <xdr:colOff>638175</xdr:colOff>
      <xdr:row>11</xdr:row>
      <xdr:rowOff>66675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38125"/>
          <a:ext cx="5419725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7</xdr:col>
      <xdr:colOff>638175</xdr:colOff>
      <xdr:row>20</xdr:row>
      <xdr:rowOff>200025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"/>
          <a:ext cx="5438775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69"/>
  <sheetViews>
    <sheetView tabSelected="1" topLeftCell="D33" zoomScale="70" zoomScaleNormal="70" workbookViewId="0">
      <selection activeCell="V69" sqref="V69"/>
    </sheetView>
  </sheetViews>
  <sheetFormatPr defaultRowHeight="16.5"/>
  <cols>
    <col min="1" max="1" width="20.5" bestFit="1" customWidth="1"/>
    <col min="2" max="2" width="24.375" customWidth="1"/>
    <col min="3" max="3" width="14.875" customWidth="1"/>
    <col min="4" max="4" width="6" customWidth="1"/>
    <col min="5" max="27" width="11.625" customWidth="1"/>
    <col min="28" max="28" width="13" customWidth="1"/>
    <col min="29" max="29" width="13.25" customWidth="1"/>
  </cols>
  <sheetData>
    <row r="1" spans="1:29">
      <c r="A1" s="229" t="s">
        <v>146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1"/>
      <c r="AA1" s="1"/>
      <c r="AB1" s="1"/>
      <c r="AC1" s="1"/>
    </row>
    <row r="2" spans="1:29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1"/>
      <c r="AA2" s="1"/>
      <c r="AB2" s="1"/>
      <c r="AC2" s="1"/>
    </row>
    <row r="3" spans="1:29" ht="17.25" thickBot="1">
      <c r="A3" s="16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 t="s">
        <v>0</v>
      </c>
      <c r="W3" s="1"/>
      <c r="X3" s="3"/>
      <c r="Y3" s="1"/>
      <c r="Z3" s="1"/>
      <c r="AA3" s="1"/>
      <c r="AB3" s="1"/>
      <c r="AC3" s="1"/>
    </row>
    <row r="4" spans="1:29" ht="26.25" thickBot="1">
      <c r="A4" s="163" t="s">
        <v>107</v>
      </c>
      <c r="B4" s="162" t="s">
        <v>2</v>
      </c>
      <c r="C4" s="162" t="s">
        <v>3</v>
      </c>
      <c r="D4" s="162" t="s">
        <v>4</v>
      </c>
      <c r="E4" s="201" t="s">
        <v>124</v>
      </c>
      <c r="F4" s="202" t="s">
        <v>125</v>
      </c>
      <c r="G4" s="202" t="s">
        <v>126</v>
      </c>
      <c r="H4" s="164" t="s">
        <v>127</v>
      </c>
      <c r="I4" s="165" t="s">
        <v>128</v>
      </c>
      <c r="J4" s="166" t="s">
        <v>129</v>
      </c>
      <c r="K4" s="166" t="s">
        <v>130</v>
      </c>
      <c r="L4" s="167" t="s">
        <v>131</v>
      </c>
      <c r="M4" s="166" t="s">
        <v>132</v>
      </c>
      <c r="N4" s="168" t="s">
        <v>133</v>
      </c>
      <c r="O4" s="169" t="s">
        <v>134</v>
      </c>
      <c r="P4" s="170" t="s">
        <v>135</v>
      </c>
      <c r="Q4" s="171" t="s">
        <v>136</v>
      </c>
      <c r="R4" s="171" t="s">
        <v>137</v>
      </c>
      <c r="S4" s="172" t="s">
        <v>138</v>
      </c>
      <c r="T4" s="173" t="s">
        <v>139</v>
      </c>
      <c r="U4" s="174" t="s">
        <v>140</v>
      </c>
      <c r="V4" s="174" t="s">
        <v>141</v>
      </c>
      <c r="W4" s="203" t="s">
        <v>142</v>
      </c>
      <c r="X4" s="175" t="s">
        <v>143</v>
      </c>
      <c r="Y4" s="176" t="s">
        <v>108</v>
      </c>
      <c r="Z4" s="177" t="s">
        <v>109</v>
      </c>
      <c r="AA4" s="178" t="s">
        <v>110</v>
      </c>
      <c r="AB4" s="179" t="s">
        <v>111</v>
      </c>
      <c r="AC4" s="180" t="s">
        <v>112</v>
      </c>
    </row>
    <row r="5" spans="1:29">
      <c r="A5" s="237" t="s">
        <v>113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>
        <v>4000</v>
      </c>
      <c r="I5" s="98"/>
      <c r="J5" s="99"/>
      <c r="K5" s="99">
        <v>0</v>
      </c>
      <c r="L5" s="99">
        <v>0</v>
      </c>
      <c r="M5" s="100"/>
      <c r="N5" s="91">
        <f>I5+J5+K5+L5+M5</f>
        <v>0</v>
      </c>
      <c r="O5" s="140">
        <f>E5*N5</f>
        <v>0</v>
      </c>
      <c r="P5" s="135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16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16">
        <f>캠퍼스타운_외부원두영업!K5+잇다카페_외부원두영업!K5+푸른솔!K5+의과대학!K5+중앙도서관!K5+학생회관!K5+멀티미디어관!K5+제2기숙사!K5+선승관!K5+예술디자인대!K5+공학관!K5</f>
        <v>0</v>
      </c>
      <c r="S5" s="16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53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204">
        <f>P5+Q5+R5+S5+T5</f>
        <v>0</v>
      </c>
      <c r="V5" s="151">
        <f>E5*U5</f>
        <v>0</v>
      </c>
      <c r="W5" s="155">
        <f>(H5+N5)-U5</f>
        <v>4000</v>
      </c>
      <c r="X5" s="23">
        <f t="shared" ref="X5:X37" si="0">E5*W5</f>
        <v>148000</v>
      </c>
      <c r="Y5" s="47"/>
      <c r="Z5" s="182">
        <v>0</v>
      </c>
      <c r="AA5" s="184">
        <f t="shared" ref="AA5:AA40" si="1">Z5*E5</f>
        <v>0</v>
      </c>
      <c r="AB5" s="240">
        <f>SUM(AA5:AA39)</f>
        <v>0</v>
      </c>
      <c r="AC5" s="243">
        <f>AB5*1.1</f>
        <v>0</v>
      </c>
    </row>
    <row r="6" spans="1:29">
      <c r="A6" s="239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211">
        <v>2000</v>
      </c>
      <c r="I6" s="104"/>
      <c r="J6" s="105"/>
      <c r="K6" s="105">
        <v>6000</v>
      </c>
      <c r="L6" s="105">
        <v>0</v>
      </c>
      <c r="M6" s="106"/>
      <c r="N6" s="92">
        <f t="shared" ref="N6:N67" si="2">I6+J6+K6+L6+M6</f>
        <v>6000</v>
      </c>
      <c r="O6" s="139">
        <f t="shared" ref="O6:O67" si="3">E6*N6</f>
        <v>258000</v>
      </c>
      <c r="P6" s="134">
        <f>캠퍼스타운_외부원두영업!I6+잇다카페_외부원두영업!I6+푸른솔!I6+의과대학!I6+중앙도서관!I6+학생회관!I6+멀티미디어관!I6+제2기숙사!I6+선승관!I6+예술디자인대!I6+공학관!I6</f>
        <v>0</v>
      </c>
      <c r="Q6" s="36">
        <f>캠퍼스타운_외부원두영업!J6+잇다카페_외부원두영업!J6+푸른솔!J6+의과대학!J6+중앙도서관!J6+학생회관!J6+멀티미디어관!J6+제2기숙사!J6+선승관!J6+예술디자인대!J6+공학관!J6</f>
        <v>1000</v>
      </c>
      <c r="R6" s="36">
        <f>캠퍼스타운_외부원두영업!K6+잇다카페_외부원두영업!K6+푸른솔!K6+의과대학!K6+중앙도서관!K6+학생회관!K6+멀티미디어관!K6+제2기숙사!K6+선승관!K6+예술디자인대!K6+공학관!K6</f>
        <v>1000</v>
      </c>
      <c r="S6" s="36">
        <f>캠퍼스타운_외부원두영업!L6+잇다카페_외부원두영업!L6+푸른솔!L6+의과대학!L6+중앙도서관!L6+학생회관!L6+멀티미디어관!L6+제2기숙사!L6+선승관!L6+예술디자인대!L6+공학관!L6</f>
        <v>2000</v>
      </c>
      <c r="T6" s="81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205">
        <f>P6+Q6+R6+S6+T6</f>
        <v>4000</v>
      </c>
      <c r="V6" s="152">
        <f t="shared" ref="V6:V67" si="4">E6*U6</f>
        <v>172000</v>
      </c>
      <c r="W6" s="156">
        <f t="shared" ref="W6:W67" si="5">(H6+N6)-U6</f>
        <v>4000</v>
      </c>
      <c r="X6" s="43">
        <f t="shared" si="0"/>
        <v>172000</v>
      </c>
      <c r="Y6" s="45"/>
      <c r="Z6" s="182">
        <v>0</v>
      </c>
      <c r="AA6" s="181">
        <f t="shared" si="1"/>
        <v>0</v>
      </c>
      <c r="AB6" s="241"/>
      <c r="AC6" s="244"/>
    </row>
    <row r="7" spans="1:29">
      <c r="A7" s="239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38">
        <v>7000</v>
      </c>
      <c r="I7" s="104"/>
      <c r="J7" s="105"/>
      <c r="K7" s="105">
        <v>0</v>
      </c>
      <c r="L7" s="105">
        <v>0</v>
      </c>
      <c r="M7" s="106"/>
      <c r="N7" s="92">
        <f t="shared" si="2"/>
        <v>0</v>
      </c>
      <c r="O7" s="139">
        <f t="shared" si="3"/>
        <v>0</v>
      </c>
      <c r="P7" s="134">
        <f>캠퍼스타운_외부원두영업!I7+잇다카페_외부원두영업!I7+푸른솔!I7+의과대학!I7+중앙도서관!I7+학생회관!I7+멀티미디어관!I7+제2기숙사!I7+선승관!I7+예술디자인대!I7+공학관!I7</f>
        <v>0</v>
      </c>
      <c r="Q7" s="36">
        <f>캠퍼스타운_외부원두영업!J7+잇다카페_외부원두영업!J7+푸른솔!J7+의과대학!J7+중앙도서관!J7+학생회관!J7+멀티미디어관!J7+제2기숙사!J7+선승관!J7+예술디자인대!J7+공학관!J7</f>
        <v>0</v>
      </c>
      <c r="R7" s="36">
        <f>캠퍼스타운_외부원두영업!K7+잇다카페_외부원두영업!K7+푸른솔!K7+의과대학!K7+중앙도서관!K7+학생회관!K7+멀티미디어관!K7+제2기숙사!K7+선승관!K7+예술디자인대!K7+공학관!K7</f>
        <v>1000</v>
      </c>
      <c r="S7" s="36">
        <f>캠퍼스타운_외부원두영업!L7+잇다카페_외부원두영업!L7+푸른솔!L7+의과대학!L7+중앙도서관!L7+학생회관!L7+멀티미디어관!L7+제2기숙사!L7+선승관!L7+예술디자인대!L7+공학관!L7</f>
        <v>2000</v>
      </c>
      <c r="T7" s="81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205">
        <f t="shared" ref="U7:U67" si="6">P7+Q7+R7+S7+T7</f>
        <v>3000</v>
      </c>
      <c r="V7" s="152">
        <f t="shared" si="4"/>
        <v>60000</v>
      </c>
      <c r="W7" s="156">
        <f t="shared" si="5"/>
        <v>4000</v>
      </c>
      <c r="X7" s="43">
        <f t="shared" si="0"/>
        <v>80000</v>
      </c>
      <c r="Y7" s="45"/>
      <c r="Z7" s="182">
        <v>0</v>
      </c>
      <c r="AA7" s="181">
        <f t="shared" si="1"/>
        <v>0</v>
      </c>
      <c r="AB7" s="241"/>
      <c r="AC7" s="244"/>
    </row>
    <row r="8" spans="1:29">
      <c r="A8" s="239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73">
        <v>0</v>
      </c>
      <c r="I8" s="104"/>
      <c r="J8" s="112"/>
      <c r="K8" s="112">
        <v>0</v>
      </c>
      <c r="L8" s="112">
        <v>0</v>
      </c>
      <c r="M8" s="113"/>
      <c r="N8" s="92">
        <f t="shared" si="2"/>
        <v>0</v>
      </c>
      <c r="O8" s="139">
        <f t="shared" si="3"/>
        <v>0</v>
      </c>
      <c r="P8" s="134">
        <f>캠퍼스타운_외부원두영업!I8+잇다카페_외부원두영업!I8+푸른솔!I8+의과대학!I8+중앙도서관!I8+학생회관!I8+멀티미디어관!I8+제2기숙사!I8+선승관!I8+예술디자인대!I8+공학관!I8</f>
        <v>0</v>
      </c>
      <c r="Q8" s="36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36">
        <f>캠퍼스타운_외부원두영업!K8+잇다카페_외부원두영업!K8+푸른솔!K8+의과대학!K8+중앙도서관!K8+학생회관!K8+멀티미디어관!K8+제2기숙사!K8+선승관!K8+예술디자인대!K8+공학관!K8</f>
        <v>0</v>
      </c>
      <c r="S8" s="36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81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205">
        <f t="shared" si="6"/>
        <v>0</v>
      </c>
      <c r="V8" s="152">
        <f t="shared" si="4"/>
        <v>0</v>
      </c>
      <c r="W8" s="156">
        <f t="shared" si="5"/>
        <v>0</v>
      </c>
      <c r="X8" s="43">
        <f t="shared" si="0"/>
        <v>0</v>
      </c>
      <c r="Y8" s="45"/>
      <c r="Z8" s="182">
        <v>0</v>
      </c>
      <c r="AA8" s="181">
        <f t="shared" si="1"/>
        <v>0</v>
      </c>
      <c r="AB8" s="241"/>
      <c r="AC8" s="244"/>
    </row>
    <row r="9" spans="1:29">
      <c r="A9" s="239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38">
        <v>17000</v>
      </c>
      <c r="I9" s="104"/>
      <c r="J9" s="105"/>
      <c r="K9" s="105">
        <v>5000</v>
      </c>
      <c r="L9" s="105">
        <v>7000</v>
      </c>
      <c r="M9" s="106"/>
      <c r="N9" s="92">
        <f t="shared" si="2"/>
        <v>12000</v>
      </c>
      <c r="O9" s="139">
        <f t="shared" si="3"/>
        <v>636000</v>
      </c>
      <c r="P9" s="134">
        <f>캠퍼스타운_외부원두영업!I9+잇다카페_외부원두영업!I9+푸른솔!I9+의과대학!I9+중앙도서관!I9+학생회관!I9+멀티미디어관!I9+제2기숙사!I9+선승관!I9+예술디자인대!I9+공학관!I9</f>
        <v>1000</v>
      </c>
      <c r="Q9" s="36">
        <f>캠퍼스타운_외부원두영업!J9+잇다카페_외부원두영업!J9+푸른솔!J9+의과대학!J9+중앙도서관!J9+학생회관!J9+멀티미디어관!J9+제2기숙사!J9+선승관!J9+예술디자인대!J9+공학관!J9</f>
        <v>6000</v>
      </c>
      <c r="R9" s="36">
        <f>캠퍼스타운_외부원두영업!K9+잇다카페_외부원두영업!K9+푸른솔!K9+의과대학!K9+중앙도서관!K9+학생회관!K9+멀티미디어관!K9+제2기숙사!K9+선승관!K9+예술디자인대!K9+공학관!K9</f>
        <v>4000</v>
      </c>
      <c r="S9" s="36">
        <f>캠퍼스타운_외부원두영업!L9+잇다카페_외부원두영업!L9+푸른솔!L9+의과대학!L9+중앙도서관!L9+학생회관!L9+멀티미디어관!L9+제2기숙사!L9+선승관!L9+예술디자인대!L9+공학관!L9</f>
        <v>3000</v>
      </c>
      <c r="T9" s="81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205">
        <f t="shared" si="6"/>
        <v>14000</v>
      </c>
      <c r="V9" s="152">
        <f t="shared" si="4"/>
        <v>742000</v>
      </c>
      <c r="W9" s="156">
        <f t="shared" si="5"/>
        <v>15000</v>
      </c>
      <c r="X9" s="43">
        <f t="shared" si="0"/>
        <v>795000</v>
      </c>
      <c r="Y9" s="45"/>
      <c r="Z9" s="182">
        <v>0</v>
      </c>
      <c r="AA9" s="181">
        <f t="shared" si="1"/>
        <v>0</v>
      </c>
      <c r="AB9" s="241"/>
      <c r="AC9" s="244"/>
    </row>
    <row r="10" spans="1:29">
      <c r="A10" s="239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38">
        <v>7000</v>
      </c>
      <c r="I10" s="104"/>
      <c r="J10" s="105"/>
      <c r="K10" s="105">
        <v>0</v>
      </c>
      <c r="L10" s="105">
        <v>0</v>
      </c>
      <c r="M10" s="106"/>
      <c r="N10" s="92">
        <f t="shared" si="2"/>
        <v>0</v>
      </c>
      <c r="O10" s="139">
        <f t="shared" si="3"/>
        <v>0</v>
      </c>
      <c r="P10" s="134">
        <f>캠퍼스타운_외부원두영업!I10+잇다카페_외부원두영업!I10+푸른솔!I10+의과대학!I10+중앙도서관!I10+학생회관!I10+멀티미디어관!I10+제2기숙사!I10+선승관!I10+예술디자인대!I10+공학관!I10</f>
        <v>0</v>
      </c>
      <c r="Q10" s="36">
        <f>캠퍼스타운_외부원두영업!J10+잇다카페_외부원두영업!J10+푸른솔!J10+의과대학!J10+중앙도서관!J10+학생회관!J10+멀티미디어관!J10+제2기숙사!J10+선승관!J10+예술디자인대!J10+공학관!J10</f>
        <v>0</v>
      </c>
      <c r="R10" s="36">
        <f>캠퍼스타운_외부원두영업!K10+잇다카페_외부원두영업!K10+푸른솔!K10+의과대학!K10+중앙도서관!K10+학생회관!K10+멀티미디어관!K10+제2기숙사!K10+선승관!K10+예술디자인대!K10+공학관!K10</f>
        <v>1000</v>
      </c>
      <c r="S10" s="36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81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205">
        <f t="shared" si="6"/>
        <v>1000</v>
      </c>
      <c r="V10" s="152">
        <f t="shared" si="4"/>
        <v>65000</v>
      </c>
      <c r="W10" s="156">
        <f t="shared" si="5"/>
        <v>6000</v>
      </c>
      <c r="X10" s="43">
        <f t="shared" si="0"/>
        <v>390000</v>
      </c>
      <c r="Y10" s="45"/>
      <c r="Z10" s="182">
        <v>0</v>
      </c>
      <c r="AA10" s="181">
        <f t="shared" si="1"/>
        <v>0</v>
      </c>
      <c r="AB10" s="241"/>
      <c r="AC10" s="244"/>
    </row>
    <row r="11" spans="1:29" ht="15.75" customHeight="1">
      <c r="A11" s="239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73">
        <v>16000</v>
      </c>
      <c r="I11" s="104"/>
      <c r="J11" s="112"/>
      <c r="K11" s="112">
        <v>6000</v>
      </c>
      <c r="L11" s="112">
        <v>8000</v>
      </c>
      <c r="M11" s="113"/>
      <c r="N11" s="92">
        <f t="shared" si="2"/>
        <v>14000</v>
      </c>
      <c r="O11" s="139">
        <f t="shared" si="3"/>
        <v>259000</v>
      </c>
      <c r="P11" s="134">
        <f>캠퍼스타운_외부원두영업!I11+잇다카페_외부원두영업!I11+푸른솔!I11+의과대학!I11+중앙도서관!I11+학생회관!I11+멀티미디어관!I11+제2기숙사!I11+선승관!I11+예술디자인대!I11+공학관!I11</f>
        <v>1000</v>
      </c>
      <c r="Q11" s="36">
        <f>캠퍼스타운_외부원두영업!J11+잇다카페_외부원두영업!J11+푸른솔!J11+의과대학!J11+중앙도서관!J11+학생회관!J11+멀티미디어관!J11+제2기숙사!J11+선승관!J11+예술디자인대!J11+공학관!J11</f>
        <v>6000</v>
      </c>
      <c r="R11" s="36">
        <f>캠퍼스타운_외부원두영업!K11+잇다카페_외부원두영업!K11+푸른솔!K11+의과대학!K11+중앙도서관!K11+학생회관!K11+멀티미디어관!K11+제2기숙사!K11+선승관!K11+예술디자인대!K11+공학관!K11</f>
        <v>4000</v>
      </c>
      <c r="S11" s="36">
        <f>캠퍼스타운_외부원두영업!L11+잇다카페_외부원두영업!L11+푸른솔!L11+의과대학!L11+중앙도서관!L11+학생회관!L11+멀티미디어관!L11+제2기숙사!L11+선승관!L11+예술디자인대!L11+공학관!L11</f>
        <v>4000</v>
      </c>
      <c r="T11" s="81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205">
        <f t="shared" si="6"/>
        <v>15000</v>
      </c>
      <c r="V11" s="152">
        <f t="shared" si="4"/>
        <v>277500</v>
      </c>
      <c r="W11" s="156">
        <f t="shared" si="5"/>
        <v>15000</v>
      </c>
      <c r="X11" s="43">
        <f t="shared" si="0"/>
        <v>277500</v>
      </c>
      <c r="Y11" s="45"/>
      <c r="Z11" s="182">
        <v>0</v>
      </c>
      <c r="AA11" s="181">
        <f t="shared" si="1"/>
        <v>0</v>
      </c>
      <c r="AB11" s="241"/>
      <c r="AC11" s="244"/>
    </row>
    <row r="12" spans="1:29">
      <c r="A12" s="239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38">
        <v>8000</v>
      </c>
      <c r="I12" s="104"/>
      <c r="J12" s="105"/>
      <c r="K12" s="105">
        <v>0</v>
      </c>
      <c r="L12" s="105">
        <v>0</v>
      </c>
      <c r="M12" s="106"/>
      <c r="N12" s="92">
        <f t="shared" si="2"/>
        <v>0</v>
      </c>
      <c r="O12" s="139">
        <f t="shared" si="3"/>
        <v>0</v>
      </c>
      <c r="P12" s="134">
        <f>캠퍼스타운_외부원두영업!I12+잇다카페_외부원두영업!I12+푸른솔!I12+의과대학!I12+중앙도서관!I12+학생회관!I12+멀티미디어관!I12+제2기숙사!I12+선승관!I12+예술디자인대!I12+공학관!I12</f>
        <v>0</v>
      </c>
      <c r="Q12" s="36">
        <f>캠퍼스타운_외부원두영업!J12+잇다카페_외부원두영업!J12+푸른솔!J12+의과대학!J12+중앙도서관!J12+학생회관!J12+멀티미디어관!J12+제2기숙사!J12+선승관!J12+예술디자인대!J12+공학관!J12</f>
        <v>0</v>
      </c>
      <c r="R12" s="36">
        <f>캠퍼스타운_외부원두영업!K12+잇다카페_외부원두영업!K12+푸른솔!K12+의과대학!K12+중앙도서관!K12+학생회관!K12+멀티미디어관!K12+제2기숙사!K12+선승관!K12+예술디자인대!K12+공학관!K12</f>
        <v>0</v>
      </c>
      <c r="S12" s="36">
        <f>캠퍼스타운_외부원두영업!L12+잇다카페_외부원두영업!L12+푸른솔!L12+의과대학!L12+중앙도서관!L12+학생회관!L12+멀티미디어관!L12+제2기숙사!L12+선승관!L12+예술디자인대!L12+공학관!L12</f>
        <v>1000</v>
      </c>
      <c r="T12" s="81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205">
        <f t="shared" si="6"/>
        <v>1000</v>
      </c>
      <c r="V12" s="152">
        <f t="shared" si="4"/>
        <v>20000</v>
      </c>
      <c r="W12" s="156">
        <f t="shared" si="5"/>
        <v>7000</v>
      </c>
      <c r="X12" s="43">
        <f t="shared" si="0"/>
        <v>140000</v>
      </c>
      <c r="Y12" s="45"/>
      <c r="Z12" s="182">
        <v>0</v>
      </c>
      <c r="AA12" s="181">
        <f t="shared" si="1"/>
        <v>0</v>
      </c>
      <c r="AB12" s="241"/>
      <c r="AC12" s="244"/>
    </row>
    <row r="13" spans="1:29">
      <c r="A13" s="239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38">
        <v>0</v>
      </c>
      <c r="I13" s="104"/>
      <c r="J13" s="105"/>
      <c r="K13" s="105">
        <v>0</v>
      </c>
      <c r="L13" s="105">
        <v>0</v>
      </c>
      <c r="M13" s="106"/>
      <c r="N13" s="92">
        <f t="shared" si="2"/>
        <v>0</v>
      </c>
      <c r="O13" s="139">
        <f t="shared" si="3"/>
        <v>0</v>
      </c>
      <c r="P13" s="134">
        <f>캠퍼스타운_외부원두영업!I13+잇다카페_외부원두영업!I13+푸른솔!I13+의과대학!I13+중앙도서관!I13+학생회관!I13+멀티미디어관!I13+제2기숙사!I13+선승관!I13+예술디자인대!I13+공학관!I13</f>
        <v>0</v>
      </c>
      <c r="Q13" s="36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36">
        <f>캠퍼스타운_외부원두영업!K13+잇다카페_외부원두영업!K13+푸른솔!K13+의과대학!K13+중앙도서관!K13+학생회관!K13+멀티미디어관!K13+제2기숙사!K13+선승관!K13+예술디자인대!K13+공학관!K13</f>
        <v>0</v>
      </c>
      <c r="S13" s="36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81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205">
        <f t="shared" si="6"/>
        <v>0</v>
      </c>
      <c r="V13" s="152">
        <f t="shared" si="4"/>
        <v>0</v>
      </c>
      <c r="W13" s="156">
        <f t="shared" si="5"/>
        <v>0</v>
      </c>
      <c r="X13" s="43">
        <f t="shared" si="0"/>
        <v>0</v>
      </c>
      <c r="Y13" s="45"/>
      <c r="Z13" s="182">
        <v>0</v>
      </c>
      <c r="AA13" s="181">
        <f t="shared" si="1"/>
        <v>0</v>
      </c>
      <c r="AB13" s="241"/>
      <c r="AC13" s="244"/>
    </row>
    <row r="14" spans="1:29">
      <c r="A14" s="239"/>
      <c r="B14" s="66" t="s">
        <v>161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38">
        <v>4000</v>
      </c>
      <c r="I14" s="104"/>
      <c r="J14" s="105"/>
      <c r="K14" s="105">
        <v>0</v>
      </c>
      <c r="L14" s="105">
        <v>0</v>
      </c>
      <c r="M14" s="106"/>
      <c r="N14" s="92">
        <f t="shared" si="2"/>
        <v>0</v>
      </c>
      <c r="O14" s="139">
        <f t="shared" si="3"/>
        <v>0</v>
      </c>
      <c r="P14" s="134">
        <f>캠퍼스타운_외부원두영업!I14+잇다카페_외부원두영업!I14+푸른솔!I14+의과대학!I14+중앙도서관!I14+학생회관!I14+멀티미디어관!I14+제2기숙사!I14+선승관!I14+예술디자인대!I14+공학관!I14</f>
        <v>0</v>
      </c>
      <c r="Q14" s="36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36">
        <f>캠퍼스타운_외부원두영업!K14+잇다카페_외부원두영업!K14+푸른솔!K14+의과대학!K14+중앙도서관!K14+학생회관!K14+멀티미디어관!K14+제2기숙사!K14+선승관!K14+예술디자인대!K14+공학관!K14</f>
        <v>0</v>
      </c>
      <c r="S14" s="36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81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205">
        <f t="shared" si="6"/>
        <v>0</v>
      </c>
      <c r="V14" s="152">
        <f t="shared" si="4"/>
        <v>0</v>
      </c>
      <c r="W14" s="156">
        <f t="shared" si="5"/>
        <v>4000</v>
      </c>
      <c r="X14" s="43">
        <f t="shared" si="0"/>
        <v>70000</v>
      </c>
      <c r="Y14" s="45"/>
      <c r="Z14" s="182">
        <v>0</v>
      </c>
      <c r="AA14" s="181">
        <f t="shared" si="1"/>
        <v>0</v>
      </c>
      <c r="AB14" s="241"/>
      <c r="AC14" s="244"/>
    </row>
    <row r="15" spans="1:29">
      <c r="A15" s="239"/>
      <c r="B15" s="66" t="s">
        <v>160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38">
        <v>20000</v>
      </c>
      <c r="I15" s="104"/>
      <c r="J15" s="105"/>
      <c r="K15" s="105">
        <v>7000</v>
      </c>
      <c r="L15" s="105">
        <v>15000</v>
      </c>
      <c r="M15" s="106"/>
      <c r="N15" s="92">
        <f t="shared" si="2"/>
        <v>22000</v>
      </c>
      <c r="O15" s="139">
        <f t="shared" si="3"/>
        <v>396000</v>
      </c>
      <c r="P15" s="134">
        <f>캠퍼스타운_외부원두영업!I15+잇다카페_외부원두영업!I15+푸른솔!I15+의과대학!I15+중앙도서관!I15+학생회관!I15+멀티미디어관!I15+제2기숙사!I15+선승관!I15+예술디자인대!I15+공학관!I15</f>
        <v>2000</v>
      </c>
      <c r="Q15" s="36">
        <f>캠퍼스타운_외부원두영업!J15+잇다카페_외부원두영업!J15+푸른솔!J15+의과대학!J15+중앙도서관!J15+학생회관!J15+멀티미디어관!J15+제2기숙사!J15+선승관!J15+예술디자인대!J15+공학관!J15</f>
        <v>5000</v>
      </c>
      <c r="R15" s="36">
        <f>캠퍼스타운_외부원두영업!K15+잇다카페_외부원두영업!K15+푸른솔!K15+의과대학!K15+중앙도서관!K15+학생회관!K15+멀티미디어관!K15+제2기숙사!K15+선승관!K15+예술디자인대!K15+공학관!K15</f>
        <v>5000</v>
      </c>
      <c r="S15" s="36">
        <f>캠퍼스타운_외부원두영업!L15+잇다카페_외부원두영업!L15+푸른솔!L15+의과대학!L15+중앙도서관!L15+학생회관!L15+멀티미디어관!L15+제2기숙사!L15+선승관!L15+예술디자인대!L15+공학관!L15</f>
        <v>6000</v>
      </c>
      <c r="T15" s="81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205">
        <f t="shared" si="6"/>
        <v>18000</v>
      </c>
      <c r="V15" s="152">
        <f t="shared" si="4"/>
        <v>324000</v>
      </c>
      <c r="W15" s="156">
        <f t="shared" si="5"/>
        <v>24000</v>
      </c>
      <c r="X15" s="43">
        <f t="shared" si="0"/>
        <v>432000</v>
      </c>
      <c r="Y15" s="45"/>
      <c r="Z15" s="182">
        <v>0</v>
      </c>
      <c r="AA15" s="181">
        <f t="shared" si="1"/>
        <v>0</v>
      </c>
      <c r="AB15" s="241"/>
      <c r="AC15" s="244"/>
    </row>
    <row r="16" spans="1:29">
      <c r="A16" s="239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38">
        <v>18500</v>
      </c>
      <c r="I16" s="104"/>
      <c r="J16" s="105"/>
      <c r="K16" s="105">
        <v>0</v>
      </c>
      <c r="L16" s="105">
        <v>0</v>
      </c>
      <c r="M16" s="106"/>
      <c r="N16" s="92">
        <f t="shared" si="2"/>
        <v>0</v>
      </c>
      <c r="O16" s="139">
        <f t="shared" si="3"/>
        <v>0</v>
      </c>
      <c r="P16" s="134">
        <f>캠퍼스타운_외부원두영업!I16+잇다카페_외부원두영업!I16+푸른솔!I16+의과대학!I16+중앙도서관!I16+학생회관!I16+멀티미디어관!I16+제2기숙사!I16+선승관!I16+예술디자인대!I16+공학관!I16</f>
        <v>500</v>
      </c>
      <c r="Q16" s="36">
        <f>캠퍼스타운_외부원두영업!J16+잇다카페_외부원두영업!J16+푸른솔!J16+의과대학!J16+중앙도서관!J16+학생회관!J16+멀티미디어관!J16+제2기숙사!J16+선승관!J16+예술디자인대!J16+공학관!J16</f>
        <v>2500</v>
      </c>
      <c r="R16" s="36">
        <f>캠퍼스타운_외부원두영업!K16+잇다카페_외부원두영업!K16+푸른솔!K16+의과대학!K16+중앙도서관!K16+학생회관!K16+멀티미디어관!K16+제2기숙사!K16+선승관!K16+예술디자인대!K16+공학관!K16</f>
        <v>2000</v>
      </c>
      <c r="S16" s="36">
        <f>캠퍼스타운_외부원두영업!L16+잇다카페_외부원두영업!L16+푸른솔!L16+의과대학!L16+중앙도서관!L16+학생회관!L16+멀티미디어관!L16+제2기숙사!L16+선승관!L16+예술디자인대!L16+공학관!L16</f>
        <v>2500</v>
      </c>
      <c r="T16" s="81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205">
        <f t="shared" si="6"/>
        <v>7500</v>
      </c>
      <c r="V16" s="152">
        <f t="shared" si="4"/>
        <v>51750</v>
      </c>
      <c r="W16" s="156">
        <f t="shared" si="5"/>
        <v>11000</v>
      </c>
      <c r="X16" s="43">
        <f t="shared" si="0"/>
        <v>75900</v>
      </c>
      <c r="Y16" s="45"/>
      <c r="Z16" s="182">
        <v>0</v>
      </c>
      <c r="AA16" s="181">
        <f t="shared" si="1"/>
        <v>0</v>
      </c>
      <c r="AB16" s="241"/>
      <c r="AC16" s="244"/>
    </row>
    <row r="17" spans="1:29">
      <c r="A17" s="239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73">
        <v>3600</v>
      </c>
      <c r="I17" s="104"/>
      <c r="J17" s="112"/>
      <c r="K17" s="105">
        <v>0</v>
      </c>
      <c r="L17" s="112">
        <v>0</v>
      </c>
      <c r="M17" s="113"/>
      <c r="N17" s="92">
        <f t="shared" si="2"/>
        <v>0</v>
      </c>
      <c r="O17" s="139">
        <f t="shared" si="3"/>
        <v>0</v>
      </c>
      <c r="P17" s="134">
        <f>캠퍼스타운_외부원두영업!I17+잇다카페_외부원두영업!I17+푸른솔!I17+의과대학!I17+중앙도서관!I17+학생회관!I17+멀티미디어관!I17+제2기숙사!I17+선승관!I17+예술디자인대!I17+공학관!I17</f>
        <v>0</v>
      </c>
      <c r="Q17" s="36">
        <f>캠퍼스타운_외부원두영업!J17+잇다카페_외부원두영업!J17+푸른솔!J17+의과대학!J17+중앙도서관!J17+학생회관!J17+멀티미디어관!J17+제2기숙사!J17+선승관!J17+예술디자인대!J17+공학관!J17</f>
        <v>200</v>
      </c>
      <c r="R17" s="36">
        <f>캠퍼스타운_외부원두영업!K17+잇다카페_외부원두영업!K17+푸른솔!K17+의과대학!K17+중앙도서관!K17+학생회관!K17+멀티미디어관!K17+제2기숙사!K17+선승관!K17+예술디자인대!K17+공학관!K17</f>
        <v>200</v>
      </c>
      <c r="S17" s="36">
        <f>캠퍼스타운_외부원두영업!L17+잇다카페_외부원두영업!L17+푸른솔!L17+의과대학!L17+중앙도서관!L17+학생회관!L17+멀티미디어관!L17+제2기숙사!L17+선승관!L17+예술디자인대!L17+공학관!L17</f>
        <v>200</v>
      </c>
      <c r="T17" s="81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205">
        <f t="shared" si="6"/>
        <v>600</v>
      </c>
      <c r="V17" s="152">
        <f t="shared" si="4"/>
        <v>13312.5</v>
      </c>
      <c r="W17" s="156">
        <f t="shared" si="5"/>
        <v>3000</v>
      </c>
      <c r="X17" s="43">
        <f t="shared" si="0"/>
        <v>66562.5</v>
      </c>
      <c r="Y17" s="45"/>
      <c r="Z17" s="182">
        <v>0</v>
      </c>
      <c r="AA17" s="181">
        <f t="shared" si="1"/>
        <v>0</v>
      </c>
      <c r="AB17" s="241"/>
      <c r="AC17" s="244"/>
    </row>
    <row r="18" spans="1:29">
      <c r="A18" s="239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38">
        <v>7500</v>
      </c>
      <c r="I18" s="104"/>
      <c r="J18" s="105"/>
      <c r="K18" s="105">
        <v>0</v>
      </c>
      <c r="L18" s="105">
        <v>10000</v>
      </c>
      <c r="M18" s="106"/>
      <c r="N18" s="92">
        <f t="shared" si="2"/>
        <v>10000</v>
      </c>
      <c r="O18" s="139">
        <f t="shared" si="3"/>
        <v>72000</v>
      </c>
      <c r="P18" s="134">
        <f>캠퍼스타운_외부원두영업!I18+잇다카페_외부원두영업!I18+푸른솔!I18+의과대학!I18+중앙도서관!I18+학생회관!I18+멀티미디어관!I18+제2기숙사!I18+선승관!I18+예술디자인대!I18+공학관!I18</f>
        <v>0</v>
      </c>
      <c r="Q18" s="36">
        <f>캠퍼스타운_외부원두영업!J18+잇다카페_외부원두영업!J18+푸른솔!J18+의과대학!J18+중앙도서관!J18+학생회관!J18+멀티미디어관!J18+제2기숙사!J18+선승관!J18+예술디자인대!J18+공학관!J18</f>
        <v>2000</v>
      </c>
      <c r="R18" s="36">
        <f>캠퍼스타운_외부원두영업!K18+잇다카페_외부원두영업!K18+푸른솔!K18+의과대학!K18+중앙도서관!K18+학생회관!K18+멀티미디어관!K18+제2기숙사!K18+선승관!K18+예술디자인대!K18+공학관!K18</f>
        <v>0</v>
      </c>
      <c r="S18" s="36">
        <f>캠퍼스타운_외부원두영업!L18+잇다카페_외부원두영업!L18+푸른솔!L18+의과대학!L18+중앙도서관!L18+학생회관!L18+멀티미디어관!L18+제2기숙사!L18+선승관!L18+예술디자인대!L18+공학관!L18</f>
        <v>2000</v>
      </c>
      <c r="T18" s="81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205">
        <f t="shared" si="6"/>
        <v>4000</v>
      </c>
      <c r="V18" s="152">
        <f t="shared" si="4"/>
        <v>28800</v>
      </c>
      <c r="W18" s="156">
        <f t="shared" si="5"/>
        <v>13500</v>
      </c>
      <c r="X18" s="43">
        <f t="shared" si="0"/>
        <v>97200</v>
      </c>
      <c r="Y18" s="45"/>
      <c r="Z18" s="182">
        <v>0</v>
      </c>
      <c r="AA18" s="181">
        <f t="shared" si="1"/>
        <v>0</v>
      </c>
      <c r="AB18" s="241"/>
      <c r="AC18" s="244"/>
    </row>
    <row r="19" spans="1:29">
      <c r="A19" s="239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38">
        <v>5250</v>
      </c>
      <c r="I19" s="104"/>
      <c r="J19" s="105"/>
      <c r="K19" s="105">
        <v>0</v>
      </c>
      <c r="L19" s="105">
        <v>0</v>
      </c>
      <c r="M19" s="106"/>
      <c r="N19" s="92">
        <f t="shared" si="2"/>
        <v>0</v>
      </c>
      <c r="O19" s="139">
        <f t="shared" si="3"/>
        <v>0</v>
      </c>
      <c r="P19" s="134">
        <f>캠퍼스타운_외부원두영업!I19+잇다카페_외부원두영업!I19+푸른솔!I19+의과대학!I19+중앙도서관!I19+학생회관!I19+멀티미디어관!I19+제2기숙사!I19+선승관!I19+예술디자인대!I19+공학관!I19</f>
        <v>250</v>
      </c>
      <c r="Q19" s="36">
        <f>캠퍼스타운_외부원두영업!J19+잇다카페_외부원두영업!J19+푸른솔!J19+의과대학!J19+중앙도서관!J19+학생회관!J19+멀티미디어관!J19+제2기숙사!J19+선승관!J19+예술디자인대!J19+공학관!J19</f>
        <v>0</v>
      </c>
      <c r="R19" s="36">
        <f>캠퍼스타운_외부원두영업!K19+잇다카페_외부원두영업!K19+푸른솔!K19+의과대학!K19+중앙도서관!K19+학생회관!K19+멀티미디어관!K19+제2기숙사!K19+선승관!K19+예술디자인대!K19+공학관!K19</f>
        <v>0</v>
      </c>
      <c r="S19" s="36">
        <f>캠퍼스타운_외부원두영업!L19+잇다카페_외부원두영업!L19+푸른솔!L19+의과대학!L19+중앙도서관!L19+학생회관!L19+멀티미디어관!L19+제2기숙사!L19+선승관!L19+예술디자인대!L19+공학관!L19</f>
        <v>250</v>
      </c>
      <c r="T19" s="81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205">
        <f t="shared" si="6"/>
        <v>500</v>
      </c>
      <c r="V19" s="152">
        <f t="shared" si="4"/>
        <v>9000</v>
      </c>
      <c r="W19" s="156">
        <f t="shared" si="5"/>
        <v>4750</v>
      </c>
      <c r="X19" s="43">
        <f t="shared" si="0"/>
        <v>85500</v>
      </c>
      <c r="Y19" s="45"/>
      <c r="Z19" s="182">
        <v>0</v>
      </c>
      <c r="AA19" s="181">
        <f t="shared" si="1"/>
        <v>0</v>
      </c>
      <c r="AB19" s="241"/>
      <c r="AC19" s="244"/>
    </row>
    <row r="20" spans="1:29">
      <c r="A20" s="239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73">
        <v>5000</v>
      </c>
      <c r="I20" s="104"/>
      <c r="J20" s="112"/>
      <c r="K20" s="105">
        <v>0</v>
      </c>
      <c r="L20" s="112">
        <v>0</v>
      </c>
      <c r="M20" s="113"/>
      <c r="N20" s="92">
        <f t="shared" si="2"/>
        <v>0</v>
      </c>
      <c r="O20" s="139">
        <f t="shared" si="3"/>
        <v>0</v>
      </c>
      <c r="P20" s="134">
        <f>캠퍼스타운_외부원두영업!I20+잇다카페_외부원두영업!I20+푸른솔!I20+의과대학!I20+중앙도서관!I20+학생회관!I20+멀티미디어관!I20+제2기숙사!I20+선승관!I20+예술디자인대!I20+공학관!I20</f>
        <v>0</v>
      </c>
      <c r="Q20" s="36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36">
        <f>캠퍼스타운_외부원두영업!K20+잇다카페_외부원두영업!K20+푸른솔!K20+의과대학!K20+중앙도서관!K20+학생회관!K20+멀티미디어관!K20+제2기숙사!K20+선승관!K20+예술디자인대!K20+공학관!K20</f>
        <v>200</v>
      </c>
      <c r="S20" s="36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81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205">
        <f t="shared" si="6"/>
        <v>200</v>
      </c>
      <c r="V20" s="152">
        <f t="shared" si="4"/>
        <v>5340</v>
      </c>
      <c r="W20" s="156">
        <f t="shared" si="5"/>
        <v>4800</v>
      </c>
      <c r="X20" s="43">
        <f t="shared" si="0"/>
        <v>128160</v>
      </c>
      <c r="Y20" s="45"/>
      <c r="Z20" s="182">
        <v>0</v>
      </c>
      <c r="AA20" s="181">
        <f t="shared" si="1"/>
        <v>0</v>
      </c>
      <c r="AB20" s="241"/>
      <c r="AC20" s="244"/>
    </row>
    <row r="21" spans="1:29">
      <c r="A21" s="239"/>
      <c r="B21" s="66" t="s">
        <v>29</v>
      </c>
      <c r="C21" s="34" t="s">
        <v>23</v>
      </c>
      <c r="D21" s="34" t="s">
        <v>6</v>
      </c>
      <c r="E21" s="200">
        <v>22.8125</v>
      </c>
      <c r="F21" s="36">
        <v>3200</v>
      </c>
      <c r="G21" s="37">
        <v>73000</v>
      </c>
      <c r="H21" s="38">
        <v>6200</v>
      </c>
      <c r="I21" s="104"/>
      <c r="J21" s="105"/>
      <c r="K21" s="105">
        <v>0</v>
      </c>
      <c r="L21" s="105">
        <v>0</v>
      </c>
      <c r="M21" s="106"/>
      <c r="N21" s="92">
        <f t="shared" si="2"/>
        <v>0</v>
      </c>
      <c r="O21" s="139">
        <f t="shared" si="3"/>
        <v>0</v>
      </c>
      <c r="P21" s="134">
        <f>캠퍼스타운_외부원두영업!I21+잇다카페_외부원두영업!I21+푸른솔!I21+의과대학!I21+중앙도서관!I21+학생회관!I21+멀티미디어관!I21+제2기숙사!I21+선승관!I21+예술디자인대!I21+공학관!I21</f>
        <v>0</v>
      </c>
      <c r="Q21" s="36">
        <f>캠퍼스타운_외부원두영업!J21+잇다카페_외부원두영업!J21+푸른솔!J21+의과대학!J21+중앙도서관!J21+학생회관!J21+멀티미디어관!J21+제2기숙사!J21+선승관!J21+예술디자인대!J21+공학관!J21</f>
        <v>0</v>
      </c>
      <c r="R21" s="36">
        <f>캠퍼스타운_외부원두영업!K21+잇다카페_외부원두영업!K21+푸른솔!K21+의과대학!K21+중앙도서관!K21+학생회관!K21+멀티미디어관!K21+제2기숙사!K21+선승관!K21+예술디자인대!K21+공학관!K21</f>
        <v>0</v>
      </c>
      <c r="S21" s="36">
        <f>캠퍼스타운_외부원두영업!L21+잇다카페_외부원두영업!L21+푸른솔!L21+의과대학!L21+중앙도서관!L21+학생회관!L21+멀티미디어관!L21+제2기숙사!L21+선승관!L21+예술디자인대!L21+공학관!L21</f>
        <v>0</v>
      </c>
      <c r="T21" s="81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205">
        <f t="shared" si="6"/>
        <v>0</v>
      </c>
      <c r="V21" s="152">
        <f t="shared" si="4"/>
        <v>0</v>
      </c>
      <c r="W21" s="156">
        <f t="shared" si="5"/>
        <v>6200</v>
      </c>
      <c r="X21" s="43">
        <f t="shared" si="0"/>
        <v>141437.5</v>
      </c>
      <c r="Y21" s="45"/>
      <c r="Z21" s="182">
        <v>0</v>
      </c>
      <c r="AA21" s="181">
        <f t="shared" si="1"/>
        <v>0</v>
      </c>
      <c r="AB21" s="241"/>
      <c r="AC21" s="244"/>
    </row>
    <row r="22" spans="1:29">
      <c r="A22" s="239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38">
        <v>600</v>
      </c>
      <c r="I22" s="104"/>
      <c r="J22" s="105"/>
      <c r="K22" s="105">
        <v>400</v>
      </c>
      <c r="L22" s="105">
        <v>400</v>
      </c>
      <c r="M22" s="106"/>
      <c r="N22" s="92">
        <f t="shared" si="2"/>
        <v>800</v>
      </c>
      <c r="O22" s="139">
        <f t="shared" si="3"/>
        <v>90000</v>
      </c>
      <c r="P22" s="134">
        <f>캠퍼스타운_외부원두영업!I22+잇다카페_외부원두영업!I22+푸른솔!I22+의과대학!I22+중앙도서관!I22+학생회관!I22+멀티미디어관!I22+제2기숙사!I22+선승관!I22+예술디자인대!I22+공학관!I22</f>
        <v>0</v>
      </c>
      <c r="Q22" s="36">
        <f>캠퍼스타운_외부원두영업!J22+잇다카페_외부원두영업!J22+푸른솔!J22+의과대학!J22+중앙도서관!J22+학생회관!J22+멀티미디어관!J22+제2기숙사!J22+선승관!J22+예술디자인대!J22+공학관!J22</f>
        <v>0</v>
      </c>
      <c r="R22" s="36">
        <f>캠퍼스타운_외부원두영업!K22+잇다카페_외부원두영업!K22+푸른솔!K22+의과대학!K22+중앙도서관!K22+학생회관!K22+멀티미디어관!K22+제2기숙사!K22+선승관!K22+예술디자인대!K22+공학관!K22</f>
        <v>200</v>
      </c>
      <c r="S22" s="36">
        <f>캠퍼스타운_외부원두영업!L22+잇다카페_외부원두영업!L22+푸른솔!L22+의과대학!L22+중앙도서관!L22+학생회관!L22+멀티미디어관!L22+제2기숙사!L22+선승관!L22+예술디자인대!L22+공학관!L22</f>
        <v>200</v>
      </c>
      <c r="T22" s="81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205">
        <f t="shared" si="6"/>
        <v>400</v>
      </c>
      <c r="V22" s="152">
        <f t="shared" si="4"/>
        <v>45000</v>
      </c>
      <c r="W22" s="156">
        <f t="shared" si="5"/>
        <v>1000</v>
      </c>
      <c r="X22" s="43">
        <f t="shared" si="0"/>
        <v>112500</v>
      </c>
      <c r="Y22" s="45"/>
      <c r="Z22" s="182">
        <v>0</v>
      </c>
      <c r="AA22" s="181">
        <f t="shared" si="1"/>
        <v>0</v>
      </c>
      <c r="AB22" s="241"/>
      <c r="AC22" s="244"/>
    </row>
    <row r="23" spans="1:29">
      <c r="A23" s="239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73">
        <v>40000</v>
      </c>
      <c r="I23" s="104"/>
      <c r="J23" s="112"/>
      <c r="K23" s="105">
        <v>0</v>
      </c>
      <c r="L23" s="112">
        <v>0</v>
      </c>
      <c r="M23" s="113"/>
      <c r="N23" s="92">
        <f t="shared" si="2"/>
        <v>0</v>
      </c>
      <c r="O23" s="139">
        <f t="shared" si="3"/>
        <v>0</v>
      </c>
      <c r="P23" s="134">
        <f>캠퍼스타운_외부원두영업!I23+잇다카페_외부원두영업!I23+푸른솔!I23+의과대학!I23+중앙도서관!I23+학생회관!I23+멀티미디어관!I23+제2기숙사!I23+선승관!I23+예술디자인대!I23+공학관!I23</f>
        <v>0</v>
      </c>
      <c r="Q23" s="36">
        <f>캠퍼스타운_외부원두영업!J23+잇다카페_외부원두영업!J23+푸른솔!J23+의과대학!J23+중앙도서관!J23+학생회관!J23+멀티미디어관!J23+제2기숙사!J23+선승관!J23+예술디자인대!J23+공학관!J23</f>
        <v>0</v>
      </c>
      <c r="R23" s="36">
        <f>캠퍼스타운_외부원두영업!K23+잇다카페_외부원두영업!K23+푸른솔!K23+의과대학!K23+중앙도서관!K23+학생회관!K23+멀티미디어관!K23+제2기숙사!K23+선승관!K23+예술디자인대!K23+공학관!K23</f>
        <v>0</v>
      </c>
      <c r="S23" s="36">
        <f>캠퍼스타운_외부원두영업!L23+잇다카페_외부원두영업!L23+푸른솔!L23+의과대학!L23+중앙도서관!L23+학생회관!L23+멀티미디어관!L23+제2기숙사!L23+선승관!L23+예술디자인대!L23+공학관!L23</f>
        <v>8000</v>
      </c>
      <c r="T23" s="81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205">
        <f t="shared" si="6"/>
        <v>8000</v>
      </c>
      <c r="V23" s="152">
        <f t="shared" si="4"/>
        <v>29000</v>
      </c>
      <c r="W23" s="156">
        <f t="shared" si="5"/>
        <v>32000</v>
      </c>
      <c r="X23" s="43">
        <f t="shared" si="0"/>
        <v>116000</v>
      </c>
      <c r="Y23" s="45"/>
      <c r="Z23" s="182">
        <v>0</v>
      </c>
      <c r="AA23" s="181">
        <f t="shared" si="1"/>
        <v>0</v>
      </c>
      <c r="AB23" s="241"/>
      <c r="AC23" s="244"/>
    </row>
    <row r="24" spans="1:29">
      <c r="A24" s="239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38">
        <v>3</v>
      </c>
      <c r="I24" s="104"/>
      <c r="J24" s="105"/>
      <c r="K24" s="105">
        <v>0</v>
      </c>
      <c r="L24" s="105">
        <v>0</v>
      </c>
      <c r="M24" s="106"/>
      <c r="N24" s="92">
        <f t="shared" si="2"/>
        <v>0</v>
      </c>
      <c r="O24" s="139">
        <f t="shared" si="3"/>
        <v>0</v>
      </c>
      <c r="P24" s="134">
        <f>캠퍼스타운_외부원두영업!I24+잇다카페_외부원두영업!I24+푸른솔!I24+의과대학!I24+중앙도서관!I24+학생회관!I24+멀티미디어관!I24+제2기숙사!I24+선승관!I24+예술디자인대!I24+공학관!I24</f>
        <v>0</v>
      </c>
      <c r="Q24" s="36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36">
        <f>캠퍼스타운_외부원두영업!K24+잇다카페_외부원두영업!K24+푸른솔!K24+의과대학!K24+중앙도서관!K24+학생회관!K24+멀티미디어관!K24+제2기숙사!K24+선승관!K24+예술디자인대!K24+공학관!K24</f>
        <v>0</v>
      </c>
      <c r="S24" s="36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81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205">
        <f t="shared" si="6"/>
        <v>0</v>
      </c>
      <c r="V24" s="152">
        <f t="shared" si="4"/>
        <v>0</v>
      </c>
      <c r="W24" s="156">
        <f t="shared" si="5"/>
        <v>3</v>
      </c>
      <c r="X24" s="43">
        <f t="shared" si="0"/>
        <v>36000</v>
      </c>
      <c r="Y24" s="45"/>
      <c r="Z24" s="182">
        <v>0</v>
      </c>
      <c r="AA24" s="181">
        <f t="shared" si="1"/>
        <v>0</v>
      </c>
      <c r="AB24" s="241"/>
      <c r="AC24" s="244"/>
    </row>
    <row r="25" spans="1:29">
      <c r="A25" s="239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38">
        <v>3000</v>
      </c>
      <c r="I25" s="104"/>
      <c r="J25" s="105"/>
      <c r="K25" s="105">
        <v>0</v>
      </c>
      <c r="L25" s="105">
        <v>0</v>
      </c>
      <c r="M25" s="106"/>
      <c r="N25" s="92">
        <f t="shared" si="2"/>
        <v>0</v>
      </c>
      <c r="O25" s="139">
        <f t="shared" si="3"/>
        <v>0</v>
      </c>
      <c r="P25" s="134">
        <f>캠퍼스타운_외부원두영업!I25+잇다카페_외부원두영업!I25+푸른솔!I25+의과대학!I25+중앙도서관!I25+학생회관!I25+멀티미디어관!I25+제2기숙사!I25+선승관!I25+예술디자인대!I25+공학관!I25</f>
        <v>0</v>
      </c>
      <c r="Q25" s="36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36">
        <f>캠퍼스타운_외부원두영업!K25+잇다카페_외부원두영업!K25+푸른솔!K25+의과대학!K25+중앙도서관!K25+학생회관!K25+멀티미디어관!K25+제2기숙사!K25+선승관!K25+예술디자인대!K25+공학관!K25</f>
        <v>0</v>
      </c>
      <c r="S25" s="36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81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205">
        <f t="shared" si="6"/>
        <v>0</v>
      </c>
      <c r="V25" s="152">
        <f t="shared" si="4"/>
        <v>0</v>
      </c>
      <c r="W25" s="156">
        <f t="shared" si="5"/>
        <v>3000</v>
      </c>
      <c r="X25" s="43">
        <f t="shared" si="0"/>
        <v>19200</v>
      </c>
      <c r="Y25" s="45"/>
      <c r="Z25" s="182">
        <v>0</v>
      </c>
      <c r="AA25" s="181">
        <f t="shared" si="1"/>
        <v>0</v>
      </c>
      <c r="AB25" s="241"/>
      <c r="AC25" s="244"/>
    </row>
    <row r="26" spans="1:29">
      <c r="A26" s="239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38">
        <v>5000</v>
      </c>
      <c r="I26" s="104"/>
      <c r="J26" s="105"/>
      <c r="K26" s="105">
        <v>0</v>
      </c>
      <c r="L26" s="105">
        <v>0</v>
      </c>
      <c r="M26" s="106"/>
      <c r="N26" s="92">
        <f t="shared" si="2"/>
        <v>0</v>
      </c>
      <c r="O26" s="139">
        <f t="shared" si="3"/>
        <v>0</v>
      </c>
      <c r="P26" s="134">
        <f>캠퍼스타운_외부원두영업!I26+잇다카페_외부원두영업!I26+푸른솔!I26+의과대학!I26+중앙도서관!I26+학생회관!I26+멀티미디어관!I26+제2기숙사!I26+선승관!I26+예술디자인대!I26+공학관!I26</f>
        <v>0</v>
      </c>
      <c r="Q26" s="36">
        <f>캠퍼스타운_외부원두영업!J26+잇다카페_외부원두영업!J26+푸른솔!J26+의과대학!J26+중앙도서관!J26+학생회관!J26+멀티미디어관!J26+제2기숙사!J26+선승관!J26+예술디자인대!J26+공학관!J26</f>
        <v>1000</v>
      </c>
      <c r="R26" s="36">
        <f>캠퍼스타운_외부원두영업!K26+잇다카페_외부원두영업!K26+푸른솔!K26+의과대학!K26+중앙도서관!K26+학생회관!K26+멀티미디어관!K26+제2기숙사!K26+선승관!K26+예술디자인대!K26+공학관!K26</f>
        <v>0</v>
      </c>
      <c r="S26" s="36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81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205">
        <f t="shared" si="6"/>
        <v>1000</v>
      </c>
      <c r="V26" s="152">
        <f t="shared" si="4"/>
        <v>6800</v>
      </c>
      <c r="W26" s="156">
        <f t="shared" si="5"/>
        <v>4000</v>
      </c>
      <c r="X26" s="43">
        <f t="shared" si="0"/>
        <v>27200</v>
      </c>
      <c r="Y26" s="45"/>
      <c r="Z26" s="182">
        <v>0</v>
      </c>
      <c r="AA26" s="181">
        <f t="shared" si="1"/>
        <v>0</v>
      </c>
      <c r="AB26" s="241"/>
      <c r="AC26" s="244"/>
    </row>
    <row r="27" spans="1:29">
      <c r="A27" s="239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38">
        <v>600</v>
      </c>
      <c r="I27" s="104"/>
      <c r="J27" s="105"/>
      <c r="K27" s="105">
        <v>0</v>
      </c>
      <c r="L27" s="105">
        <v>0</v>
      </c>
      <c r="M27" s="106"/>
      <c r="N27" s="92">
        <f t="shared" si="2"/>
        <v>0</v>
      </c>
      <c r="O27" s="139">
        <f t="shared" si="3"/>
        <v>0</v>
      </c>
      <c r="P27" s="134">
        <f>캠퍼스타운_외부원두영업!I27+잇다카페_외부원두영업!I27+푸른솔!I27+의과대학!I27+중앙도서관!I27+학생회관!I27+멀티미디어관!I27+제2기숙사!I27+선승관!I27+예술디자인대!I27+공학관!I27</f>
        <v>0</v>
      </c>
      <c r="Q27" s="36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36">
        <f>캠퍼스타운_외부원두영업!K27+잇다카페_외부원두영업!K27+푸른솔!K27+의과대학!K27+중앙도서관!K27+학생회관!K27+멀티미디어관!K27+제2기숙사!K27+선승관!K27+예술디자인대!K27+공학관!K27</f>
        <v>0</v>
      </c>
      <c r="S27" s="36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81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205">
        <f t="shared" si="6"/>
        <v>0</v>
      </c>
      <c r="V27" s="152">
        <f t="shared" si="4"/>
        <v>0</v>
      </c>
      <c r="W27" s="156">
        <f t="shared" si="5"/>
        <v>600</v>
      </c>
      <c r="X27" s="43">
        <f t="shared" si="0"/>
        <v>15000</v>
      </c>
      <c r="Y27" s="45"/>
      <c r="Z27" s="182">
        <v>0</v>
      </c>
      <c r="AA27" s="181">
        <f t="shared" si="1"/>
        <v>0</v>
      </c>
      <c r="AB27" s="241"/>
      <c r="AC27" s="244"/>
    </row>
    <row r="28" spans="1:29">
      <c r="A28" s="239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73">
        <v>20</v>
      </c>
      <c r="I28" s="104"/>
      <c r="J28" s="112"/>
      <c r="K28" s="105"/>
      <c r="L28" s="112">
        <v>24</v>
      </c>
      <c r="M28" s="113"/>
      <c r="N28" s="92">
        <f t="shared" si="2"/>
        <v>24</v>
      </c>
      <c r="O28" s="139">
        <f t="shared" si="3"/>
        <v>50400</v>
      </c>
      <c r="P28" s="134">
        <f>캠퍼스타운_외부원두영업!I28+잇다카페_외부원두영업!I28+푸른솔!I28+의과대학!I28+중앙도서관!I28+학생회관!I28+멀티미디어관!I28+제2기숙사!I28+선승관!I28+예술디자인대!I28+공학관!I28</f>
        <v>0</v>
      </c>
      <c r="Q28" s="36">
        <f>캠퍼스타운_외부원두영업!J28+잇다카페_외부원두영업!J28+푸른솔!J28+의과대학!J28+중앙도서관!J28+학생회관!J28+멀티미디어관!J28+제2기숙사!J28+선승관!J28+예술디자인대!J28+공학관!J28</f>
        <v>0</v>
      </c>
      <c r="R28" s="36">
        <f>캠퍼스타운_외부원두영업!K28+잇다카페_외부원두영업!K28+푸른솔!K28+의과대학!K28+중앙도서관!K28+학생회관!K28+멀티미디어관!K28+제2기숙사!K28+선승관!K28+예술디자인대!K28+공학관!K28</f>
        <v>0</v>
      </c>
      <c r="S28" s="36">
        <f>캠퍼스타운_외부원두영업!L28+잇다카페_외부원두영업!L28+푸른솔!L28+의과대학!L28+중앙도서관!L28+학생회관!L28+멀티미디어관!L28+제2기숙사!L28+선승관!L28+예술디자인대!L28+공학관!L28</f>
        <v>0</v>
      </c>
      <c r="T28" s="81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205">
        <f t="shared" si="6"/>
        <v>0</v>
      </c>
      <c r="V28" s="152">
        <f t="shared" si="4"/>
        <v>0</v>
      </c>
      <c r="W28" s="156">
        <f t="shared" si="5"/>
        <v>44</v>
      </c>
      <c r="X28" s="43">
        <f t="shared" si="0"/>
        <v>92400</v>
      </c>
      <c r="Y28" s="45"/>
      <c r="Z28" s="182">
        <v>0</v>
      </c>
      <c r="AA28" s="181">
        <f t="shared" si="1"/>
        <v>0</v>
      </c>
      <c r="AB28" s="241"/>
      <c r="AC28" s="244"/>
    </row>
    <row r="29" spans="1:29">
      <c r="A29" s="239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38">
        <v>14</v>
      </c>
      <c r="I29" s="104"/>
      <c r="J29" s="105"/>
      <c r="K29" s="105">
        <v>36</v>
      </c>
      <c r="L29" s="105">
        <v>24</v>
      </c>
      <c r="M29" s="106"/>
      <c r="N29" s="92">
        <f t="shared" si="2"/>
        <v>60</v>
      </c>
      <c r="O29" s="139">
        <f t="shared" si="3"/>
        <v>126000</v>
      </c>
      <c r="P29" s="134">
        <f>캠퍼스타운_외부원두영업!I29+잇다카페_외부원두영업!I29+푸른솔!I29+의과대학!I29+중앙도서관!I29+학생회관!I29+멀티미디어관!I29+제2기숙사!I29+선승관!I29+예술디자인대!I29+공학관!I29</f>
        <v>14</v>
      </c>
      <c r="Q29" s="36">
        <f>캠퍼스타운_외부원두영업!J29+잇다카페_외부원두영업!J29+푸른솔!J29+의과대학!J29+중앙도서관!J29+학생회관!J29+멀티미디어관!J29+제2기숙사!J29+선승관!J29+예술디자인대!J29+공학관!J29</f>
        <v>0</v>
      </c>
      <c r="R29" s="36">
        <f>캠퍼스타운_외부원두영업!K29+잇다카페_외부원두영업!K29+푸른솔!K29+의과대학!K29+중앙도서관!K29+학생회관!K29+멀티미디어관!K29+제2기숙사!K29+선승관!K29+예술디자인대!K29+공학관!K29</f>
        <v>6</v>
      </c>
      <c r="S29" s="36">
        <f>캠퍼스타운_외부원두영업!L29+잇다카페_외부원두영업!L29+푸른솔!L29+의과대학!L29+중앙도서관!L29+학생회관!L29+멀티미디어관!L29+제2기숙사!L29+선승관!L29+예술디자인대!L29+공학관!L29</f>
        <v>0</v>
      </c>
      <c r="T29" s="81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205">
        <f t="shared" si="6"/>
        <v>20</v>
      </c>
      <c r="V29" s="152">
        <f t="shared" si="4"/>
        <v>42000</v>
      </c>
      <c r="W29" s="156">
        <f t="shared" si="5"/>
        <v>54</v>
      </c>
      <c r="X29" s="43">
        <f t="shared" si="0"/>
        <v>113400</v>
      </c>
      <c r="Y29" s="45"/>
      <c r="Z29" s="182">
        <v>0</v>
      </c>
      <c r="AA29" s="181">
        <f t="shared" si="1"/>
        <v>0</v>
      </c>
      <c r="AB29" s="241"/>
      <c r="AC29" s="244"/>
    </row>
    <row r="30" spans="1:29">
      <c r="A30" s="239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38">
        <v>48</v>
      </c>
      <c r="I30" s="104"/>
      <c r="J30" s="105"/>
      <c r="K30" s="105"/>
      <c r="L30" s="105">
        <v>24</v>
      </c>
      <c r="M30" s="106"/>
      <c r="N30" s="92">
        <f t="shared" si="2"/>
        <v>24</v>
      </c>
      <c r="O30" s="139">
        <f t="shared" si="3"/>
        <v>50400</v>
      </c>
      <c r="P30" s="134">
        <f>캠퍼스타운_외부원두영업!I30+잇다카페_외부원두영업!I30+푸른솔!I30+의과대학!I30+중앙도서관!I30+학생회관!I30+멀티미디어관!I30+제2기숙사!I30+선승관!I30+예술디자인대!I30+공학관!I30</f>
        <v>0</v>
      </c>
      <c r="Q30" s="36">
        <f>캠퍼스타운_외부원두영업!J30+잇다카페_외부원두영업!J30+푸른솔!J30+의과대학!J30+중앙도서관!J30+학생회관!J30+멀티미디어관!J30+제2기숙사!J30+선승관!J30+예술디자인대!J30+공학관!J30</f>
        <v>6</v>
      </c>
      <c r="R30" s="36">
        <f>캠퍼스타운_외부원두영업!K30+잇다카페_외부원두영업!K30+푸른솔!K30+의과대학!K30+중앙도서관!K30+학생회관!K30+멀티미디어관!K30+제2기숙사!K30+선승관!K30+예술디자인대!K30+공학관!K30</f>
        <v>0</v>
      </c>
      <c r="S30" s="36">
        <f>캠퍼스타운_외부원두영업!L30+잇다카페_외부원두영업!L30+푸른솔!L30+의과대학!L30+중앙도서관!L30+학생회관!L30+멀티미디어관!L30+제2기숙사!L30+선승관!L30+예술디자인대!L30+공학관!L30</f>
        <v>12</v>
      </c>
      <c r="T30" s="81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205">
        <f t="shared" si="6"/>
        <v>18</v>
      </c>
      <c r="V30" s="152">
        <f t="shared" si="4"/>
        <v>37800</v>
      </c>
      <c r="W30" s="156">
        <f t="shared" si="5"/>
        <v>54</v>
      </c>
      <c r="X30" s="43">
        <f t="shared" si="0"/>
        <v>113400</v>
      </c>
      <c r="Y30" s="45"/>
      <c r="Z30" s="182">
        <v>0</v>
      </c>
      <c r="AA30" s="181">
        <f t="shared" si="1"/>
        <v>0</v>
      </c>
      <c r="AB30" s="241"/>
      <c r="AC30" s="244"/>
    </row>
    <row r="31" spans="1:29">
      <c r="A31" s="239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38">
        <v>0</v>
      </c>
      <c r="I31" s="104"/>
      <c r="J31" s="105"/>
      <c r="K31" s="105"/>
      <c r="L31" s="105">
        <v>0</v>
      </c>
      <c r="M31" s="106"/>
      <c r="N31" s="92">
        <f t="shared" si="2"/>
        <v>0</v>
      </c>
      <c r="O31" s="139">
        <f t="shared" si="3"/>
        <v>0</v>
      </c>
      <c r="P31" s="134">
        <f>캠퍼스타운_외부원두영업!I31+잇다카페_외부원두영업!I31+푸른솔!I31+의과대학!I31+중앙도서관!I31+학생회관!I31+멀티미디어관!I31+제2기숙사!I31+선승관!I31+예술디자인대!I31+공학관!I31</f>
        <v>0</v>
      </c>
      <c r="Q31" s="36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36">
        <f>캠퍼스타운_외부원두영업!K31+잇다카페_외부원두영업!K31+푸른솔!K31+의과대학!K31+중앙도서관!K31+학생회관!K31+멀티미디어관!K31+제2기숙사!K31+선승관!K31+예술디자인대!K31+공학관!K31</f>
        <v>0</v>
      </c>
      <c r="S31" s="36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81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205">
        <f t="shared" si="6"/>
        <v>0</v>
      </c>
      <c r="V31" s="152">
        <f t="shared" si="4"/>
        <v>0</v>
      </c>
      <c r="W31" s="156">
        <f t="shared" si="5"/>
        <v>0</v>
      </c>
      <c r="X31" s="43">
        <f t="shared" si="0"/>
        <v>0</v>
      </c>
      <c r="Y31" s="45"/>
      <c r="Z31" s="182">
        <v>0</v>
      </c>
      <c r="AA31" s="181">
        <f t="shared" si="1"/>
        <v>0</v>
      </c>
      <c r="AB31" s="241"/>
      <c r="AC31" s="244"/>
    </row>
    <row r="32" spans="1:29">
      <c r="A32" s="239"/>
      <c r="B32" s="66" t="s">
        <v>122</v>
      </c>
      <c r="C32" s="66" t="s">
        <v>120</v>
      </c>
      <c r="D32" s="66" t="s">
        <v>6</v>
      </c>
      <c r="E32" s="83">
        <v>3200</v>
      </c>
      <c r="F32" s="36">
        <v>6</v>
      </c>
      <c r="G32" s="37">
        <v>19200</v>
      </c>
      <c r="H32" s="38">
        <v>30</v>
      </c>
      <c r="I32" s="104"/>
      <c r="J32" s="105"/>
      <c r="K32" s="105"/>
      <c r="L32" s="105">
        <v>18</v>
      </c>
      <c r="M32" s="106"/>
      <c r="N32" s="92">
        <f>I32+J32+K32+L32+M32</f>
        <v>18</v>
      </c>
      <c r="O32" s="139">
        <f>E32*N32</f>
        <v>57600</v>
      </c>
      <c r="P32" s="134">
        <f>캠퍼스타운_외부원두영업!I32+잇다카페_외부원두영업!I32+푸른솔!I32+의과대학!I32+중앙도서관!I32+학생회관!I32+멀티미디어관!I32+제2기숙사!I32+선승관!I32+예술디자인대!I32+공학관!I32</f>
        <v>2</v>
      </c>
      <c r="Q32" s="36">
        <f>캠퍼스타운_외부원두영업!J32+잇다카페_외부원두영업!J32+푸른솔!J32+의과대학!J32+중앙도서관!J32+학생회관!J32+멀티미디어관!J32+제2기숙사!J32+선승관!J32+예술디자인대!J32+공학관!J32</f>
        <v>4</v>
      </c>
      <c r="R32" s="36">
        <f>캠퍼스타운_외부원두영업!K32+잇다카페_외부원두영업!K32+푸른솔!K32+의과대학!K32+중앙도서관!K32+학생회관!K32+멀티미디어관!K32+제2기숙사!K32+선승관!K32+예술디자인대!K32+공학관!K32</f>
        <v>6</v>
      </c>
      <c r="S32" s="36">
        <f>캠퍼스타운_외부원두영업!L32+잇다카페_외부원두영업!L32+푸른솔!L32+의과대학!L32+중앙도서관!L32+학생회관!L32+멀티미디어관!L32+제2기숙사!L32+선승관!L32+예술디자인대!L32+공학관!L32</f>
        <v>6</v>
      </c>
      <c r="T32" s="81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205">
        <f>P32+Q32+R32+S32+T32</f>
        <v>18</v>
      </c>
      <c r="V32" s="152">
        <f>E32*U32</f>
        <v>57600</v>
      </c>
      <c r="W32" s="156">
        <f>(H32+N32)-U32</f>
        <v>30</v>
      </c>
      <c r="X32" s="43">
        <f>E32*W32</f>
        <v>96000</v>
      </c>
      <c r="Y32" s="45"/>
      <c r="Z32" s="182">
        <v>0</v>
      </c>
      <c r="AA32" s="181">
        <f>Z32*E32</f>
        <v>0</v>
      </c>
      <c r="AB32" s="241"/>
      <c r="AC32" s="244"/>
    </row>
    <row r="33" spans="1:29">
      <c r="A33" s="239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73">
        <v>220</v>
      </c>
      <c r="I33" s="104"/>
      <c r="J33" s="112"/>
      <c r="K33" s="105"/>
      <c r="L33" s="112">
        <v>0</v>
      </c>
      <c r="M33" s="113"/>
      <c r="N33" s="92">
        <f t="shared" si="2"/>
        <v>0</v>
      </c>
      <c r="O33" s="139">
        <f t="shared" si="3"/>
        <v>0</v>
      </c>
      <c r="P33" s="134">
        <f>캠퍼스타운_외부원두영업!I33+잇다카페_외부원두영업!I33+푸른솔!I33+의과대학!I33+중앙도서관!I33+학생회관!I33+멀티미디어관!I33+제2기숙사!I33+선승관!I33+예술디자인대!I33+공학관!I33</f>
        <v>20</v>
      </c>
      <c r="Q33" s="36">
        <f>캠퍼스타운_외부원두영업!J33+잇다카페_외부원두영업!J33+푸른솔!J33+의과대학!J33+중앙도서관!J33+학생회관!J33+멀티미디어관!J33+제2기숙사!J33+선승관!J33+예술디자인대!J33+공학관!J33</f>
        <v>60</v>
      </c>
      <c r="R33" s="36">
        <f>캠퍼스타운_외부원두영업!K33+잇다카페_외부원두영업!K33+푸른솔!K33+의과대학!K33+중앙도서관!K33+학생회관!K33+멀티미디어관!K33+제2기숙사!K33+선승관!K33+예술디자인대!K33+공학관!K33</f>
        <v>0</v>
      </c>
      <c r="S33" s="36">
        <f>캠퍼스타운_외부원두영업!L33+잇다카페_외부원두영업!L33+푸른솔!L33+의과대학!L33+중앙도서관!L33+학생회관!L33+멀티미디어관!L33+제2기숙사!L33+선승관!L33+예술디자인대!L33+공학관!L33</f>
        <v>20</v>
      </c>
      <c r="T33" s="81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205">
        <f t="shared" si="6"/>
        <v>100</v>
      </c>
      <c r="V33" s="152">
        <f t="shared" si="4"/>
        <v>41000</v>
      </c>
      <c r="W33" s="156">
        <f t="shared" si="5"/>
        <v>120</v>
      </c>
      <c r="X33" s="43">
        <f t="shared" si="0"/>
        <v>49200</v>
      </c>
      <c r="Y33" s="45"/>
      <c r="Z33" s="182">
        <v>0</v>
      </c>
      <c r="AA33" s="181">
        <f t="shared" si="1"/>
        <v>0</v>
      </c>
      <c r="AB33" s="241"/>
      <c r="AC33" s="244"/>
    </row>
    <row r="34" spans="1:29">
      <c r="A34" s="239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73">
        <v>184</v>
      </c>
      <c r="I34" s="104"/>
      <c r="J34" s="112"/>
      <c r="K34" s="105"/>
      <c r="L34" s="112">
        <v>204</v>
      </c>
      <c r="M34" s="113"/>
      <c r="N34" s="92">
        <f t="shared" si="2"/>
        <v>204</v>
      </c>
      <c r="O34" s="139">
        <f t="shared" si="3"/>
        <v>1468800</v>
      </c>
      <c r="P34" s="134">
        <f>캠퍼스타운_외부원두영업!I34+잇다카페_외부원두영업!I34+푸른솔!I34+의과대학!I34+중앙도서관!I34+학생회관!I34+멀티미디어관!I34+제2기숙사!I34+선승관!I34+예술디자인대!I34+공학관!I34</f>
        <v>16</v>
      </c>
      <c r="Q34" s="36">
        <f>캠퍼스타운_외부원두영업!J34+잇다카페_외부원두영업!J34+푸른솔!J34+의과대학!J34+중앙도서관!J34+학생회관!J34+멀티미디어관!J34+제2기숙사!J34+선승관!J34+예술디자인대!J34+공학관!J34</f>
        <v>37</v>
      </c>
      <c r="R34" s="36">
        <f>캠퍼스타운_외부원두영업!K34+잇다카페_외부원두영업!K34+푸른솔!K34+의과대학!K34+중앙도서관!K34+학생회관!K34+멀티미디어관!K34+제2기숙사!K34+선승관!K34+예술디자인대!K34+공학관!K34</f>
        <v>78</v>
      </c>
      <c r="S34" s="36">
        <f>캠퍼스타운_외부원두영업!L34+잇다카페_외부원두영업!L34+푸른솔!L34+의과대학!L34+중앙도서관!L34+학생회관!L34+멀티미디어관!L34+제2기숙사!L34+선승관!L34+예술디자인대!L34+공학관!L34</f>
        <v>47</v>
      </c>
      <c r="T34" s="81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205">
        <f t="shared" si="6"/>
        <v>178</v>
      </c>
      <c r="V34" s="152">
        <f t="shared" si="4"/>
        <v>1281600</v>
      </c>
      <c r="W34" s="156">
        <f t="shared" si="5"/>
        <v>210</v>
      </c>
      <c r="X34" s="43">
        <f t="shared" si="0"/>
        <v>1512000</v>
      </c>
      <c r="Y34" s="45"/>
      <c r="Z34" s="182">
        <v>0</v>
      </c>
      <c r="AA34" s="181">
        <f t="shared" si="1"/>
        <v>0</v>
      </c>
      <c r="AB34" s="241"/>
      <c r="AC34" s="244"/>
    </row>
    <row r="35" spans="1:29">
      <c r="A35" s="239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73">
        <v>136</v>
      </c>
      <c r="I35" s="104"/>
      <c r="J35" s="112"/>
      <c r="K35" s="105"/>
      <c r="L35" s="112">
        <v>120</v>
      </c>
      <c r="M35" s="113"/>
      <c r="N35" s="92">
        <f t="shared" si="2"/>
        <v>120</v>
      </c>
      <c r="O35" s="139">
        <f t="shared" si="3"/>
        <v>162000</v>
      </c>
      <c r="P35" s="134">
        <f>캠퍼스타운_외부원두영업!I35+잇다카페_외부원두영업!I35+푸른솔!I35+의과대학!I35+중앙도서관!I35+학생회관!I35+멀티미디어관!I35+제2기숙사!I35+선승관!I35+예술디자인대!I35+공학관!I35</f>
        <v>6</v>
      </c>
      <c r="Q35" s="36">
        <f>캠퍼스타운_외부원두영업!J35+잇다카페_외부원두영업!J35+푸른솔!J35+의과대학!J35+중앙도서관!J35+학생회관!J35+멀티미디어관!J35+제2기숙사!J35+선승관!J35+예술디자인대!J35+공학관!J35</f>
        <v>24</v>
      </c>
      <c r="R35" s="36">
        <f>캠퍼스타운_외부원두영업!K35+잇다카페_외부원두영업!K35+푸른솔!K35+의과대학!K35+중앙도서관!K35+학생회관!K35+멀티미디어관!K35+제2기숙사!K35+선승관!K35+예술디자인대!K35+공학관!K35</f>
        <v>22</v>
      </c>
      <c r="S35" s="36">
        <f>캠퍼스타운_외부원두영업!L35+잇다카페_외부원두영업!L35+푸른솔!L35+의과대학!L35+중앙도서관!L35+학생회관!L35+멀티미디어관!L35+제2기숙사!L35+선승관!L35+예술디자인대!L35+공학관!L35</f>
        <v>25</v>
      </c>
      <c r="T35" s="81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205">
        <f t="shared" si="6"/>
        <v>77</v>
      </c>
      <c r="V35" s="152">
        <f t="shared" si="4"/>
        <v>103950</v>
      </c>
      <c r="W35" s="156">
        <f t="shared" si="5"/>
        <v>179</v>
      </c>
      <c r="X35" s="43">
        <f t="shared" si="0"/>
        <v>241650</v>
      </c>
      <c r="Y35" s="45"/>
      <c r="Z35" s="182">
        <v>0</v>
      </c>
      <c r="AA35" s="181">
        <f t="shared" si="1"/>
        <v>0</v>
      </c>
      <c r="AB35" s="241"/>
      <c r="AC35" s="244"/>
    </row>
    <row r="36" spans="1:29">
      <c r="A36" s="239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38">
        <v>62</v>
      </c>
      <c r="I36" s="104"/>
      <c r="J36" s="105"/>
      <c r="K36" s="105">
        <v>16</v>
      </c>
      <c r="L36" s="105">
        <v>0</v>
      </c>
      <c r="M36" s="106"/>
      <c r="N36" s="92">
        <f t="shared" si="2"/>
        <v>16</v>
      </c>
      <c r="O36" s="139">
        <f t="shared" si="3"/>
        <v>109920</v>
      </c>
      <c r="P36" s="134">
        <f>캠퍼스타운_외부원두영업!I36+잇다카페_외부원두영업!I36+푸른솔!I36+의과대학!I36+중앙도서관!I36+학생회관!I36+멀티미디어관!I36+제2기숙사!I36+선승관!I36+예술디자인대!I36+공학관!I36</f>
        <v>4</v>
      </c>
      <c r="Q36" s="36">
        <f>캠퍼스타운_외부원두영업!J36+잇다카페_외부원두영업!J36+푸른솔!J36+의과대학!J36+중앙도서관!J36+학생회관!J36+멀티미디어관!J36+제2기숙사!J36+선승관!J36+예술디자인대!J36+공학관!J36</f>
        <v>22</v>
      </c>
      <c r="R36" s="36">
        <f>캠퍼스타운_외부원두영업!K36+잇다카페_외부원두영업!K36+푸른솔!K36+의과대학!K36+중앙도서관!K36+학생회관!K36+멀티미디어관!K36+제2기숙사!K36+선승관!K36+예술디자인대!K36+공학관!K36</f>
        <v>20</v>
      </c>
      <c r="S36" s="36">
        <f>캠퍼스타운_외부원두영업!L36+잇다카페_외부원두영업!L36+푸른솔!L36+의과대학!L36+중앙도서관!L36+학생회관!L36+멀티미디어관!L36+제2기숙사!L36+선승관!L36+예술디자인대!L36+공학관!L36</f>
        <v>25</v>
      </c>
      <c r="T36" s="81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205">
        <f t="shared" si="6"/>
        <v>71</v>
      </c>
      <c r="V36" s="152">
        <f t="shared" si="4"/>
        <v>487770</v>
      </c>
      <c r="W36" s="156">
        <f t="shared" si="5"/>
        <v>7</v>
      </c>
      <c r="X36" s="43">
        <f t="shared" si="0"/>
        <v>48090</v>
      </c>
      <c r="Y36" s="45"/>
      <c r="Z36" s="182">
        <v>0</v>
      </c>
      <c r="AA36" s="181">
        <f t="shared" si="1"/>
        <v>0</v>
      </c>
      <c r="AB36" s="241"/>
      <c r="AC36" s="244"/>
    </row>
    <row r="37" spans="1:29">
      <c r="A37" s="239"/>
      <c r="B37" s="25" t="s">
        <v>119</v>
      </c>
      <c r="C37" s="34" t="s">
        <v>50</v>
      </c>
      <c r="D37" s="34" t="s">
        <v>6</v>
      </c>
      <c r="E37" s="64">
        <v>6870</v>
      </c>
      <c r="F37" s="36">
        <v>8</v>
      </c>
      <c r="G37" s="37">
        <v>54960</v>
      </c>
      <c r="H37" s="38">
        <v>21</v>
      </c>
      <c r="I37" s="104"/>
      <c r="J37" s="105"/>
      <c r="K37" s="105">
        <v>16</v>
      </c>
      <c r="L37" s="105">
        <v>0</v>
      </c>
      <c r="M37" s="106"/>
      <c r="N37" s="92">
        <f t="shared" si="2"/>
        <v>16</v>
      </c>
      <c r="O37" s="139">
        <f t="shared" si="3"/>
        <v>109920</v>
      </c>
      <c r="P37" s="134">
        <f>캠퍼스타운_외부원두영업!I37+잇다카페_외부원두영업!I37+푸른솔!I37+의과대학!I37+중앙도서관!I37+학생회관!I37+멀티미디어관!I37+제2기숙사!I37+선승관!I37+예술디자인대!I37+공학관!I37</f>
        <v>0</v>
      </c>
      <c r="Q37" s="26">
        <f>캠퍼스타운_외부원두영업!J37+잇다카페_외부원두영업!J37+푸른솔!J37+의과대학!J37+중앙도서관!J37+학생회관!J37+멀티미디어관!J37+제2기숙사!J37+선승관!J37+예술디자인대!J37+공학관!J37</f>
        <v>2</v>
      </c>
      <c r="R37" s="26">
        <f>캠퍼스타운_외부원두영업!K37+잇다카페_외부원두영업!K37+푸른솔!K37+의과대학!K37+중앙도서관!K37+학생회관!K37+멀티미디어관!K37+제2기숙사!K37+선승관!K37+예술디자인대!K37+공학관!K37</f>
        <v>3</v>
      </c>
      <c r="S37" s="26">
        <f>캠퍼스타운_외부원두영업!L37+잇다카페_외부원두영업!L37+푸른솔!L37+의과대학!L37+중앙도서관!L37+학생회관!L37+멀티미디어관!L37+제2기숙사!L37+선승관!L37+예술디자인대!L37+공학관!L37</f>
        <v>7</v>
      </c>
      <c r="T37" s="207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152">
        <f t="shared" si="6"/>
        <v>12</v>
      </c>
      <c r="V37" s="152">
        <f t="shared" si="4"/>
        <v>82440</v>
      </c>
      <c r="W37" s="156">
        <f t="shared" si="5"/>
        <v>25</v>
      </c>
      <c r="X37" s="43">
        <f t="shared" si="0"/>
        <v>171750</v>
      </c>
      <c r="Y37" s="45"/>
      <c r="Z37" s="182">
        <v>0</v>
      </c>
      <c r="AA37" s="181">
        <f t="shared" si="1"/>
        <v>0</v>
      </c>
      <c r="AB37" s="241"/>
      <c r="AC37" s="244"/>
    </row>
    <row r="38" spans="1:29">
      <c r="A38" s="239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221">
        <v>0</v>
      </c>
      <c r="I38" s="222"/>
      <c r="J38" s="217"/>
      <c r="K38" s="105"/>
      <c r="L38" s="217">
        <v>40</v>
      </c>
      <c r="M38" s="223"/>
      <c r="N38" s="95">
        <f t="shared" ref="N38:N39" si="7">I38+J38+K38+L38+M38</f>
        <v>40</v>
      </c>
      <c r="O38" s="136">
        <f t="shared" ref="O38:O39" si="8">E38*N38</f>
        <v>294400</v>
      </c>
      <c r="P38" s="134">
        <f>캠퍼스타운_외부원두영업!I38+잇다카페_외부원두영업!I38+푸른솔!I38+의과대학!I38+중앙도서관!I38+학생회관!I38+멀티미디어관!I38+제2기숙사!I38+선승관!I38+예술디자인대!I38+공학관!I38</f>
        <v>0</v>
      </c>
      <c r="Q38" s="26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26">
        <f>캠퍼스타운_외부원두영업!K38+잇다카페_외부원두영업!K38+푸른솔!K38+의과대학!K38+중앙도서관!K38+학생회관!K38+멀티미디어관!K38+제2기숙사!K38+선승관!K38+예술디자인대!K38+공학관!K38</f>
        <v>0</v>
      </c>
      <c r="S38" s="26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81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38" s="224">
        <f t="shared" ref="U38:U39" si="9">P38+Q38+R38+S38+T38</f>
        <v>0</v>
      </c>
      <c r="V38" s="225">
        <f t="shared" ref="V38:V39" si="10">E38*U38</f>
        <v>0</v>
      </c>
      <c r="W38" s="226">
        <f t="shared" ref="W38:W39" si="11">(H38+N38)-U38</f>
        <v>40</v>
      </c>
      <c r="X38" s="227">
        <f t="shared" ref="X38:X39" si="12">E38*W38</f>
        <v>294400</v>
      </c>
      <c r="Y38" s="228"/>
      <c r="Z38" s="218">
        <v>0</v>
      </c>
      <c r="AA38" s="181">
        <f t="shared" ref="AA38:AA39" si="13">Z38*E38</f>
        <v>0</v>
      </c>
      <c r="AB38" s="241"/>
      <c r="AC38" s="244"/>
    </row>
    <row r="39" spans="1:29" ht="17.25" thickBot="1">
      <c r="A39" s="238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58">
        <v>0</v>
      </c>
      <c r="I39" s="108"/>
      <c r="J39" s="109"/>
      <c r="K39" s="105"/>
      <c r="L39" s="109">
        <v>0</v>
      </c>
      <c r="M39" s="110"/>
      <c r="N39" s="94">
        <f t="shared" si="7"/>
        <v>0</v>
      </c>
      <c r="O39" s="137">
        <f t="shared" si="8"/>
        <v>0</v>
      </c>
      <c r="P39" s="134">
        <f>캠퍼스타운_외부원두영업!I39+잇다카페_외부원두영업!I39+푸른솔!I39+의과대학!I39+중앙도서관!I39+학생회관!I39+멀티미디어관!I39+제2기숙사!I39+선승관!I39+예술디자인대!I39+공학관!I39</f>
        <v>0</v>
      </c>
      <c r="Q39" s="26">
        <f>캠퍼스타운_외부원두영업!J39+잇다카페_외부원두영업!J39+푸른솔!J39+의과대학!J39+중앙도서관!J39+학생회관!J39+멀티미디어관!J39+제2기숙사!J39+선승관!J39+예술디자인대!J39+공학관!J39</f>
        <v>0</v>
      </c>
      <c r="R39" s="26">
        <f>캠퍼스타운_외부원두영업!K39+잇다카페_외부원두영업!K39+푸른솔!K39+의과대학!K39+중앙도서관!K39+학생회관!K39+멀티미디어관!K39+제2기숙사!K39+선승관!K39+예술디자인대!K39+공학관!K39</f>
        <v>0</v>
      </c>
      <c r="S39" s="26">
        <f>캠퍼스타운_외부원두영업!L39+잇다카페_외부원두영업!L39+푸른솔!L39+의과대학!L39+중앙도서관!L39+학생회관!L39+멀티미디어관!L39+제2기숙사!L39+선승관!L39+예술디자인대!L39+공학관!L39</f>
        <v>0</v>
      </c>
      <c r="T39" s="207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39" s="206">
        <f t="shared" si="9"/>
        <v>0</v>
      </c>
      <c r="V39" s="153">
        <f t="shared" si="10"/>
        <v>0</v>
      </c>
      <c r="W39" s="157">
        <f t="shared" si="11"/>
        <v>0</v>
      </c>
      <c r="X39" s="50">
        <f t="shared" si="12"/>
        <v>0</v>
      </c>
      <c r="Y39" s="62"/>
      <c r="Z39" s="182">
        <v>0</v>
      </c>
      <c r="AA39" s="195">
        <f t="shared" si="13"/>
        <v>0</v>
      </c>
      <c r="AB39" s="242"/>
      <c r="AC39" s="245"/>
    </row>
    <row r="40" spans="1:29">
      <c r="A40" s="230" t="s">
        <v>114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8">
        <v>17800</v>
      </c>
      <c r="I40" s="98"/>
      <c r="J40" s="99"/>
      <c r="K40" s="99"/>
      <c r="L40" s="99">
        <v>0</v>
      </c>
      <c r="M40" s="100"/>
      <c r="N40" s="91">
        <f t="shared" si="2"/>
        <v>0</v>
      </c>
      <c r="O40" s="140">
        <f t="shared" si="3"/>
        <v>0</v>
      </c>
      <c r="P40" s="135">
        <f>캠퍼스타운_외부원두영업!I40+잇다카페_외부원두영업!I40+푸른솔!I40+의과대학!I40+중앙도서관!I40+학생회관!I40+멀티미디어관!I40+제2기숙사!I40+선승관!I40+예술디자인대!I40+공학관!I40</f>
        <v>300</v>
      </c>
      <c r="Q40" s="16">
        <f>캠퍼스타운_외부원두영업!J40+잇다카페_외부원두영업!J40+푸른솔!J40+의과대학!J40+중앙도서관!J40+학생회관!J40+멀티미디어관!J40+제2기숙사!J40+선승관!J40+예술디자인대!J40+공학관!J40</f>
        <v>1200</v>
      </c>
      <c r="R40" s="16">
        <f>캠퍼스타운_외부원두영업!K40+잇다카페_외부원두영업!K40+푸른솔!K40+의과대학!K40+중앙도서관!K40+학생회관!K40+멀티미디어관!K40+제2기숙사!K40+선승관!K40+예술디자인대!K40+공학관!K40</f>
        <v>1100</v>
      </c>
      <c r="S40" s="16">
        <f>캠퍼스타운_외부원두영업!L40+잇다카페_외부원두영업!L40+푸른솔!L40+의과대학!L40+중앙도서관!L40+학생회관!L40+멀티미디어관!L40+제2기숙사!L40+선승관!L40+예술디자인대!L40+공학관!L40</f>
        <v>600</v>
      </c>
      <c r="T40" s="53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204">
        <f t="shared" si="6"/>
        <v>3200</v>
      </c>
      <c r="V40" s="151">
        <f t="shared" si="4"/>
        <v>20480</v>
      </c>
      <c r="W40" s="155">
        <f t="shared" si="5"/>
        <v>14600</v>
      </c>
      <c r="X40" s="23">
        <f t="shared" ref="X40:X67" si="14">E40*W40</f>
        <v>93440</v>
      </c>
      <c r="Y40" s="47"/>
      <c r="Z40" s="183">
        <v>0</v>
      </c>
      <c r="AA40" s="184">
        <f t="shared" si="1"/>
        <v>0</v>
      </c>
      <c r="AB40" s="255">
        <f>SUM(AA40:AA41)</f>
        <v>0</v>
      </c>
      <c r="AC40" s="249">
        <f>AB40*1.1</f>
        <v>0</v>
      </c>
    </row>
    <row r="41" spans="1:29" ht="17.25" thickBot="1">
      <c r="A41" s="236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28">
        <v>3500</v>
      </c>
      <c r="I41" s="101"/>
      <c r="J41" s="102"/>
      <c r="K41" s="102"/>
      <c r="L41" s="102">
        <v>0</v>
      </c>
      <c r="M41" s="103"/>
      <c r="N41" s="94">
        <f t="shared" si="2"/>
        <v>0</v>
      </c>
      <c r="O41" s="137">
        <f t="shared" si="3"/>
        <v>0</v>
      </c>
      <c r="P41" s="127">
        <f>캠퍼스타운_외부원두영업!I41+잇다카페_외부원두영업!I41+푸른솔!I41+의과대학!I41+중앙도서관!I41+학생회관!I41+멀티미디어관!I41+제2기숙사!I41+선승관!I41+예술디자인대!I41+공학관!I41</f>
        <v>0</v>
      </c>
      <c r="Q41" s="56">
        <f>캠퍼스타운_외부원두영업!J41+잇다카페_외부원두영업!J41+푸른솔!J41+의과대학!J41+중앙도서관!J41+학생회관!J41+멀티미디어관!J41+제2기숙사!J41+선승관!J41+예술디자인대!J41+공학관!J41</f>
        <v>0</v>
      </c>
      <c r="R41" s="56">
        <f>캠퍼스타운_외부원두영업!K41+잇다카페_외부원두영업!K41+푸른솔!K41+의과대학!K41+중앙도서관!K41+학생회관!K41+멀티미디어관!K41+제2기숙사!K41+선승관!K41+예술디자인대!K41+공학관!K41</f>
        <v>0</v>
      </c>
      <c r="S41" s="56">
        <f>캠퍼스타운_외부원두영업!L41+잇다카페_외부원두영업!L41+푸른솔!L41+의과대학!L41+중앙도서관!L41+학생회관!L41+멀티미디어관!L41+제2기숙사!L41+선승관!L41+예술디자인대!L41+공학관!L41</f>
        <v>0</v>
      </c>
      <c r="T41" s="76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206">
        <f t="shared" si="6"/>
        <v>0</v>
      </c>
      <c r="V41" s="153">
        <f t="shared" si="4"/>
        <v>0</v>
      </c>
      <c r="W41" s="157">
        <f t="shared" si="5"/>
        <v>3500</v>
      </c>
      <c r="X41" s="50">
        <f t="shared" si="14"/>
        <v>16415</v>
      </c>
      <c r="Y41" s="46"/>
      <c r="Z41" s="185">
        <v>0</v>
      </c>
      <c r="AA41" s="186">
        <f xml:space="preserve"> Z41*E41</f>
        <v>0</v>
      </c>
      <c r="AB41" s="256"/>
      <c r="AC41" s="250"/>
    </row>
    <row r="42" spans="1:29">
      <c r="A42" s="237" t="s">
        <v>115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8">
        <v>18</v>
      </c>
      <c r="I42" s="98"/>
      <c r="J42" s="99"/>
      <c r="K42" s="99"/>
      <c r="L42" s="99">
        <v>0</v>
      </c>
      <c r="M42" s="100"/>
      <c r="N42" s="95">
        <f t="shared" si="2"/>
        <v>0</v>
      </c>
      <c r="O42" s="140">
        <f t="shared" si="3"/>
        <v>0</v>
      </c>
      <c r="P42" s="126">
        <f>캠퍼스타운_외부원두영업!I42+잇다카페_외부원두영업!I42+푸른솔!I42+의과대학!I42+중앙도서관!I42+학생회관!I42+멀티미디어관!I42+제2기숙사!I42+선승관!I42+예술디자인대!I42+공학관!I42</f>
        <v>0</v>
      </c>
      <c r="Q42" s="54">
        <f>캠퍼스타운_외부원두영업!J42+잇다카페_외부원두영업!J42+푸른솔!J42+의과대학!J42+중앙도서관!J42+학생회관!J42+멀티미디어관!J42+제2기숙사!J42+선승관!J42+예술디자인대!J42+공학관!J42</f>
        <v>1</v>
      </c>
      <c r="R42" s="54">
        <f>캠퍼스타운_외부원두영업!K42+잇다카페_외부원두영업!K42+푸른솔!K42+의과대학!K42+중앙도서관!K42+학생회관!K42+멀티미디어관!K42+제2기숙사!K42+선승관!K42+예술디자인대!K42+공학관!K42</f>
        <v>2</v>
      </c>
      <c r="S42" s="54">
        <f>캠퍼스타운_외부원두영업!L42+잇다카페_외부원두영업!L42+푸른솔!L42+의과대학!L42+중앙도서관!L42+학생회관!L42+멀티미디어관!L42+제2기숙사!L42+선승관!L42+예술디자인대!L42+공학관!L42</f>
        <v>2</v>
      </c>
      <c r="T42" s="208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204">
        <f t="shared" si="6"/>
        <v>5</v>
      </c>
      <c r="V42" s="151">
        <f t="shared" si="4"/>
        <v>38500</v>
      </c>
      <c r="W42" s="155">
        <f>(H42+N42)-U42</f>
        <v>13</v>
      </c>
      <c r="X42" s="23">
        <f t="shared" si="14"/>
        <v>100100</v>
      </c>
      <c r="Y42" s="47"/>
      <c r="Z42" s="182">
        <v>0</v>
      </c>
      <c r="AA42" s="181">
        <f t="shared" ref="AA42:AA67" si="15">Z42*E42</f>
        <v>0</v>
      </c>
      <c r="AB42" s="240">
        <f>SUM(AA42:AA51)</f>
        <v>0</v>
      </c>
      <c r="AC42" s="243">
        <f>AB42*1.1</f>
        <v>0</v>
      </c>
    </row>
    <row r="43" spans="1:29">
      <c r="A43" s="239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38">
        <v>44</v>
      </c>
      <c r="I43" s="104"/>
      <c r="J43" s="105"/>
      <c r="K43" s="105"/>
      <c r="L43" s="105">
        <v>24</v>
      </c>
      <c r="M43" s="106"/>
      <c r="N43" s="92">
        <f t="shared" si="2"/>
        <v>24</v>
      </c>
      <c r="O43" s="139">
        <f t="shared" si="3"/>
        <v>148800</v>
      </c>
      <c r="P43" s="134">
        <f>캠퍼스타운_외부원두영업!I43+잇다카페_외부원두영업!I43+푸른솔!I43+의과대학!I43+중앙도서관!I43+학생회관!I43+멀티미디어관!I43+제2기숙사!I43+선승관!I43+예술디자인대!I43+공학관!I43</f>
        <v>5</v>
      </c>
      <c r="Q43" s="36">
        <f>캠퍼스타운_외부원두영업!J43+잇다카페_외부원두영업!J43+푸른솔!J43+의과대학!J43+중앙도서관!J43+학생회관!J43+멀티미디어관!J43+제2기숙사!J43+선승관!J43+예술디자인대!J43+공학관!J43</f>
        <v>9</v>
      </c>
      <c r="R43" s="36">
        <f>캠퍼스타운_외부원두영업!K43+잇다카페_외부원두영업!K43+푸른솔!K43+의과대학!K43+중앙도서관!K43+학생회관!K43+멀티미디어관!K43+제2기숙사!K43+선승관!K43+예술디자인대!K43+공학관!K43</f>
        <v>4</v>
      </c>
      <c r="S43" s="36">
        <f>캠퍼스타운_외부원두영업!L43+잇다카페_외부원두영업!L43+푸른솔!L43+의과대학!L43+중앙도서관!L43+학생회관!L43+멀티미디어관!L43+제2기숙사!L43+선승관!L43+예술디자인대!L43+공학관!L43</f>
        <v>9</v>
      </c>
      <c r="T43" s="81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205">
        <f t="shared" si="6"/>
        <v>27</v>
      </c>
      <c r="V43" s="152">
        <f t="shared" si="4"/>
        <v>167400</v>
      </c>
      <c r="W43" s="156">
        <f t="shared" si="5"/>
        <v>41</v>
      </c>
      <c r="X43" s="43">
        <f t="shared" si="14"/>
        <v>254200</v>
      </c>
      <c r="Y43" s="45"/>
      <c r="Z43" s="182">
        <v>0</v>
      </c>
      <c r="AA43" s="181">
        <f t="shared" si="15"/>
        <v>0</v>
      </c>
      <c r="AB43" s="241"/>
      <c r="AC43" s="244"/>
    </row>
    <row r="44" spans="1:29">
      <c r="A44" s="239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38">
        <v>33</v>
      </c>
      <c r="I44" s="104"/>
      <c r="J44" s="105"/>
      <c r="K44" s="105"/>
      <c r="L44" s="105">
        <v>12</v>
      </c>
      <c r="M44" s="106"/>
      <c r="N44" s="92">
        <f t="shared" si="2"/>
        <v>12</v>
      </c>
      <c r="O44" s="139">
        <f t="shared" si="3"/>
        <v>80400</v>
      </c>
      <c r="P44" s="134">
        <f>캠퍼스타운_외부원두영업!I44+잇다카페_외부원두영업!I44+푸른솔!I44+의과대학!I44+중앙도서관!I44+학생회관!I44+멀티미디어관!I44+제2기숙사!I44+선승관!I44+예술디자인대!I44+공학관!I44</f>
        <v>1</v>
      </c>
      <c r="Q44" s="36">
        <f>캠퍼스타운_외부원두영업!J44+잇다카페_외부원두영업!J44+푸른솔!J44+의과대학!J44+중앙도서관!J44+학생회관!J44+멀티미디어관!J44+제2기숙사!J44+선승관!J44+예술디자인대!J44+공학관!J44</f>
        <v>1</v>
      </c>
      <c r="R44" s="36">
        <f>캠퍼스타운_외부원두영업!K44+잇다카페_외부원두영업!K44+푸른솔!K44+의과대학!K44+중앙도서관!K44+학생회관!K44+멀티미디어관!K44+제2기숙사!K44+선승관!K44+예술디자인대!K44+공학관!K44</f>
        <v>6</v>
      </c>
      <c r="S44" s="36">
        <f>캠퍼스타운_외부원두영업!L44+잇다카페_외부원두영업!L44+푸른솔!L44+의과대학!L44+중앙도서관!L44+학생회관!L44+멀티미디어관!L44+제2기숙사!L44+선승관!L44+예술디자인대!L44+공학관!L44</f>
        <v>5</v>
      </c>
      <c r="T44" s="81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205">
        <f t="shared" si="6"/>
        <v>13</v>
      </c>
      <c r="V44" s="152">
        <f t="shared" si="4"/>
        <v>87100</v>
      </c>
      <c r="W44" s="156">
        <f t="shared" si="5"/>
        <v>32</v>
      </c>
      <c r="X44" s="43">
        <f t="shared" si="14"/>
        <v>214400</v>
      </c>
      <c r="Y44" s="45"/>
      <c r="Z44" s="182">
        <v>0</v>
      </c>
      <c r="AA44" s="181">
        <f t="shared" si="15"/>
        <v>0</v>
      </c>
      <c r="AB44" s="241"/>
      <c r="AC44" s="244"/>
    </row>
    <row r="45" spans="1:29" ht="17.25" customHeight="1">
      <c r="A45" s="239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38">
        <v>51</v>
      </c>
      <c r="I45" s="104"/>
      <c r="J45" s="105"/>
      <c r="K45" s="105"/>
      <c r="L45" s="105">
        <v>24</v>
      </c>
      <c r="M45" s="106"/>
      <c r="N45" s="92">
        <f t="shared" si="2"/>
        <v>24</v>
      </c>
      <c r="O45" s="139">
        <f t="shared" si="3"/>
        <v>174000</v>
      </c>
      <c r="P45" s="134">
        <f>캠퍼스타운_외부원두영업!I45+잇다카페_외부원두영업!I45+푸른솔!I45+의과대학!I45+중앙도서관!I45+학생회관!I45+멀티미디어관!I45+제2기숙사!I45+선승관!I45+예술디자인대!I45+공학관!I45</f>
        <v>4</v>
      </c>
      <c r="Q45" s="36">
        <f>캠퍼스타운_외부원두영업!J45+잇다카페_외부원두영업!J45+푸른솔!J45+의과대학!J45+중앙도서관!J45+학생회관!J45+멀티미디어관!J45+제2기숙사!J45+선승관!J45+예술디자인대!J45+공학관!J45</f>
        <v>5</v>
      </c>
      <c r="R45" s="36">
        <f>캠퍼스타운_외부원두영업!K45+잇다카페_외부원두영업!K45+푸른솔!K45+의과대학!K45+중앙도서관!K45+학생회관!K45+멀티미디어관!K45+제2기숙사!K45+선승관!K45+예술디자인대!K45+공학관!K45</f>
        <v>4</v>
      </c>
      <c r="S45" s="36">
        <f>캠퍼스타운_외부원두영업!L45+잇다카페_외부원두영업!L45+푸른솔!L45+의과대학!L45+중앙도서관!L45+학생회관!L45+멀티미디어관!L45+제2기숙사!L45+선승관!L45+예술디자인대!L45+공학관!L45</f>
        <v>9</v>
      </c>
      <c r="T45" s="81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205">
        <f t="shared" si="6"/>
        <v>22</v>
      </c>
      <c r="V45" s="152">
        <f t="shared" si="4"/>
        <v>159500</v>
      </c>
      <c r="W45" s="156">
        <f t="shared" si="5"/>
        <v>53</v>
      </c>
      <c r="X45" s="43">
        <f t="shared" si="14"/>
        <v>384250</v>
      </c>
      <c r="Y45" s="45"/>
      <c r="Z45" s="182">
        <v>0</v>
      </c>
      <c r="AA45" s="181">
        <f t="shared" si="15"/>
        <v>0</v>
      </c>
      <c r="AB45" s="241"/>
      <c r="AC45" s="244"/>
    </row>
    <row r="46" spans="1:29">
      <c r="A46" s="239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38">
        <v>16</v>
      </c>
      <c r="I46" s="104"/>
      <c r="J46" s="105"/>
      <c r="K46" s="105"/>
      <c r="L46" s="105">
        <v>0</v>
      </c>
      <c r="M46" s="106"/>
      <c r="N46" s="92">
        <f t="shared" si="2"/>
        <v>0</v>
      </c>
      <c r="O46" s="139">
        <f t="shared" si="3"/>
        <v>0</v>
      </c>
      <c r="P46" s="134">
        <f>캠퍼스타운_외부원두영업!I46+잇다카페_외부원두영업!I46+푸른솔!I46+의과대학!I46+중앙도서관!I46+학생회관!I46+멀티미디어관!I46+제2기숙사!I46+선승관!I46+예술디자인대!I46+공학관!I46</f>
        <v>1</v>
      </c>
      <c r="Q46" s="36">
        <f>캠퍼스타운_외부원두영업!J46+잇다카페_외부원두영업!J46+푸른솔!J46+의과대학!J46+중앙도서관!J46+학생회관!J46+멀티미디어관!J46+제2기숙사!J46+선승관!J46+예술디자인대!J46+공학관!J46</f>
        <v>1</v>
      </c>
      <c r="R46" s="36">
        <f>캠퍼스타운_외부원두영업!K46+잇다카페_외부원두영업!K46+푸른솔!K46+의과대학!K46+중앙도서관!K46+학생회관!K46+멀티미디어관!K46+제2기숙사!K46+선승관!K46+예술디자인대!K46+공학관!K46</f>
        <v>1</v>
      </c>
      <c r="S46" s="36">
        <f>캠퍼스타운_외부원두영업!L46+잇다카페_외부원두영업!L46+푸른솔!L46+의과대학!L46+중앙도서관!L46+학생회관!L46+멀티미디어관!L46+제2기숙사!L46+선승관!L46+예술디자인대!L46+공학관!L46</f>
        <v>2</v>
      </c>
      <c r="T46" s="81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205">
        <f t="shared" si="6"/>
        <v>5</v>
      </c>
      <c r="V46" s="152">
        <f t="shared" si="4"/>
        <v>26500</v>
      </c>
      <c r="W46" s="156">
        <f t="shared" si="5"/>
        <v>11</v>
      </c>
      <c r="X46" s="43">
        <f t="shared" si="14"/>
        <v>58300</v>
      </c>
      <c r="Y46" s="45"/>
      <c r="Z46" s="182">
        <v>0</v>
      </c>
      <c r="AA46" s="181">
        <f t="shared" si="15"/>
        <v>0</v>
      </c>
      <c r="AB46" s="241"/>
      <c r="AC46" s="244"/>
    </row>
    <row r="47" spans="1:29">
      <c r="A47" s="239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38">
        <v>17</v>
      </c>
      <c r="I47" s="104"/>
      <c r="J47" s="105"/>
      <c r="K47" s="105"/>
      <c r="L47" s="105">
        <v>0</v>
      </c>
      <c r="M47" s="106"/>
      <c r="N47" s="92">
        <f t="shared" si="2"/>
        <v>0</v>
      </c>
      <c r="O47" s="139">
        <f t="shared" si="3"/>
        <v>0</v>
      </c>
      <c r="P47" s="134">
        <f>캠퍼스타운_외부원두영업!I47+잇다카페_외부원두영업!I47+푸른솔!I47+의과대학!I47+중앙도서관!I47+학생회관!I47+멀티미디어관!I47+제2기숙사!I47+선승관!I47+예술디자인대!I47+공학관!I47</f>
        <v>1</v>
      </c>
      <c r="Q47" s="36">
        <f>캠퍼스타운_외부원두영업!J47+잇다카페_외부원두영업!J47+푸른솔!J47+의과대학!J47+중앙도서관!J47+학생회관!J47+멀티미디어관!J47+제2기숙사!J47+선승관!J47+예술디자인대!J47+공학관!J47</f>
        <v>3</v>
      </c>
      <c r="R47" s="36">
        <f>캠퍼스타운_외부원두영업!K47+잇다카페_외부원두영업!K47+푸른솔!K47+의과대학!K47+중앙도서관!K47+학생회관!K47+멀티미디어관!K47+제2기숙사!K47+선승관!K47+예술디자인대!K47+공학관!K47</f>
        <v>1</v>
      </c>
      <c r="S47" s="36">
        <f>캠퍼스타운_외부원두영업!L47+잇다카페_외부원두영업!L47+푸른솔!L47+의과대학!L47+중앙도서관!L47+학생회관!L47+멀티미디어관!L47+제2기숙사!L47+선승관!L47+예술디자인대!L47+공학관!L47</f>
        <v>6</v>
      </c>
      <c r="T47" s="81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205">
        <f t="shared" si="6"/>
        <v>11</v>
      </c>
      <c r="V47" s="152">
        <f t="shared" si="4"/>
        <v>72600</v>
      </c>
      <c r="W47" s="156">
        <f t="shared" si="5"/>
        <v>6</v>
      </c>
      <c r="X47" s="43">
        <f t="shared" si="14"/>
        <v>39600</v>
      </c>
      <c r="Y47" s="45"/>
      <c r="Z47" s="182">
        <v>0</v>
      </c>
      <c r="AA47" s="181">
        <f t="shared" si="15"/>
        <v>0</v>
      </c>
      <c r="AB47" s="241"/>
      <c r="AC47" s="244"/>
    </row>
    <row r="48" spans="1:29">
      <c r="A48" s="239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38">
        <v>13</v>
      </c>
      <c r="I48" s="104"/>
      <c r="J48" s="105"/>
      <c r="K48" s="105"/>
      <c r="L48" s="105">
        <v>24</v>
      </c>
      <c r="M48" s="106"/>
      <c r="N48" s="92">
        <f t="shared" si="2"/>
        <v>24</v>
      </c>
      <c r="O48" s="139">
        <f t="shared" si="3"/>
        <v>348000</v>
      </c>
      <c r="P48" s="134">
        <f>캠퍼스타운_외부원두영업!I48+잇다카페_외부원두영업!I48+푸른솔!I48+의과대학!I48+중앙도서관!I48+학생회관!I48+멀티미디어관!I48+제2기숙사!I48+선승관!I48+예술디자인대!I48+공학관!I48</f>
        <v>0</v>
      </c>
      <c r="Q48" s="36">
        <f>캠퍼스타운_외부원두영업!J48+잇다카페_외부원두영업!J48+푸른솔!J48+의과대학!J48+중앙도서관!J48+학생회관!J48+멀티미디어관!J48+제2기숙사!J48+선승관!J48+예술디자인대!J48+공학관!J48</f>
        <v>3</v>
      </c>
      <c r="R48" s="36">
        <f>캠퍼스타운_외부원두영업!K48+잇다카페_외부원두영업!K48+푸른솔!K48+의과대학!K48+중앙도서관!K48+학생회관!K48+멀티미디어관!K48+제2기숙사!K48+선승관!K48+예술디자인대!K48+공학관!K48</f>
        <v>3</v>
      </c>
      <c r="S48" s="36">
        <f>캠퍼스타운_외부원두영업!L48+잇다카페_외부원두영업!L48+푸른솔!L48+의과대학!L48+중앙도서관!L48+학생회관!L48+멀티미디어관!L48+제2기숙사!L48+선승관!L48+예술디자인대!L48+공학관!L48</f>
        <v>5</v>
      </c>
      <c r="T48" s="81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205">
        <f t="shared" si="6"/>
        <v>11</v>
      </c>
      <c r="V48" s="152">
        <f t="shared" si="4"/>
        <v>159500</v>
      </c>
      <c r="W48" s="156">
        <f t="shared" si="5"/>
        <v>26</v>
      </c>
      <c r="X48" s="43">
        <f t="shared" si="14"/>
        <v>377000</v>
      </c>
      <c r="Y48" s="45"/>
      <c r="Z48" s="182">
        <v>0</v>
      </c>
      <c r="AA48" s="181">
        <f t="shared" si="15"/>
        <v>0</v>
      </c>
      <c r="AB48" s="241"/>
      <c r="AC48" s="244"/>
    </row>
    <row r="49" spans="1:29">
      <c r="A49" s="239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38">
        <v>24</v>
      </c>
      <c r="I49" s="104"/>
      <c r="J49" s="105"/>
      <c r="K49" s="105"/>
      <c r="L49" s="105">
        <v>0</v>
      </c>
      <c r="M49" s="106"/>
      <c r="N49" s="92">
        <f t="shared" si="2"/>
        <v>0</v>
      </c>
      <c r="O49" s="139">
        <f t="shared" si="3"/>
        <v>0</v>
      </c>
      <c r="P49" s="134">
        <f>캠퍼스타운_외부원두영업!I49+잇다카페_외부원두영업!I49+푸른솔!I49+의과대학!I49+중앙도서관!I49+학생회관!I49+멀티미디어관!I49+제2기숙사!I49+선승관!I49+예술디자인대!I49+공학관!I49</f>
        <v>1</v>
      </c>
      <c r="Q49" s="36">
        <f>캠퍼스타운_외부원두영업!J49+잇다카페_외부원두영업!J49+푸른솔!J49+의과대학!J49+중앙도서관!J49+학생회관!J49+멀티미디어관!J49+제2기숙사!J49+선승관!J49+예술디자인대!J49+공학관!J49</f>
        <v>0</v>
      </c>
      <c r="R49" s="36">
        <f>캠퍼스타운_외부원두영업!K49+잇다카페_외부원두영업!K49+푸른솔!K49+의과대학!K49+중앙도서관!K49+학생회관!K49+멀티미디어관!K49+제2기숙사!K49+선승관!K49+예술디자인대!K49+공학관!K49</f>
        <v>1</v>
      </c>
      <c r="S49" s="36">
        <f>캠퍼스타운_외부원두영업!L49+잇다카페_외부원두영업!L49+푸른솔!L49+의과대학!L49+중앙도서관!L49+학생회관!L49+멀티미디어관!L49+제2기숙사!L49+선승관!L49+예술디자인대!L49+공학관!L49</f>
        <v>1</v>
      </c>
      <c r="T49" s="81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205">
        <f t="shared" si="6"/>
        <v>3</v>
      </c>
      <c r="V49" s="152">
        <f t="shared" si="4"/>
        <v>33000</v>
      </c>
      <c r="W49" s="156">
        <f t="shared" si="5"/>
        <v>21</v>
      </c>
      <c r="X49" s="43">
        <f t="shared" si="14"/>
        <v>231000</v>
      </c>
      <c r="Y49" s="45"/>
      <c r="Z49" s="182">
        <v>0</v>
      </c>
      <c r="AA49" s="181">
        <f t="shared" si="15"/>
        <v>0</v>
      </c>
      <c r="AB49" s="241"/>
      <c r="AC49" s="244"/>
    </row>
    <row r="50" spans="1:29">
      <c r="A50" s="239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38">
        <v>33</v>
      </c>
      <c r="I50" s="104"/>
      <c r="J50" s="105"/>
      <c r="K50" s="105"/>
      <c r="L50" s="105">
        <v>0</v>
      </c>
      <c r="M50" s="106"/>
      <c r="N50" s="92">
        <f t="shared" si="2"/>
        <v>0</v>
      </c>
      <c r="O50" s="139">
        <f t="shared" si="3"/>
        <v>0</v>
      </c>
      <c r="P50" s="134">
        <f>캠퍼스타운_외부원두영업!I50+잇다카페_외부원두영업!I50+푸른솔!I50+의과대학!I50+중앙도서관!I50+학생회관!I50+멀티미디어관!I50+제2기숙사!I50+선승관!I50+예술디자인대!I50+공학관!I50</f>
        <v>0</v>
      </c>
      <c r="Q50" s="36">
        <f>캠퍼스타운_외부원두영업!J50+잇다카페_외부원두영업!J50+푸른솔!J50+의과대학!J50+중앙도서관!J50+학생회관!J50+멀티미디어관!J50+제2기숙사!J50+선승관!J50+예술디자인대!J50+공학관!J50</f>
        <v>3</v>
      </c>
      <c r="R50" s="36">
        <f>캠퍼스타운_외부원두영업!K50+잇다카페_외부원두영업!K50+푸른솔!K50+의과대학!K50+중앙도서관!K50+학생회관!K50+멀티미디어관!K50+제2기숙사!K50+선승관!K50+예술디자인대!K50+공학관!K50</f>
        <v>2</v>
      </c>
      <c r="S50" s="36">
        <f>캠퍼스타운_외부원두영업!L50+잇다카페_외부원두영업!L50+푸른솔!L50+의과대학!L50+중앙도서관!L50+학생회관!L50+멀티미디어관!L50+제2기숙사!L50+선승관!L50+예술디자인대!L50+공학관!L50</f>
        <v>4</v>
      </c>
      <c r="T50" s="81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205">
        <f t="shared" si="6"/>
        <v>9</v>
      </c>
      <c r="V50" s="152">
        <f t="shared" si="4"/>
        <v>40500</v>
      </c>
      <c r="W50" s="156">
        <f t="shared" si="5"/>
        <v>24</v>
      </c>
      <c r="X50" s="43">
        <f t="shared" si="14"/>
        <v>108000</v>
      </c>
      <c r="Y50" s="45"/>
      <c r="Z50" s="182">
        <v>0</v>
      </c>
      <c r="AA50" s="181">
        <f t="shared" si="15"/>
        <v>0</v>
      </c>
      <c r="AB50" s="241"/>
      <c r="AC50" s="244"/>
    </row>
    <row r="51" spans="1:29" ht="17.25" thickBot="1">
      <c r="A51" s="239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28">
        <v>28</v>
      </c>
      <c r="I51" s="104"/>
      <c r="J51" s="102"/>
      <c r="K51" s="102"/>
      <c r="L51" s="102">
        <v>12</v>
      </c>
      <c r="M51" s="103"/>
      <c r="N51" s="93">
        <f t="shared" si="2"/>
        <v>12</v>
      </c>
      <c r="O51" s="137">
        <f t="shared" si="3"/>
        <v>80400</v>
      </c>
      <c r="P51" s="125">
        <f>캠퍼스타운_외부원두영업!I51+잇다카페_외부원두영업!I51+푸른솔!I51+의과대학!I51+중앙도서관!I51+학생회관!I51+멀티미디어관!I51+제2기숙사!I51+선승관!I51+예술디자인대!I51+공학관!I51</f>
        <v>0</v>
      </c>
      <c r="Q51" s="26">
        <f>캠퍼스타운_외부원두영업!J51+잇다카페_외부원두영업!J51+푸른솔!J51+의과대학!J51+중앙도서관!J51+학생회관!J51+멀티미디어관!J51+제2기숙사!J51+선승관!J51+예술디자인대!J51+공학관!J51</f>
        <v>2</v>
      </c>
      <c r="R51" s="26">
        <f>캠퍼스타운_외부원두영업!K51+잇다카페_외부원두영업!K51+푸른솔!K51+의과대학!K51+중앙도서관!K51+학생회관!K51+멀티미디어관!K51+제2기숙사!K51+선승관!K51+예술디자인대!K51+공학관!K51</f>
        <v>3</v>
      </c>
      <c r="S51" s="26">
        <f>캠퍼스타운_외부원두영업!L51+잇다카페_외부원두영업!L51+푸른솔!L51+의과대학!L51+중앙도서관!L51+학생회관!L51+멀티미디어관!L51+제2기숙사!L51+선승관!L51+예술디자인대!L51+공학관!L51</f>
        <v>6</v>
      </c>
      <c r="T51" s="207">
        <f>캠퍼스타운_외부원두영업!M51+잇다카페_외부원두영업!M51+푸른솔!M51+의과대학!M51+중앙도서관!M51+학생회관!M51+멀티미디어관!M51+제2기숙사!M51+선승관!M51+예술디자인대!M51+공학관!M51</f>
        <v>0</v>
      </c>
      <c r="U51" s="206">
        <f t="shared" si="6"/>
        <v>11</v>
      </c>
      <c r="V51" s="153">
        <f t="shared" si="4"/>
        <v>73700</v>
      </c>
      <c r="W51" s="157">
        <f t="shared" si="5"/>
        <v>29</v>
      </c>
      <c r="X51" s="50">
        <f t="shared" si="14"/>
        <v>194300</v>
      </c>
      <c r="Y51" s="46"/>
      <c r="Z51" s="182">
        <v>0</v>
      </c>
      <c r="AA51" s="187">
        <f t="shared" si="15"/>
        <v>0</v>
      </c>
      <c r="AB51" s="241"/>
      <c r="AC51" s="244"/>
    </row>
    <row r="52" spans="1:29">
      <c r="A52" s="230" t="s">
        <v>116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8">
        <v>48</v>
      </c>
      <c r="I52" s="107"/>
      <c r="J52" s="99"/>
      <c r="K52" s="99">
        <v>0</v>
      </c>
      <c r="L52" s="99">
        <v>36</v>
      </c>
      <c r="M52" s="100"/>
      <c r="N52" s="91">
        <f t="shared" si="2"/>
        <v>36</v>
      </c>
      <c r="O52" s="136">
        <f t="shared" si="3"/>
        <v>248400</v>
      </c>
      <c r="P52" s="135">
        <f>캠퍼스타운_외부원두영업!I52+잇다카페_외부원두영업!I52+푸른솔!I52+의과대학!I52+중앙도서관!I52+학생회관!I52+멀티미디어관!I52+제2기숙사!I52+선승관!I52+예술디자인대!I52+공학관!I52</f>
        <v>2</v>
      </c>
      <c r="Q52" s="16">
        <f>캠퍼스타운_외부원두영업!J52+잇다카페_외부원두영업!J52+푸른솔!J52+의과대학!J52+중앙도서관!J52+학생회관!J52+멀티미디어관!J52+제2기숙사!J52+선승관!J52+예술디자인대!J52+공학관!J52</f>
        <v>10</v>
      </c>
      <c r="R52" s="16">
        <f>캠퍼스타운_외부원두영업!K52+잇다카페_외부원두영업!K52+푸른솔!K52+의과대학!K52+중앙도서관!K52+학생회관!K52+멀티미디어관!K52+제2기숙사!K52+선승관!K52+예술디자인대!K52+공학관!K52</f>
        <v>5</v>
      </c>
      <c r="S52" s="16">
        <f>캠퍼스타운_외부원두영업!L52+잇다카페_외부원두영업!L52+푸른솔!L52+의과대학!L52+중앙도서관!L52+학생회관!L52+멀티미디어관!L52+제2기숙사!L52+선승관!L52+예술디자인대!L52+공학관!L52</f>
        <v>10</v>
      </c>
      <c r="T52" s="53">
        <f>캠퍼스타운_외부원두영업!M52+잇다카페_외부원두영업!M52+푸른솔!M52+의과대학!M52+중앙도서관!M52+학생회관!M52+멀티미디어관!M52+제2기숙사!M52+선승관!M52+예술디자인대!M52+공학관!M52</f>
        <v>0</v>
      </c>
      <c r="U52" s="204">
        <f t="shared" si="6"/>
        <v>27</v>
      </c>
      <c r="V52" s="151">
        <f t="shared" si="4"/>
        <v>186300</v>
      </c>
      <c r="W52" s="155">
        <f t="shared" si="5"/>
        <v>57</v>
      </c>
      <c r="X52" s="23">
        <f t="shared" si="14"/>
        <v>393300</v>
      </c>
      <c r="Y52" s="47"/>
      <c r="Z52" s="183">
        <v>0</v>
      </c>
      <c r="AA52" s="188">
        <f t="shared" si="15"/>
        <v>0</v>
      </c>
      <c r="AB52" s="255">
        <f>SUM(AA52:AA61)</f>
        <v>0</v>
      </c>
      <c r="AC52" s="249">
        <f>AB52*1.1</f>
        <v>0</v>
      </c>
    </row>
    <row r="53" spans="1:29">
      <c r="A53" s="231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38">
        <v>30</v>
      </c>
      <c r="I53" s="104"/>
      <c r="J53" s="105"/>
      <c r="K53" s="105">
        <v>0</v>
      </c>
      <c r="L53" s="105">
        <v>24</v>
      </c>
      <c r="M53" s="106"/>
      <c r="N53" s="92">
        <f t="shared" si="2"/>
        <v>24</v>
      </c>
      <c r="O53" s="139">
        <f t="shared" si="3"/>
        <v>165600</v>
      </c>
      <c r="P53" s="134">
        <f>캠퍼스타운_외부원두영업!I53+잇다카페_외부원두영업!I53+푸른솔!I53+의과대학!I53+중앙도서관!I53+학생회관!I53+멀티미디어관!I53+제2기숙사!I53+선승관!I53+예술디자인대!I53+공학관!I53</f>
        <v>1</v>
      </c>
      <c r="Q53" s="36">
        <f>캠퍼스타운_외부원두영업!J53+잇다카페_외부원두영업!J53+푸른솔!J53+의과대학!J53+중앙도서관!J53+학생회관!J53+멀티미디어관!J53+제2기숙사!J53+선승관!J53+예술디자인대!J53+공학관!J53</f>
        <v>3</v>
      </c>
      <c r="R53" s="36">
        <f>캠퍼스타운_외부원두영업!K53+잇다카페_외부원두영업!K53+푸른솔!K53+의과대학!K53+중앙도서관!K53+학생회관!K53+멀티미디어관!K53+제2기숙사!K53+선승관!K53+예술디자인대!K53+공학관!K53</f>
        <v>2</v>
      </c>
      <c r="S53" s="36">
        <f>캠퍼스타운_외부원두영업!L53+잇다카페_외부원두영업!L53+푸른솔!L53+의과대학!L53+중앙도서관!L53+학생회관!L53+멀티미디어관!L53+제2기숙사!L53+선승관!L53+예술디자인대!L53+공학관!L53</f>
        <v>9</v>
      </c>
      <c r="T53" s="81">
        <f>캠퍼스타운_외부원두영업!M53+잇다카페_외부원두영업!M53+푸른솔!M53+의과대학!M53+중앙도서관!M53+학생회관!M53+멀티미디어관!M53+제2기숙사!M53+선승관!M53+예술디자인대!M53+공학관!M53</f>
        <v>0</v>
      </c>
      <c r="U53" s="205">
        <f t="shared" si="6"/>
        <v>15</v>
      </c>
      <c r="V53" s="152">
        <f t="shared" si="4"/>
        <v>103500</v>
      </c>
      <c r="W53" s="156">
        <f t="shared" si="5"/>
        <v>39</v>
      </c>
      <c r="X53" s="43">
        <f t="shared" si="14"/>
        <v>269100</v>
      </c>
      <c r="Y53" s="45"/>
      <c r="Z53" s="182">
        <v>0</v>
      </c>
      <c r="AA53" s="181">
        <f t="shared" si="15"/>
        <v>0</v>
      </c>
      <c r="AB53" s="257"/>
      <c r="AC53" s="251"/>
    </row>
    <row r="54" spans="1:29">
      <c r="A54" s="231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38">
        <v>27</v>
      </c>
      <c r="I54" s="104"/>
      <c r="J54" s="105"/>
      <c r="K54" s="105">
        <v>0</v>
      </c>
      <c r="L54" s="105">
        <v>12</v>
      </c>
      <c r="M54" s="106"/>
      <c r="N54" s="92">
        <f t="shared" si="2"/>
        <v>12</v>
      </c>
      <c r="O54" s="139">
        <f t="shared" si="3"/>
        <v>81600</v>
      </c>
      <c r="P54" s="134">
        <f>캠퍼스타운_외부원두영업!I54+잇다카페_외부원두영업!I54+푸른솔!I54+의과대학!I54+중앙도서관!I54+학생회관!I54+멀티미디어관!I54+제2기숙사!I54+선승관!I54+예술디자인대!I54+공학관!I54</f>
        <v>1</v>
      </c>
      <c r="Q54" s="36">
        <f>캠퍼스타운_외부원두영업!J54+잇다카페_외부원두영업!J54+푸른솔!J54+의과대학!J54+중앙도서관!J54+학생회관!J54+멀티미디어관!J54+제2기숙사!J54+선승관!J54+예술디자인대!J54+공학관!J54</f>
        <v>2</v>
      </c>
      <c r="R54" s="36">
        <f>캠퍼스타운_외부원두영업!K54+잇다카페_외부원두영업!K54+푸른솔!K54+의과대학!K54+중앙도서관!K54+학생회관!K54+멀티미디어관!K54+제2기숙사!K54+선승관!K54+예술디자인대!K54+공학관!K54</f>
        <v>2</v>
      </c>
      <c r="S54" s="36">
        <f>캠퍼스타운_외부원두영업!L54+잇다카페_외부원두영업!L54+푸른솔!L54+의과대학!L54+중앙도서관!L54+학생회관!L54+멀티미디어관!L54+제2기숙사!L54+선승관!L54+예술디자인대!L54+공학관!L54</f>
        <v>5</v>
      </c>
      <c r="T54" s="81">
        <f>캠퍼스타운_외부원두영업!M54+잇다카페_외부원두영업!M54+푸른솔!M54+의과대학!M54+중앙도서관!M54+학생회관!M54+멀티미디어관!M54+제2기숙사!M54+선승관!M54+예술디자인대!M54+공학관!M54</f>
        <v>0</v>
      </c>
      <c r="U54" s="205">
        <f t="shared" si="6"/>
        <v>10</v>
      </c>
      <c r="V54" s="152">
        <f t="shared" si="4"/>
        <v>68000</v>
      </c>
      <c r="W54" s="156">
        <f t="shared" si="5"/>
        <v>29</v>
      </c>
      <c r="X54" s="43">
        <f t="shared" si="14"/>
        <v>197200</v>
      </c>
      <c r="Y54" s="45"/>
      <c r="Z54" s="182">
        <v>0</v>
      </c>
      <c r="AA54" s="181">
        <f t="shared" si="15"/>
        <v>0</v>
      </c>
      <c r="AB54" s="257"/>
      <c r="AC54" s="251"/>
    </row>
    <row r="55" spans="1:29">
      <c r="A55" s="231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38">
        <v>65</v>
      </c>
      <c r="I55" s="104"/>
      <c r="J55" s="105"/>
      <c r="K55" s="105">
        <v>0</v>
      </c>
      <c r="L55" s="105">
        <v>40</v>
      </c>
      <c r="M55" s="106"/>
      <c r="N55" s="92">
        <f t="shared" si="2"/>
        <v>40</v>
      </c>
      <c r="O55" s="139">
        <f t="shared" si="3"/>
        <v>600000</v>
      </c>
      <c r="P55" s="134">
        <f>캠퍼스타운_외부원두영업!I55+잇다카페_외부원두영업!I55+푸른솔!I55+의과대학!I55+중앙도서관!I55+학생회관!I55+멀티미디어관!I55+제2기숙사!I55+선승관!I55+예술디자인대!I55+공학관!I55</f>
        <v>2</v>
      </c>
      <c r="Q55" s="36">
        <f>캠퍼스타운_외부원두영업!J55+잇다카페_외부원두영업!J55+푸른솔!J55+의과대학!J55+중앙도서관!J55+학생회관!J55+멀티미디어관!J55+제2기숙사!J55+선승관!J55+예술디자인대!J55+공학관!J55</f>
        <v>13</v>
      </c>
      <c r="R55" s="36">
        <f>캠퍼스타운_외부원두영업!K55+잇다카페_외부원두영업!K55+푸른솔!K55+의과대학!K55+중앙도서관!K55+학생회관!K55+멀티미디어관!K55+제2기숙사!K55+선승관!K55+예술디자인대!K55+공학관!K55</f>
        <v>9</v>
      </c>
      <c r="S55" s="36">
        <f>캠퍼스타운_외부원두영업!L55+잇다카페_외부원두영업!L55+푸른솔!L55+의과대학!L55+중앙도서관!L55+학생회관!L55+멀티미디어관!L55+제2기숙사!L55+선승관!L55+예술디자인대!L55+공학관!L55</f>
        <v>16</v>
      </c>
      <c r="T55" s="81">
        <f>캠퍼스타운_외부원두영업!M55+잇다카페_외부원두영업!M55+푸른솔!M55+의과대학!M55+중앙도서관!M55+학생회관!M55+멀티미디어관!M55+제2기숙사!M55+선승관!M55+예술디자인대!M55+공학관!M55</f>
        <v>0</v>
      </c>
      <c r="U55" s="205">
        <f t="shared" si="6"/>
        <v>40</v>
      </c>
      <c r="V55" s="152">
        <f t="shared" si="4"/>
        <v>600000</v>
      </c>
      <c r="W55" s="156">
        <f t="shared" si="5"/>
        <v>65</v>
      </c>
      <c r="X55" s="43">
        <f t="shared" si="14"/>
        <v>975000</v>
      </c>
      <c r="Y55" s="45"/>
      <c r="Z55" s="182">
        <v>0</v>
      </c>
      <c r="AA55" s="181">
        <f t="shared" si="15"/>
        <v>0</v>
      </c>
      <c r="AB55" s="257"/>
      <c r="AC55" s="251"/>
    </row>
    <row r="56" spans="1:29">
      <c r="A56" s="231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38">
        <v>44</v>
      </c>
      <c r="I56" s="104"/>
      <c r="J56" s="105"/>
      <c r="K56" s="105">
        <v>0</v>
      </c>
      <c r="L56" s="105">
        <v>30</v>
      </c>
      <c r="M56" s="106"/>
      <c r="N56" s="92">
        <f t="shared" si="2"/>
        <v>30</v>
      </c>
      <c r="O56" s="139">
        <f t="shared" si="3"/>
        <v>159000</v>
      </c>
      <c r="P56" s="134">
        <f>캠퍼스타운_외부원두영업!I56+잇다카페_외부원두영업!I56+푸른솔!I56+의과대학!I56+중앙도서관!I56+학생회관!I56+멀티미디어관!I56+제2기숙사!I56+선승관!I56+예술디자인대!I56+공학관!I56</f>
        <v>0</v>
      </c>
      <c r="Q56" s="36">
        <f>캠퍼스타운_외부원두영업!J56+잇다카페_외부원두영업!J56+푸른솔!J56+의과대학!J56+중앙도서관!J56+학생회관!J56+멀티미디어관!J56+제2기숙사!J56+선승관!J56+예술디자인대!J56+공학관!J56</f>
        <v>11</v>
      </c>
      <c r="R56" s="36">
        <f>캠퍼스타운_외부원두영업!K56+잇다카페_외부원두영업!K56+푸른솔!K56+의과대학!K56+중앙도서관!K56+학생회관!K56+멀티미디어관!K56+제2기숙사!K56+선승관!K56+예술디자인대!K56+공학관!K56</f>
        <v>8</v>
      </c>
      <c r="S56" s="36">
        <f>캠퍼스타운_외부원두영업!L56+잇다카페_외부원두영업!L56+푸른솔!L56+의과대학!L56+중앙도서관!L56+학생회관!L56+멀티미디어관!L56+제2기숙사!L56+선승관!L56+예술디자인대!L56+공학관!L56</f>
        <v>8</v>
      </c>
      <c r="T56" s="81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205">
        <f t="shared" si="6"/>
        <v>27</v>
      </c>
      <c r="V56" s="152">
        <f t="shared" si="4"/>
        <v>143100</v>
      </c>
      <c r="W56" s="156">
        <f t="shared" si="5"/>
        <v>47</v>
      </c>
      <c r="X56" s="43">
        <f t="shared" si="14"/>
        <v>249100</v>
      </c>
      <c r="Y56" s="45"/>
      <c r="Z56" s="182">
        <v>0</v>
      </c>
      <c r="AA56" s="181">
        <f t="shared" si="15"/>
        <v>0</v>
      </c>
      <c r="AB56" s="257"/>
      <c r="AC56" s="251"/>
    </row>
    <row r="57" spans="1:29">
      <c r="A57" s="231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38">
        <v>25</v>
      </c>
      <c r="I57" s="104"/>
      <c r="J57" s="105"/>
      <c r="K57" s="105">
        <v>12</v>
      </c>
      <c r="L57" s="105">
        <v>6</v>
      </c>
      <c r="M57" s="106"/>
      <c r="N57" s="92">
        <f t="shared" si="2"/>
        <v>18</v>
      </c>
      <c r="O57" s="139">
        <f t="shared" si="3"/>
        <v>118800</v>
      </c>
      <c r="P57" s="134">
        <f>캠퍼스타운_외부원두영업!I57+잇다카페_외부원두영업!I57+푸른솔!I57+의과대학!I57+중앙도서관!I57+학생회관!I57+멀티미디어관!I57+제2기숙사!I57+선승관!I57+예술디자인대!I57+공학관!I57</f>
        <v>0</v>
      </c>
      <c r="Q57" s="36">
        <f>캠퍼스타운_외부원두영업!J57+잇다카페_외부원두영업!J57+푸른솔!J57+의과대학!J57+중앙도서관!J57+학생회관!J57+멀티미디어관!J57+제2기숙사!J57+선승관!J57+예술디자인대!J57+공학관!J57</f>
        <v>7</v>
      </c>
      <c r="R57" s="36">
        <f>캠퍼스타운_외부원두영업!K57+잇다카페_외부원두영업!K57+푸른솔!K57+의과대학!K57+중앙도서관!K57+학생회관!K57+멀티미디어관!K57+제2기숙사!K57+선승관!K57+예술디자인대!K57+공학관!K57</f>
        <v>7</v>
      </c>
      <c r="S57" s="36">
        <f>캠퍼스타운_외부원두영업!L57+잇다카페_외부원두영업!L57+푸른솔!L57+의과대학!L57+중앙도서관!L57+학생회관!L57+멀티미디어관!L57+제2기숙사!L57+선승관!L57+예술디자인대!L57+공학관!L57</f>
        <v>9</v>
      </c>
      <c r="T57" s="81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205">
        <f t="shared" si="6"/>
        <v>23</v>
      </c>
      <c r="V57" s="152">
        <f t="shared" si="4"/>
        <v>151800</v>
      </c>
      <c r="W57" s="156">
        <f t="shared" si="5"/>
        <v>20</v>
      </c>
      <c r="X57" s="43">
        <f t="shared" si="14"/>
        <v>132000</v>
      </c>
      <c r="Y57" s="45"/>
      <c r="Z57" s="182">
        <v>0</v>
      </c>
      <c r="AA57" s="181">
        <f t="shared" si="15"/>
        <v>0</v>
      </c>
      <c r="AB57" s="257"/>
      <c r="AC57" s="251"/>
    </row>
    <row r="58" spans="1:29">
      <c r="A58" s="231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38">
        <v>8</v>
      </c>
      <c r="I58" s="104"/>
      <c r="J58" s="105"/>
      <c r="K58" s="105">
        <v>20</v>
      </c>
      <c r="L58" s="105">
        <v>20</v>
      </c>
      <c r="M58" s="106"/>
      <c r="N58" s="92">
        <f t="shared" si="2"/>
        <v>40</v>
      </c>
      <c r="O58" s="139">
        <f t="shared" si="3"/>
        <v>224000</v>
      </c>
      <c r="P58" s="134">
        <f>캠퍼스타운_외부원두영업!I58+잇다카페_외부원두영업!I58+푸른솔!I58+의과대학!I58+중앙도서관!I58+학생회관!I58+멀티미디어관!I58+제2기숙사!I58+선승관!I58+예술디자인대!I58+공학관!I58</f>
        <v>1</v>
      </c>
      <c r="Q58" s="36">
        <f>캠퍼스타운_외부원두영업!J58+잇다카페_외부원두영업!J58+푸른솔!J58+의과대학!J58+중앙도서관!J58+학생회관!J58+멀티미디어관!J58+제2기숙사!J58+선승관!J58+예술디자인대!J58+공학관!J58</f>
        <v>7</v>
      </c>
      <c r="R58" s="36">
        <f>캠퍼스타운_외부원두영업!K58+잇다카페_외부원두영업!K58+푸른솔!K58+의과대학!K58+중앙도서관!K58+학생회관!K58+멀티미디어관!K58+제2기숙사!K58+선승관!K58+예술디자인대!K58+공학관!K58</f>
        <v>4</v>
      </c>
      <c r="S58" s="36">
        <f>캠퍼스타운_외부원두영업!L58+잇다카페_외부원두영업!L58+푸른솔!L58+의과대학!L58+중앙도서관!L58+학생회관!L58+멀티미디어관!L58+제2기숙사!L58+선승관!L58+예술디자인대!L58+공학관!L58</f>
        <v>8</v>
      </c>
      <c r="T58" s="81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205">
        <f t="shared" si="6"/>
        <v>20</v>
      </c>
      <c r="V58" s="152">
        <f t="shared" si="4"/>
        <v>112000</v>
      </c>
      <c r="W58" s="156">
        <f t="shared" si="5"/>
        <v>28</v>
      </c>
      <c r="X58" s="43">
        <f t="shared" si="14"/>
        <v>156800</v>
      </c>
      <c r="Y58" s="45"/>
      <c r="Z58" s="182">
        <v>0</v>
      </c>
      <c r="AA58" s="181">
        <f t="shared" si="15"/>
        <v>0</v>
      </c>
      <c r="AB58" s="257"/>
      <c r="AC58" s="251"/>
    </row>
    <row r="59" spans="1:29">
      <c r="A59" s="231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38">
        <v>15</v>
      </c>
      <c r="I59" s="104"/>
      <c r="J59" s="105"/>
      <c r="K59" s="105">
        <v>12</v>
      </c>
      <c r="L59" s="105">
        <v>0</v>
      </c>
      <c r="M59" s="106"/>
      <c r="N59" s="92">
        <f t="shared" si="2"/>
        <v>12</v>
      </c>
      <c r="O59" s="139">
        <f t="shared" si="3"/>
        <v>169200</v>
      </c>
      <c r="P59" s="134">
        <f>캠퍼스타운_외부원두영업!I59+잇다카페_외부원두영업!I59+푸른솔!I59+의과대학!I59+중앙도서관!I59+학생회관!I59+멀티미디어관!I59+제2기숙사!I59+선승관!I59+예술디자인대!I59+공학관!I59</f>
        <v>1</v>
      </c>
      <c r="Q59" s="36">
        <f>캠퍼스타운_외부원두영업!J59+잇다카페_외부원두영업!J59+푸른솔!J59+의과대학!J59+중앙도서관!J59+학생회관!J59+멀티미디어관!J59+제2기숙사!J59+선승관!J59+예술디자인대!J59+공학관!J59</f>
        <v>2</v>
      </c>
      <c r="R59" s="36">
        <f>캠퍼스타운_외부원두영업!K59+잇다카페_외부원두영업!K59+푸른솔!K59+의과대학!K59+중앙도서관!K59+학생회관!K59+멀티미디어관!K59+제2기숙사!K59+선승관!K59+예술디자인대!K59+공학관!K59</f>
        <v>2</v>
      </c>
      <c r="S59" s="36">
        <f>캠퍼스타운_외부원두영업!L59+잇다카페_외부원두영업!L59+푸른솔!L59+의과대학!L59+중앙도서관!L59+학생회관!L59+멀티미디어관!L59+제2기숙사!L59+선승관!L59+예술디자인대!L59+공학관!L59</f>
        <v>2</v>
      </c>
      <c r="T59" s="81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205">
        <f t="shared" si="6"/>
        <v>7</v>
      </c>
      <c r="V59" s="152">
        <f t="shared" si="4"/>
        <v>98700</v>
      </c>
      <c r="W59" s="156">
        <f t="shared" si="5"/>
        <v>20</v>
      </c>
      <c r="X59" s="43">
        <f t="shared" si="14"/>
        <v>282000</v>
      </c>
      <c r="Y59" s="45"/>
      <c r="Z59" s="182">
        <v>0</v>
      </c>
      <c r="AA59" s="181">
        <f t="shared" si="15"/>
        <v>0</v>
      </c>
      <c r="AB59" s="257"/>
      <c r="AC59" s="251"/>
    </row>
    <row r="60" spans="1:29">
      <c r="A60" s="231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38">
        <v>5</v>
      </c>
      <c r="I60" s="104"/>
      <c r="J60" s="105"/>
      <c r="K60" s="105">
        <v>12</v>
      </c>
      <c r="L60" s="105">
        <v>0</v>
      </c>
      <c r="M60" s="106"/>
      <c r="N60" s="92">
        <f t="shared" si="2"/>
        <v>12</v>
      </c>
      <c r="O60" s="139">
        <f t="shared" si="3"/>
        <v>181200</v>
      </c>
      <c r="P60" s="134">
        <f>캠퍼스타운_외부원두영업!I60+잇다카페_외부원두영업!I60+푸른솔!I60+의과대학!I60+중앙도서관!I60+학생회관!I60+멀티미디어관!I60+제2기숙사!I60+선승관!I60+예술디자인대!I60+공학관!I60</f>
        <v>0</v>
      </c>
      <c r="Q60" s="36">
        <f>캠퍼스타운_외부원두영업!J60+잇다카페_외부원두영업!J60+푸른솔!J60+의과대학!J60+중앙도서관!J60+학생회관!J60+멀티미디어관!J60+제2기숙사!J60+선승관!J60+예술디자인대!J60+공학관!J60</f>
        <v>3</v>
      </c>
      <c r="R60" s="36">
        <f>캠퍼스타운_외부원두영업!K60+잇다카페_외부원두영업!K60+푸른솔!K60+의과대학!K60+중앙도서관!K60+학생회관!K60+멀티미디어관!K60+제2기숙사!K60+선승관!K60+예술디자인대!K60+공학관!K60</f>
        <v>1</v>
      </c>
      <c r="S60" s="36">
        <f>캠퍼스타운_외부원두영업!L60+잇다카페_외부원두영업!L60+푸른솔!L60+의과대학!L60+중앙도서관!L60+학생회관!L60+멀티미디어관!L60+제2기숙사!L60+선승관!L60+예술디자인대!L60+공학관!L60</f>
        <v>1</v>
      </c>
      <c r="T60" s="81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205">
        <f t="shared" si="6"/>
        <v>5</v>
      </c>
      <c r="V60" s="152">
        <f t="shared" si="4"/>
        <v>75500</v>
      </c>
      <c r="W60" s="156">
        <f t="shared" si="5"/>
        <v>12</v>
      </c>
      <c r="X60" s="43">
        <f t="shared" si="14"/>
        <v>181200</v>
      </c>
      <c r="Y60" s="45"/>
      <c r="Z60" s="182">
        <v>0</v>
      </c>
      <c r="AA60" s="181">
        <f t="shared" si="15"/>
        <v>0</v>
      </c>
      <c r="AB60" s="257"/>
      <c r="AC60" s="251"/>
    </row>
    <row r="61" spans="1:29" ht="17.25" thickBot="1">
      <c r="A61" s="232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28">
        <v>34</v>
      </c>
      <c r="I61" s="104"/>
      <c r="J61" s="102"/>
      <c r="K61" s="102">
        <v>0</v>
      </c>
      <c r="L61" s="102">
        <v>12</v>
      </c>
      <c r="M61" s="103"/>
      <c r="N61" s="94">
        <f t="shared" si="2"/>
        <v>12</v>
      </c>
      <c r="O61" s="138">
        <f t="shared" si="3"/>
        <v>183600</v>
      </c>
      <c r="P61" s="127">
        <f>캠퍼스타운_외부원두영업!I61+잇다카페_외부원두영업!I61+푸른솔!I61+의과대학!I61+중앙도서관!I61+학생회관!I61+멀티미디어관!I61+제2기숙사!I61+선승관!I61+예술디자인대!I61+공학관!I61</f>
        <v>0</v>
      </c>
      <c r="Q61" s="56">
        <f>캠퍼스타운_외부원두영업!J61+잇다카페_외부원두영업!J61+푸른솔!J61+의과대학!J61+중앙도서관!J61+학생회관!J61+멀티미디어관!J61+제2기숙사!J61+선승관!J61+예술디자인대!J61+공학관!J61</f>
        <v>5</v>
      </c>
      <c r="R61" s="56">
        <f>캠퍼스타운_외부원두영업!K61+잇다카페_외부원두영업!K61+푸른솔!K61+의과대학!K61+중앙도서관!K61+학생회관!K61+멀티미디어관!K61+제2기숙사!K61+선승관!K61+예술디자인대!K61+공학관!K61</f>
        <v>1</v>
      </c>
      <c r="S61" s="56">
        <f>캠퍼스타운_외부원두영업!L61+잇다카페_외부원두영업!L61+푸른솔!L61+의과대학!L61+중앙도서관!L61+학생회관!L61+멀티미디어관!L61+제2기숙사!L61+선승관!L61+예술디자인대!L61+공학관!L61</f>
        <v>7</v>
      </c>
      <c r="T61" s="76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206">
        <f t="shared" si="6"/>
        <v>13</v>
      </c>
      <c r="V61" s="153">
        <f t="shared" si="4"/>
        <v>198900</v>
      </c>
      <c r="W61" s="157">
        <f t="shared" si="5"/>
        <v>33</v>
      </c>
      <c r="X61" s="50">
        <f t="shared" si="14"/>
        <v>504900</v>
      </c>
      <c r="Y61" s="46"/>
      <c r="Z61" s="182">
        <v>0</v>
      </c>
      <c r="AA61" s="189">
        <f t="shared" si="15"/>
        <v>0</v>
      </c>
      <c r="AB61" s="256"/>
      <c r="AC61" s="250"/>
    </row>
    <row r="62" spans="1:29">
      <c r="A62" s="237" t="s">
        <v>117</v>
      </c>
      <c r="B62" s="14" t="s">
        <v>86</v>
      </c>
      <c r="C62" s="196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8">
        <v>371</v>
      </c>
      <c r="I62" s="107"/>
      <c r="J62" s="99"/>
      <c r="K62" s="99"/>
      <c r="L62" s="99">
        <v>400</v>
      </c>
      <c r="M62" s="100"/>
      <c r="N62" s="91">
        <f t="shared" si="2"/>
        <v>400</v>
      </c>
      <c r="O62" s="140">
        <f t="shared" si="3"/>
        <v>4400000</v>
      </c>
      <c r="P62" s="135">
        <f>캠퍼스타운_외부원두영업!I62+잇다카페_외부원두영업!I62+푸른솔!I62+의과대학!I62+중앙도서관!I62+학생회관!I62+멀티미디어관!I62+제2기숙사!I62+선승관!I62+예술디자인대!I62+공학관!I62</f>
        <v>33</v>
      </c>
      <c r="Q62" s="16">
        <f>캠퍼스타운_외부원두영업!J62+잇다카페_외부원두영업!J62+푸른솔!J62+의과대학!J62+중앙도서관!J62+학생회관!J62+멀티미디어관!J62+제2기숙사!J62+선승관!J62+예술디자인대!J62+공학관!J62</f>
        <v>107</v>
      </c>
      <c r="R62" s="16">
        <f>캠퍼스타운_외부원두영업!K62+잇다카페_외부원두영업!K62+푸른솔!K62+의과대학!K62+중앙도서관!K62+학생회관!K62+멀티미디어관!K62+제2기숙사!K62+선승관!K62+예술디자인대!K62+공학관!K62</f>
        <v>94</v>
      </c>
      <c r="S62" s="16">
        <f>캠퍼스타운_외부원두영업!L62+잇다카페_외부원두영업!L62+푸른솔!L62+의과대학!L62+중앙도서관!L62+학생회관!L62+멀티미디어관!L62+제2기숙사!L62+선승관!L62+예술디자인대!L62+공학관!L62</f>
        <v>137</v>
      </c>
      <c r="T62" s="53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204">
        <f t="shared" si="6"/>
        <v>371</v>
      </c>
      <c r="V62" s="151">
        <f t="shared" si="4"/>
        <v>4081000</v>
      </c>
      <c r="W62" s="155">
        <f t="shared" si="5"/>
        <v>400</v>
      </c>
      <c r="X62" s="23">
        <f t="shared" si="14"/>
        <v>4400000</v>
      </c>
      <c r="Y62" s="47"/>
      <c r="Z62" s="183">
        <v>0</v>
      </c>
      <c r="AA62" s="184">
        <f t="shared" si="15"/>
        <v>0</v>
      </c>
      <c r="AB62" s="190">
        <f>SUM(AA62)</f>
        <v>0</v>
      </c>
      <c r="AC62" s="191">
        <f>AB62*1.1</f>
        <v>0</v>
      </c>
    </row>
    <row r="63" spans="1:29" ht="17.25" thickBot="1">
      <c r="A63" s="238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58">
        <v>36</v>
      </c>
      <c r="I63" s="114"/>
      <c r="J63" s="109"/>
      <c r="K63" s="109"/>
      <c r="L63" s="109">
        <v>0</v>
      </c>
      <c r="M63" s="110"/>
      <c r="N63" s="94">
        <f t="shared" si="2"/>
        <v>0</v>
      </c>
      <c r="O63" s="137">
        <f t="shared" si="3"/>
        <v>0</v>
      </c>
      <c r="P63" s="127">
        <f>캠퍼스타운_외부원두영업!I63+잇다카페_외부원두영업!I63+푸른솔!I63+의과대학!I63+중앙도서관!I63+학생회관!I63+멀티미디어관!I63+제2기숙사!I63+선승관!I63+예술디자인대!I63+공학관!I63</f>
        <v>4</v>
      </c>
      <c r="Q63" s="56">
        <f>캠퍼스타운_외부원두영업!J63+잇다카페_외부원두영업!J63+푸른솔!J63+의과대학!J63+중앙도서관!J63+학생회관!J63+멀티미디어관!J63+제2기숙사!J63+선승관!J63+예술디자인대!J63+공학관!J63</f>
        <v>2</v>
      </c>
      <c r="R63" s="56">
        <f>캠퍼스타운_외부원두영업!K63+잇다카페_외부원두영업!K63+푸른솔!K63+의과대학!K63+중앙도서관!K63+학생회관!K63+멀티미디어관!K63+제2기숙사!K63+선승관!K63+예술디자인대!K63+공학관!K63</f>
        <v>4</v>
      </c>
      <c r="S63" s="56">
        <f>캠퍼스타운_외부원두영업!L63+잇다카페_외부원두영업!L63+푸른솔!L63+의과대학!L63+중앙도서관!L63+학생회관!L63+멀티미디어관!L63+제2기숙사!L63+선승관!L63+예술디자인대!L63+공학관!L63</f>
        <v>3</v>
      </c>
      <c r="T63" s="76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206">
        <f t="shared" si="6"/>
        <v>13</v>
      </c>
      <c r="V63" s="153">
        <f t="shared" si="4"/>
        <v>247000</v>
      </c>
      <c r="W63" s="157">
        <f t="shared" si="5"/>
        <v>23</v>
      </c>
      <c r="X63" s="50">
        <f t="shared" si="14"/>
        <v>437000</v>
      </c>
      <c r="Y63" s="62"/>
      <c r="Z63" s="185">
        <v>0</v>
      </c>
      <c r="AA63" s="195">
        <f t="shared" si="15"/>
        <v>0</v>
      </c>
      <c r="AB63" s="192">
        <f>SUM(AA63)</f>
        <v>0</v>
      </c>
      <c r="AC63" s="193">
        <f>AB63*1.1</f>
        <v>0</v>
      </c>
    </row>
    <row r="64" spans="1:29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8">
        <v>36</v>
      </c>
      <c r="I64" s="19"/>
      <c r="J64" s="20"/>
      <c r="K64" s="20"/>
      <c r="L64" s="20">
        <v>0</v>
      </c>
      <c r="M64" s="21"/>
      <c r="N64" s="95">
        <f t="shared" si="2"/>
        <v>0</v>
      </c>
      <c r="O64" s="136">
        <f t="shared" si="3"/>
        <v>0</v>
      </c>
      <c r="P64" s="126">
        <f>캠퍼스타운_외부원두영업!I64+잇다카페_외부원두영업!I64+푸른솔!I64+의과대학!I64+중앙도서관!I64+학생회관!I64+멀티미디어관!I64+제2기숙사!I64+선승관!I64+예술디자인대!I64+공학관!I64</f>
        <v>0</v>
      </c>
      <c r="Q64" s="54">
        <f>캠퍼스타운_외부원두영업!J64+잇다카페_외부원두영업!J64+푸른솔!J64+의과대학!J64+중앙도서관!J64+학생회관!J64+멀티미디어관!J64+제2기숙사!J64+선승관!J64+예술디자인대!J64+공학관!J64</f>
        <v>3</v>
      </c>
      <c r="R64" s="54">
        <f>캠퍼스타운_외부원두영업!K64+잇다카페_외부원두영업!K64+푸른솔!K64+의과대학!K64+중앙도서관!K64+학생회관!K64+멀티미디어관!K64+제2기숙사!K64+선승관!K64+예술디자인대!K64+공학관!K64</f>
        <v>4</v>
      </c>
      <c r="S64" s="54">
        <f>캠퍼스타운_외부원두영업!L64+잇다카페_외부원두영업!L64+푸른솔!L64+의과대학!L64+중앙도서관!L64+학생회관!L64+멀티미디어관!L64+제2기숙사!L64+선승관!L64+예술디자인대!L64+공학관!L64</f>
        <v>3</v>
      </c>
      <c r="T64" s="208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204">
        <f t="shared" si="6"/>
        <v>10</v>
      </c>
      <c r="V64" s="151">
        <f t="shared" si="4"/>
        <v>40000</v>
      </c>
      <c r="W64" s="155">
        <f t="shared" si="5"/>
        <v>26</v>
      </c>
      <c r="X64" s="23">
        <f t="shared" si="14"/>
        <v>104000</v>
      </c>
      <c r="Y64" s="47"/>
      <c r="Z64" s="24">
        <v>0</v>
      </c>
      <c r="AA64" s="88">
        <f t="shared" si="15"/>
        <v>0</v>
      </c>
      <c r="AB64" s="246">
        <f>SUM(AA64:AA67)</f>
        <v>0</v>
      </c>
      <c r="AC64" s="252">
        <f>AB64*1.1</f>
        <v>0</v>
      </c>
    </row>
    <row r="65" spans="1:29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38">
        <v>29</v>
      </c>
      <c r="I65" s="39"/>
      <c r="J65" s="40"/>
      <c r="K65" s="40"/>
      <c r="L65" s="40">
        <v>0</v>
      </c>
      <c r="M65" s="41"/>
      <c r="N65" s="92">
        <f t="shared" si="2"/>
        <v>0</v>
      </c>
      <c r="O65" s="139">
        <f t="shared" si="3"/>
        <v>0</v>
      </c>
      <c r="P65" s="134">
        <f>캠퍼스타운_외부원두영업!I65+잇다카페_외부원두영업!I65+푸른솔!I65+의과대학!I65+중앙도서관!I65+학생회관!I65+멀티미디어관!I65+제2기숙사!I65+선승관!I65+예술디자인대!I65+공학관!I65</f>
        <v>0</v>
      </c>
      <c r="Q65" s="36">
        <f>캠퍼스타운_외부원두영업!J65+잇다카페_외부원두영업!J65+푸른솔!J65+의과대학!J65+중앙도서관!J65+학생회관!J65+멀티미디어관!J65+제2기숙사!J65+선승관!J65+예술디자인대!J65+공학관!J65</f>
        <v>1</v>
      </c>
      <c r="R65" s="36">
        <f>캠퍼스타운_외부원두영업!K65+잇다카페_외부원두영업!K65+푸른솔!K65+의과대학!K65+중앙도서관!K65+학생회관!K65+멀티미디어관!K65+제2기숙사!K65+선승관!K65+예술디자인대!K65+공학관!K65</f>
        <v>4</v>
      </c>
      <c r="S65" s="36">
        <f>캠퍼스타운_외부원두영업!L65+잇다카페_외부원두영업!L65+푸른솔!L65+의과대학!L65+중앙도서관!L65+학생회관!L65+멀티미디어관!L65+제2기숙사!L65+선승관!L65+예술디자인대!L65+공학관!L65</f>
        <v>1</v>
      </c>
      <c r="T65" s="81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205">
        <f t="shared" si="6"/>
        <v>6</v>
      </c>
      <c r="V65" s="152">
        <f t="shared" si="4"/>
        <v>24000</v>
      </c>
      <c r="W65" s="156">
        <f t="shared" si="5"/>
        <v>23</v>
      </c>
      <c r="X65" s="43">
        <f t="shared" si="14"/>
        <v>92000</v>
      </c>
      <c r="Y65" s="45"/>
      <c r="Z65" s="87">
        <v>0</v>
      </c>
      <c r="AA65" s="33">
        <f t="shared" si="15"/>
        <v>0</v>
      </c>
      <c r="AB65" s="247"/>
      <c r="AC65" s="253"/>
    </row>
    <row r="66" spans="1:29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38">
        <v>41</v>
      </c>
      <c r="I66" s="39"/>
      <c r="J66" s="40"/>
      <c r="K66" s="40"/>
      <c r="L66" s="40">
        <v>0</v>
      </c>
      <c r="M66" s="41"/>
      <c r="N66" s="92">
        <f t="shared" si="2"/>
        <v>0</v>
      </c>
      <c r="O66" s="139">
        <f t="shared" si="3"/>
        <v>0</v>
      </c>
      <c r="P66" s="134">
        <f>캠퍼스타운_외부원두영업!I66+잇다카페_외부원두영업!I66+푸른솔!I66+의과대학!I66+중앙도서관!I66+학생회관!I66+멀티미디어관!I66+제2기숙사!I66+선승관!I66+예술디자인대!I66+공학관!I66</f>
        <v>0</v>
      </c>
      <c r="Q66" s="36">
        <f>캠퍼스타운_외부원두영업!J66+잇다카페_외부원두영업!J66+푸른솔!J66+의과대학!J66+중앙도서관!J66+학생회관!J66+멀티미디어관!J66+제2기숙사!J66+선승관!J66+예술디자인대!J66+공학관!J66</f>
        <v>1</v>
      </c>
      <c r="R66" s="36">
        <f>캠퍼스타운_외부원두영업!K66+잇다카페_외부원두영업!K66+푸른솔!K66+의과대학!K66+중앙도서관!K66+학생회관!K66+멀티미디어관!K66+제2기숙사!K66+선승관!K66+예술디자인대!K66+공학관!K66</f>
        <v>4</v>
      </c>
      <c r="S66" s="36">
        <f>캠퍼스타운_외부원두영업!L66+잇다카페_외부원두영업!L66+푸른솔!L66+의과대학!L66+중앙도서관!L66+학생회관!L66+멀티미디어관!L66+제2기숙사!L66+선승관!L66+예술디자인대!L66+공학관!L66</f>
        <v>0</v>
      </c>
      <c r="T66" s="81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205">
        <f t="shared" si="6"/>
        <v>5</v>
      </c>
      <c r="V66" s="152">
        <f t="shared" si="4"/>
        <v>20000</v>
      </c>
      <c r="W66" s="156">
        <f t="shared" si="5"/>
        <v>36</v>
      </c>
      <c r="X66" s="43">
        <f t="shared" si="14"/>
        <v>144000</v>
      </c>
      <c r="Y66" s="45"/>
      <c r="Z66" s="44">
        <v>0</v>
      </c>
      <c r="AA66" s="33">
        <f t="shared" si="15"/>
        <v>0</v>
      </c>
      <c r="AB66" s="247"/>
      <c r="AC66" s="253"/>
    </row>
    <row r="67" spans="1:29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58">
        <v>49</v>
      </c>
      <c r="I67" s="59"/>
      <c r="J67" s="60"/>
      <c r="K67" s="60"/>
      <c r="L67" s="60">
        <v>0</v>
      </c>
      <c r="M67" s="61"/>
      <c r="N67" s="94">
        <f t="shared" si="2"/>
        <v>0</v>
      </c>
      <c r="O67" s="137">
        <f t="shared" si="3"/>
        <v>0</v>
      </c>
      <c r="P67" s="127">
        <f>캠퍼스타운_외부원두영업!I67+잇다카페_외부원두영업!I67+푸른솔!I67+의과대학!I67+중앙도서관!I67+학생회관!I67+멀티미디어관!I67+제2기숙사!I67+선승관!I67+예술디자인대!I67+공학관!I67</f>
        <v>0</v>
      </c>
      <c r="Q67" s="56">
        <f>캠퍼스타운_외부원두영업!J67+잇다카페_외부원두영업!J67+푸른솔!J67+의과대학!J67+중앙도서관!J67+학생회관!J67+멀티미디어관!J67+제2기숙사!J67+선승관!J67+예술디자인대!J67+공학관!J67</f>
        <v>2</v>
      </c>
      <c r="R67" s="56">
        <f>캠퍼스타운_외부원두영업!K67+잇다카페_외부원두영업!K67+푸른솔!K67+의과대학!K67+중앙도서관!K67+학생회관!K67+멀티미디어관!K67+제2기숙사!K67+선승관!K67+예술디자인대!K67+공학관!K67</f>
        <v>4</v>
      </c>
      <c r="S67" s="56">
        <f>캠퍼스타운_외부원두영업!L67+잇다카페_외부원두영업!L67+푸른솔!L67+의과대학!L67+중앙도서관!L67+학생회관!L67+멀티미디어관!L67+제2기숙사!L67+선승관!L67+예술디자인대!L67+공학관!L67</f>
        <v>0</v>
      </c>
      <c r="T67" s="76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206">
        <f t="shared" si="6"/>
        <v>6</v>
      </c>
      <c r="V67" s="153">
        <f t="shared" si="4"/>
        <v>25800</v>
      </c>
      <c r="W67" s="157">
        <f t="shared" si="5"/>
        <v>43</v>
      </c>
      <c r="X67" s="50">
        <f t="shared" si="14"/>
        <v>184900</v>
      </c>
      <c r="Y67" s="62"/>
      <c r="Z67" s="89">
        <v>0</v>
      </c>
      <c r="AA67" s="158">
        <f t="shared" si="15"/>
        <v>0</v>
      </c>
      <c r="AB67" s="248"/>
      <c r="AC67" s="254"/>
    </row>
    <row r="68" spans="1:29" ht="15.75" customHeight="1" thickBot="1">
      <c r="A68" s="63"/>
      <c r="B68" s="63"/>
      <c r="C68" s="63"/>
      <c r="D68" s="63"/>
      <c r="E68" s="63"/>
      <c r="F68" s="63"/>
      <c r="G68" s="63"/>
      <c r="H68" s="63">
        <f t="shared" ref="H68:V68" si="16">SUM(H5:H67)</f>
        <v>203428</v>
      </c>
      <c r="I68" s="111">
        <f t="shared" si="16"/>
        <v>0</v>
      </c>
      <c r="J68" s="111">
        <f t="shared" si="16"/>
        <v>0</v>
      </c>
      <c r="K68" s="111">
        <f t="shared" si="16"/>
        <v>24524</v>
      </c>
      <c r="L68" s="111">
        <f t="shared" si="16"/>
        <v>41530</v>
      </c>
      <c r="M68" s="111">
        <f t="shared" si="16"/>
        <v>0</v>
      </c>
      <c r="N68" s="90">
        <f t="shared" si="16"/>
        <v>66054</v>
      </c>
      <c r="O68" s="96">
        <f t="shared" si="16"/>
        <v>11503440</v>
      </c>
      <c r="P68" s="63">
        <f t="shared" si="16"/>
        <v>5170</v>
      </c>
      <c r="Q68" s="63">
        <f t="shared" si="16"/>
        <v>25262</v>
      </c>
      <c r="R68" s="111">
        <f t="shared" si="16"/>
        <v>20017</v>
      </c>
      <c r="S68" s="111">
        <f t="shared" si="16"/>
        <v>32160</v>
      </c>
      <c r="T68" s="111">
        <f t="shared" si="16"/>
        <v>0</v>
      </c>
      <c r="U68" s="90">
        <f t="shared" si="16"/>
        <v>82609</v>
      </c>
      <c r="V68" s="96">
        <f t="shared" si="16"/>
        <v>11038042.5</v>
      </c>
      <c r="W68" s="154">
        <f>SUM(W5:W67)</f>
        <v>186873</v>
      </c>
      <c r="X68" s="96">
        <f>SUM(X5:X67)</f>
        <v>16930955</v>
      </c>
      <c r="Y68" s="63">
        <f>SUM(Y5:Y67)</f>
        <v>0</v>
      </c>
      <c r="Z68" s="63">
        <f>SUM(Z5:Z67)</f>
        <v>0</v>
      </c>
      <c r="AA68" s="159">
        <f>SUM(AA5:AA67)</f>
        <v>0</v>
      </c>
      <c r="AB68" s="1"/>
      <c r="AC68" s="1"/>
    </row>
    <row r="69" spans="1:29">
      <c r="V69" s="160">
        <f>캠퍼스타운_외부원두영업!O68+잇다카페_외부원두영업!O68+푸른솔!O68+의과대학!O68+중앙도서관!O68+학생회관!O68+멀티미디어관!O68+제2기숙사!O68+선승관!O68+예술디자인대!O68+공학관!O68</f>
        <v>11038042.5</v>
      </c>
    </row>
  </sheetData>
  <mergeCells count="17">
    <mergeCell ref="AB5:AB39"/>
    <mergeCell ref="AC5:AC39"/>
    <mergeCell ref="AB64:AB67"/>
    <mergeCell ref="AC40:AC41"/>
    <mergeCell ref="AC52:AC61"/>
    <mergeCell ref="AC64:AC67"/>
    <mergeCell ref="AB40:AB41"/>
    <mergeCell ref="AB52:AB61"/>
    <mergeCell ref="AB42:AB51"/>
    <mergeCell ref="AC42:AC51"/>
    <mergeCell ref="A1:Y2"/>
    <mergeCell ref="A52:A61"/>
    <mergeCell ref="A64:A67"/>
    <mergeCell ref="A40:A41"/>
    <mergeCell ref="A62:A63"/>
    <mergeCell ref="A42:A51"/>
    <mergeCell ref="A5:A39"/>
  </mergeCells>
  <phoneticPr fontId="18" type="noConversion"/>
  <conditionalFormatting sqref="W5:W37 W40:W67">
    <cfRule type="cellIs" dxfId="11" priority="7" operator="lessThan">
      <formula>0</formula>
    </cfRule>
    <cfRule type="cellIs" dxfId="10" priority="8" operator="lessThan">
      <formula>0</formula>
    </cfRule>
    <cfRule type="cellIs" dxfId="9" priority="9" operator="lessThan">
      <formula>0</formula>
    </cfRule>
    <cfRule type="cellIs" dxfId="8" priority="10" operator="lessThan">
      <formula>0</formula>
    </cfRule>
    <cfRule type="cellIs" dxfId="7" priority="11" operator="lessThan">
      <formula>0</formula>
    </cfRule>
    <cfRule type="cellIs" dxfId="6" priority="12" operator="lessThan">
      <formula>0</formula>
    </cfRule>
  </conditionalFormatting>
  <conditionalFormatting sqref="W38:W39">
    <cfRule type="cellIs" dxfId="5" priority="1" operator="lessThan">
      <formula>0</formula>
    </cfRule>
    <cfRule type="cellIs" dxfId="4" priority="2" operator="lessThan">
      <formula>0</formula>
    </cfRule>
    <cfRule type="cellIs" dxfId="3" priority="3" operator="lessThan">
      <formula>0</formula>
    </cfRule>
    <cfRule type="cellIs" dxfId="2" priority="4" operator="lessThan">
      <formula>0</formula>
    </cfRule>
    <cfRule type="cellIs" dxfId="1" priority="5" operator="less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scale="49" orientation="landscape" r:id="rId1"/>
  <ignoredErrors>
    <ignoredError sqref="X42 W43:X67 W40:X41 N5:O31 W5:X37 N33:O37 N40:T67 P5:T3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68"/>
  <sheetViews>
    <sheetView topLeftCell="A7" zoomScale="55" zoomScaleNormal="55" workbookViewId="0">
      <selection activeCell="W29" sqref="W29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147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/>
      <c r="I5" s="19"/>
      <c r="J5" s="20"/>
      <c r="K5" s="20"/>
      <c r="L5" s="20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38"/>
      <c r="I6" s="39"/>
      <c r="J6" s="40"/>
      <c r="K6" s="40"/>
      <c r="L6" s="40"/>
      <c r="M6" s="41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38"/>
      <c r="I7" s="39"/>
      <c r="J7" s="40"/>
      <c r="K7" s="40"/>
      <c r="L7" s="40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73"/>
      <c r="I8" s="39"/>
      <c r="J8" s="74"/>
      <c r="K8" s="74"/>
      <c r="L8" s="74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38"/>
      <c r="I9" s="39"/>
      <c r="J9" s="40"/>
      <c r="K9" s="40"/>
      <c r="L9" s="40"/>
      <c r="M9" s="41"/>
      <c r="N9" s="92">
        <f t="shared" si="0"/>
        <v>0</v>
      </c>
      <c r="O9" s="42">
        <f t="shared" si="1"/>
        <v>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38"/>
      <c r="I10" s="39"/>
      <c r="J10" s="40"/>
      <c r="K10" s="40"/>
      <c r="L10" s="40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73"/>
      <c r="I11" s="39"/>
      <c r="J11" s="74"/>
      <c r="K11" s="74"/>
      <c r="L11" s="74"/>
      <c r="M11" s="75"/>
      <c r="N11" s="92">
        <f t="shared" si="0"/>
        <v>0</v>
      </c>
      <c r="O11" s="42">
        <f t="shared" si="1"/>
        <v>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38"/>
      <c r="I12" s="39"/>
      <c r="J12" s="40"/>
      <c r="K12" s="40"/>
      <c r="L12" s="40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38"/>
      <c r="I13" s="39"/>
      <c r="J13" s="40"/>
      <c r="K13" s="40"/>
      <c r="L13" s="40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38"/>
      <c r="I14" s="39"/>
      <c r="J14" s="40"/>
      <c r="K14" s="40"/>
      <c r="L14" s="40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38"/>
      <c r="I15" s="39"/>
      <c r="J15" s="40"/>
      <c r="K15" s="40"/>
      <c r="L15" s="40"/>
      <c r="M15" s="41"/>
      <c r="N15" s="92">
        <f t="shared" si="0"/>
        <v>0</v>
      </c>
      <c r="O15" s="42">
        <f t="shared" si="1"/>
        <v>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38"/>
      <c r="I16" s="39"/>
      <c r="J16" s="40"/>
      <c r="K16" s="40"/>
      <c r="L16" s="40"/>
      <c r="M16" s="41"/>
      <c r="N16" s="92">
        <f t="shared" si="0"/>
        <v>0</v>
      </c>
      <c r="O16" s="42">
        <f t="shared" si="1"/>
        <v>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73"/>
      <c r="I17" s="39"/>
      <c r="J17" s="74"/>
      <c r="K17" s="74"/>
      <c r="L17" s="74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38"/>
      <c r="I18" s="39"/>
      <c r="J18" s="40"/>
      <c r="K18" s="40"/>
      <c r="L18" s="40"/>
      <c r="M18" s="41"/>
      <c r="N18" s="92">
        <f t="shared" si="0"/>
        <v>0</v>
      </c>
      <c r="O18" s="42">
        <f t="shared" si="1"/>
        <v>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38"/>
      <c r="I19" s="39"/>
      <c r="J19" s="40"/>
      <c r="K19" s="40"/>
      <c r="L19" s="40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73"/>
      <c r="I20" s="39"/>
      <c r="J20" s="74"/>
      <c r="K20" s="74"/>
      <c r="L20" s="74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38"/>
      <c r="I21" s="39"/>
      <c r="J21" s="40"/>
      <c r="K21" s="40"/>
      <c r="L21" s="40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38"/>
      <c r="I22" s="39"/>
      <c r="J22" s="40"/>
      <c r="K22" s="40"/>
      <c r="L22" s="40"/>
      <c r="M22" s="41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73"/>
      <c r="I23" s="39"/>
      <c r="J23" s="74"/>
      <c r="K23" s="74"/>
      <c r="L23" s="74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38"/>
      <c r="I24" s="39"/>
      <c r="J24" s="40"/>
      <c r="K24" s="40"/>
      <c r="L24" s="40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38"/>
      <c r="I25" s="39"/>
      <c r="J25" s="40"/>
      <c r="K25" s="40"/>
      <c r="L25" s="40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38"/>
      <c r="I26" s="39"/>
      <c r="J26" s="40"/>
      <c r="K26" s="40"/>
      <c r="L26" s="40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38"/>
      <c r="I27" s="39"/>
      <c r="J27" s="40"/>
      <c r="K27" s="40"/>
      <c r="L27" s="40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73"/>
      <c r="I28" s="39"/>
      <c r="J28" s="74"/>
      <c r="K28" s="74"/>
      <c r="L28" s="74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38"/>
      <c r="I29" s="39"/>
      <c r="J29" s="40"/>
      <c r="K29" s="40"/>
      <c r="L29" s="40"/>
      <c r="M29" s="41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38"/>
      <c r="I30" s="39"/>
      <c r="J30" s="40"/>
      <c r="K30" s="40"/>
      <c r="L30" s="40"/>
      <c r="M30" s="41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38"/>
      <c r="I31" s="39"/>
      <c r="J31" s="40"/>
      <c r="K31" s="40"/>
      <c r="L31" s="40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38"/>
      <c r="I32" s="104"/>
      <c r="J32" s="105"/>
      <c r="K32" s="105"/>
      <c r="L32" s="105"/>
      <c r="M32" s="106"/>
      <c r="N32" s="92">
        <f>I32+J32+K32+L32+M32</f>
        <v>0</v>
      </c>
      <c r="O32" s="42">
        <f>E32*N32</f>
        <v>0</v>
      </c>
    </row>
    <row r="33" spans="1:15" ht="16.5" customHeight="1">
      <c r="A33" s="260"/>
      <c r="B33" s="197" t="s">
        <v>121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73"/>
      <c r="I33" s="39"/>
      <c r="J33" s="74"/>
      <c r="K33" s="74"/>
      <c r="L33" s="74"/>
      <c r="M33" s="75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73"/>
      <c r="I34" s="39"/>
      <c r="J34" s="74"/>
      <c r="K34" s="74"/>
      <c r="L34" s="74"/>
      <c r="M34" s="75"/>
      <c r="N34" s="92">
        <f t="shared" si="0"/>
        <v>0</v>
      </c>
      <c r="O34" s="42">
        <f t="shared" si="1"/>
        <v>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73"/>
      <c r="I35" s="39"/>
      <c r="J35" s="74"/>
      <c r="K35" s="74"/>
      <c r="L35" s="74"/>
      <c r="M35" s="75"/>
      <c r="N35" s="92">
        <f t="shared" si="0"/>
        <v>0</v>
      </c>
      <c r="O35" s="42">
        <f t="shared" si="1"/>
        <v>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38"/>
      <c r="I36" s="39"/>
      <c r="J36" s="40"/>
      <c r="K36" s="40"/>
      <c r="L36" s="40"/>
      <c r="M36" s="41"/>
      <c r="N36" s="92">
        <f t="shared" si="0"/>
        <v>0</v>
      </c>
      <c r="O36" s="42">
        <f t="shared" si="1"/>
        <v>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28"/>
      <c r="I37" s="29"/>
      <c r="J37" s="30"/>
      <c r="K37" s="30"/>
      <c r="L37" s="30"/>
      <c r="M37" s="31"/>
      <c r="N37" s="93">
        <f t="shared" si="0"/>
        <v>0</v>
      </c>
      <c r="O37" s="32">
        <f t="shared" si="1"/>
        <v>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ref="N38:N39" si="2">I38+J38+K38+L38+M38</f>
        <v>0</v>
      </c>
      <c r="O38" s="42">
        <f t="shared" ref="O38:O39" si="3">E38*N38</f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2"/>
        <v>0</v>
      </c>
      <c r="O39" s="32">
        <f t="shared" si="3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8"/>
      <c r="I40" s="19"/>
      <c r="J40" s="20"/>
      <c r="K40" s="20"/>
      <c r="L40" s="20"/>
      <c r="M40" s="21"/>
      <c r="N40" s="91">
        <f t="shared" si="0"/>
        <v>0</v>
      </c>
      <c r="O40" s="22">
        <f t="shared" si="1"/>
        <v>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28"/>
      <c r="I41" s="29"/>
      <c r="J41" s="30"/>
      <c r="K41" s="30"/>
      <c r="L41" s="30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8"/>
      <c r="I42" s="19"/>
      <c r="J42" s="20"/>
      <c r="K42" s="20"/>
      <c r="L42" s="20"/>
      <c r="M42" s="21"/>
      <c r="N42" s="95">
        <f t="shared" si="0"/>
        <v>0</v>
      </c>
      <c r="O42" s="22">
        <f t="shared" si="1"/>
        <v>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38"/>
      <c r="I43" s="39"/>
      <c r="J43" s="40"/>
      <c r="K43" s="40"/>
      <c r="L43" s="40"/>
      <c r="M43" s="41"/>
      <c r="N43" s="92">
        <f t="shared" si="0"/>
        <v>0</v>
      </c>
      <c r="O43" s="42">
        <f t="shared" si="1"/>
        <v>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38"/>
      <c r="I44" s="39"/>
      <c r="J44" s="40"/>
      <c r="K44" s="40"/>
      <c r="L44" s="40"/>
      <c r="M44" s="41"/>
      <c r="N44" s="92">
        <f t="shared" si="0"/>
        <v>0</v>
      </c>
      <c r="O44" s="42">
        <f t="shared" si="1"/>
        <v>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38"/>
      <c r="I45" s="39"/>
      <c r="J45" s="40"/>
      <c r="K45" s="40"/>
      <c r="L45" s="40"/>
      <c r="M45" s="41"/>
      <c r="N45" s="92">
        <f t="shared" si="0"/>
        <v>0</v>
      </c>
      <c r="O45" s="42">
        <f t="shared" si="1"/>
        <v>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38"/>
      <c r="I46" s="39"/>
      <c r="J46" s="40"/>
      <c r="K46" s="40"/>
      <c r="L46" s="40"/>
      <c r="M46" s="41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38"/>
      <c r="I47" s="39"/>
      <c r="J47" s="40"/>
      <c r="K47" s="40"/>
      <c r="L47" s="40"/>
      <c r="M47" s="41"/>
      <c r="N47" s="92">
        <f t="shared" si="0"/>
        <v>0</v>
      </c>
      <c r="O47" s="42">
        <f t="shared" si="1"/>
        <v>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38"/>
      <c r="I48" s="39"/>
      <c r="J48" s="40"/>
      <c r="K48" s="40"/>
      <c r="L48" s="40"/>
      <c r="M48" s="41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38"/>
      <c r="I49" s="39"/>
      <c r="J49" s="40"/>
      <c r="K49" s="40"/>
      <c r="L49" s="40"/>
      <c r="M49" s="41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38"/>
      <c r="I50" s="39"/>
      <c r="J50" s="40"/>
      <c r="K50" s="40"/>
      <c r="L50" s="40"/>
      <c r="M50" s="41"/>
      <c r="N50" s="92">
        <f t="shared" si="0"/>
        <v>0</v>
      </c>
      <c r="O50" s="42">
        <f t="shared" si="1"/>
        <v>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28"/>
      <c r="I51" s="39"/>
      <c r="J51" s="30"/>
      <c r="K51" s="30"/>
      <c r="L51" s="30"/>
      <c r="M51" s="31"/>
      <c r="N51" s="93">
        <f t="shared" si="0"/>
        <v>0</v>
      </c>
      <c r="O51" s="49">
        <f t="shared" si="1"/>
        <v>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8"/>
      <c r="I52" s="52"/>
      <c r="J52" s="20"/>
      <c r="K52" s="20"/>
      <c r="L52" s="20"/>
      <c r="M52" s="21"/>
      <c r="N52" s="91">
        <f t="shared" si="0"/>
        <v>0</v>
      </c>
      <c r="O52" s="97">
        <f t="shared" si="1"/>
        <v>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38"/>
      <c r="I53" s="39"/>
      <c r="J53" s="40"/>
      <c r="K53" s="40"/>
      <c r="L53" s="40"/>
      <c r="M53" s="41"/>
      <c r="N53" s="92">
        <f t="shared" si="0"/>
        <v>0</v>
      </c>
      <c r="O53" s="42">
        <f t="shared" si="1"/>
        <v>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38"/>
      <c r="I54" s="39"/>
      <c r="J54" s="40"/>
      <c r="K54" s="40"/>
      <c r="L54" s="40"/>
      <c r="M54" s="41"/>
      <c r="N54" s="92">
        <f t="shared" si="0"/>
        <v>0</v>
      </c>
      <c r="O54" s="42">
        <f t="shared" si="1"/>
        <v>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38"/>
      <c r="I55" s="39"/>
      <c r="J55" s="40"/>
      <c r="K55" s="40"/>
      <c r="L55" s="40"/>
      <c r="M55" s="41"/>
      <c r="N55" s="92">
        <f t="shared" si="0"/>
        <v>0</v>
      </c>
      <c r="O55" s="42">
        <f t="shared" si="1"/>
        <v>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38"/>
      <c r="I56" s="39"/>
      <c r="J56" s="40"/>
      <c r="K56" s="40"/>
      <c r="L56" s="40"/>
      <c r="M56" s="41"/>
      <c r="N56" s="92">
        <f t="shared" si="0"/>
        <v>0</v>
      </c>
      <c r="O56" s="42">
        <f t="shared" si="1"/>
        <v>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38"/>
      <c r="I57" s="39"/>
      <c r="J57" s="40"/>
      <c r="K57" s="40"/>
      <c r="L57" s="40"/>
      <c r="M57" s="41"/>
      <c r="N57" s="92">
        <f t="shared" si="0"/>
        <v>0</v>
      </c>
      <c r="O57" s="42">
        <f t="shared" si="1"/>
        <v>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38"/>
      <c r="I58" s="39"/>
      <c r="J58" s="40"/>
      <c r="K58" s="40"/>
      <c r="L58" s="40"/>
      <c r="M58" s="41"/>
      <c r="N58" s="92">
        <f t="shared" si="0"/>
        <v>0</v>
      </c>
      <c r="O58" s="42">
        <f t="shared" si="1"/>
        <v>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38"/>
      <c r="I59" s="39"/>
      <c r="J59" s="40"/>
      <c r="K59" s="40"/>
      <c r="L59" s="40"/>
      <c r="M59" s="41"/>
      <c r="N59" s="92">
        <f t="shared" si="0"/>
        <v>0</v>
      </c>
      <c r="O59" s="42">
        <f t="shared" si="1"/>
        <v>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38"/>
      <c r="I60" s="39"/>
      <c r="J60" s="40"/>
      <c r="K60" s="40"/>
      <c r="L60" s="40"/>
      <c r="M60" s="41"/>
      <c r="N60" s="92">
        <f t="shared" si="0"/>
        <v>0</v>
      </c>
      <c r="O60" s="42">
        <f t="shared" si="1"/>
        <v>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28"/>
      <c r="I61" s="39"/>
      <c r="J61" s="30"/>
      <c r="K61" s="30"/>
      <c r="L61" s="30"/>
      <c r="M61" s="31"/>
      <c r="N61" s="94">
        <f t="shared" si="0"/>
        <v>0</v>
      </c>
      <c r="O61" s="32">
        <f t="shared" si="1"/>
        <v>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8"/>
      <c r="I62" s="52"/>
      <c r="J62" s="20"/>
      <c r="K62" s="99"/>
      <c r="L62" s="20">
        <v>25</v>
      </c>
      <c r="M62" s="21"/>
      <c r="N62" s="91">
        <f t="shared" si="0"/>
        <v>25</v>
      </c>
      <c r="O62" s="22">
        <f t="shared" si="1"/>
        <v>275000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58"/>
      <c r="I63" s="77"/>
      <c r="J63" s="60"/>
      <c r="K63" s="60"/>
      <c r="L63" s="60"/>
      <c r="M63" s="61"/>
      <c r="N63" s="94">
        <f t="shared" si="0"/>
        <v>0</v>
      </c>
      <c r="O63" s="49">
        <f t="shared" si="1"/>
        <v>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8"/>
      <c r="I64" s="19"/>
      <c r="J64" s="20"/>
      <c r="K64" s="20"/>
      <c r="L64" s="20"/>
      <c r="M64" s="21"/>
      <c r="N64" s="95">
        <f t="shared" si="0"/>
        <v>0</v>
      </c>
      <c r="O64" s="97">
        <f t="shared" si="1"/>
        <v>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38"/>
      <c r="I65" s="39"/>
      <c r="J65" s="40"/>
      <c r="K65" s="40"/>
      <c r="L65" s="40"/>
      <c r="M65" s="41"/>
      <c r="N65" s="92">
        <f t="shared" si="0"/>
        <v>0</v>
      </c>
      <c r="O65" s="42">
        <f t="shared" si="1"/>
        <v>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38"/>
      <c r="I66" s="39"/>
      <c r="J66" s="40"/>
      <c r="K66" s="40"/>
      <c r="L66" s="40"/>
      <c r="M66" s="41"/>
      <c r="N66" s="92">
        <f t="shared" si="0"/>
        <v>0</v>
      </c>
      <c r="O66" s="42">
        <f t="shared" si="1"/>
        <v>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58"/>
      <c r="I67" s="59"/>
      <c r="J67" s="60"/>
      <c r="K67" s="60"/>
      <c r="L67" s="60"/>
      <c r="M67" s="61"/>
      <c r="N67" s="94">
        <f t="shared" si="0"/>
        <v>0</v>
      </c>
      <c r="O67" s="49">
        <f t="shared" si="1"/>
        <v>0</v>
      </c>
    </row>
    <row r="68" spans="1:15" ht="17.25" thickBot="1">
      <c r="A68" s="63"/>
      <c r="B68" s="63"/>
      <c r="C68" s="63"/>
      <c r="D68" s="63"/>
      <c r="E68" s="63">
        <f t="shared" ref="E68:M68" si="4">SUM(E5:E67)</f>
        <v>282692.21499999997</v>
      </c>
      <c r="F68" s="63">
        <f t="shared" si="4"/>
        <v>76613</v>
      </c>
      <c r="G68" s="63">
        <f t="shared" si="4"/>
        <v>3062970</v>
      </c>
      <c r="H68" s="63">
        <f t="shared" si="4"/>
        <v>0</v>
      </c>
      <c r="I68" s="63">
        <f t="shared" si="4"/>
        <v>0</v>
      </c>
      <c r="J68" s="63">
        <f t="shared" si="4"/>
        <v>0</v>
      </c>
      <c r="K68" s="63">
        <f t="shared" si="4"/>
        <v>0</v>
      </c>
      <c r="L68" s="63">
        <f t="shared" si="4"/>
        <v>25</v>
      </c>
      <c r="M68" s="63">
        <f t="shared" si="4"/>
        <v>0</v>
      </c>
      <c r="N68" s="90">
        <f>SUM(N5:N67)</f>
        <v>25</v>
      </c>
      <c r="O68" s="96">
        <f>SUM(O5:O67)</f>
        <v>275000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O70"/>
  <sheetViews>
    <sheetView topLeftCell="A21" zoomScale="70" zoomScaleNormal="70" workbookViewId="0">
      <selection activeCell="M53" sqref="M53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148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/>
      <c r="I5" s="98"/>
      <c r="J5" s="99"/>
      <c r="K5" s="99"/>
      <c r="L5" s="99"/>
      <c r="M5" s="100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38"/>
      <c r="I6" s="104"/>
      <c r="J6" s="105"/>
      <c r="K6" s="105"/>
      <c r="L6" s="105"/>
      <c r="M6" s="106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38"/>
      <c r="I7" s="104"/>
      <c r="J7" s="105"/>
      <c r="K7" s="105"/>
      <c r="L7" s="105"/>
      <c r="M7" s="106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73"/>
      <c r="I8" s="104"/>
      <c r="J8" s="112"/>
      <c r="K8" s="112"/>
      <c r="L8" s="112"/>
      <c r="M8" s="113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38"/>
      <c r="I9" s="104"/>
      <c r="J9" s="105"/>
      <c r="K9" s="105"/>
      <c r="L9" s="105"/>
      <c r="M9" s="106"/>
      <c r="N9" s="92">
        <f t="shared" si="0"/>
        <v>0</v>
      </c>
      <c r="O9" s="42">
        <f t="shared" si="1"/>
        <v>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38"/>
      <c r="I10" s="104"/>
      <c r="J10" s="105"/>
      <c r="K10" s="105"/>
      <c r="L10" s="105"/>
      <c r="M10" s="106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73"/>
      <c r="I11" s="104"/>
      <c r="J11" s="112"/>
      <c r="K11" s="112"/>
      <c r="L11" s="112"/>
      <c r="M11" s="113"/>
      <c r="N11" s="92">
        <f t="shared" si="0"/>
        <v>0</v>
      </c>
      <c r="O11" s="42">
        <f t="shared" si="1"/>
        <v>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38"/>
      <c r="I12" s="104"/>
      <c r="J12" s="105"/>
      <c r="K12" s="105"/>
      <c r="L12" s="105"/>
      <c r="M12" s="106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38"/>
      <c r="I13" s="104"/>
      <c r="J13" s="105"/>
      <c r="K13" s="105"/>
      <c r="L13" s="105"/>
      <c r="M13" s="106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38"/>
      <c r="I14" s="104"/>
      <c r="J14" s="105"/>
      <c r="K14" s="105"/>
      <c r="L14" s="105"/>
      <c r="M14" s="106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38"/>
      <c r="I15" s="104"/>
      <c r="J15" s="105"/>
      <c r="K15" s="105"/>
      <c r="L15" s="105"/>
      <c r="M15" s="106"/>
      <c r="N15" s="92">
        <f t="shared" si="0"/>
        <v>0</v>
      </c>
      <c r="O15" s="42">
        <f t="shared" si="1"/>
        <v>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38"/>
      <c r="I16" s="104"/>
      <c r="J16" s="105"/>
      <c r="K16" s="105"/>
      <c r="L16" s="105"/>
      <c r="M16" s="106"/>
      <c r="N16" s="92">
        <f t="shared" si="0"/>
        <v>0</v>
      </c>
      <c r="O16" s="42">
        <f t="shared" si="1"/>
        <v>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73"/>
      <c r="I17" s="104"/>
      <c r="J17" s="112"/>
      <c r="K17" s="112"/>
      <c r="L17" s="112"/>
      <c r="M17" s="113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38"/>
      <c r="I18" s="104"/>
      <c r="J18" s="105"/>
      <c r="K18" s="105"/>
      <c r="L18" s="105"/>
      <c r="M18" s="106"/>
      <c r="N18" s="92">
        <f t="shared" si="0"/>
        <v>0</v>
      </c>
      <c r="O18" s="42">
        <f t="shared" si="1"/>
        <v>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38"/>
      <c r="I19" s="104"/>
      <c r="J19" s="105"/>
      <c r="K19" s="105"/>
      <c r="L19" s="105"/>
      <c r="M19" s="106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73"/>
      <c r="I20" s="104"/>
      <c r="J20" s="112"/>
      <c r="K20" s="112"/>
      <c r="L20" s="112"/>
      <c r="M20" s="113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38"/>
      <c r="I21" s="104"/>
      <c r="J21" s="105"/>
      <c r="K21" s="105"/>
      <c r="L21" s="105"/>
      <c r="M21" s="106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38"/>
      <c r="I22" s="104"/>
      <c r="J22" s="105"/>
      <c r="K22" s="105"/>
      <c r="L22" s="105"/>
      <c r="M22" s="106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73"/>
      <c r="I23" s="104"/>
      <c r="J23" s="112"/>
      <c r="K23" s="112"/>
      <c r="L23" s="112"/>
      <c r="M23" s="113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38"/>
      <c r="I24" s="104"/>
      <c r="J24" s="105"/>
      <c r="K24" s="105"/>
      <c r="L24" s="105"/>
      <c r="M24" s="106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38"/>
      <c r="I25" s="104"/>
      <c r="J25" s="105"/>
      <c r="K25" s="105"/>
      <c r="L25" s="105"/>
      <c r="M25" s="106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38"/>
      <c r="I26" s="104"/>
      <c r="J26" s="105"/>
      <c r="K26" s="105"/>
      <c r="L26" s="105"/>
      <c r="M26" s="106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38"/>
      <c r="I27" s="104"/>
      <c r="J27" s="105"/>
      <c r="K27" s="105"/>
      <c r="L27" s="105"/>
      <c r="M27" s="106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73"/>
      <c r="I28" s="104"/>
      <c r="J28" s="112"/>
      <c r="K28" s="112"/>
      <c r="L28" s="112"/>
      <c r="M28" s="113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38"/>
      <c r="I29" s="104"/>
      <c r="J29" s="105"/>
      <c r="K29" s="105"/>
      <c r="L29" s="105"/>
      <c r="M29" s="106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38"/>
      <c r="I30" s="104"/>
      <c r="J30" s="105"/>
      <c r="K30" s="105"/>
      <c r="L30" s="105"/>
      <c r="M30" s="106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38"/>
      <c r="I31" s="104"/>
      <c r="J31" s="105"/>
      <c r="K31" s="105"/>
      <c r="L31" s="105"/>
      <c r="M31" s="106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38"/>
      <c r="I32" s="104"/>
      <c r="J32" s="105"/>
      <c r="K32" s="105"/>
      <c r="L32" s="105"/>
      <c r="M32" s="106"/>
      <c r="N32" s="92">
        <f>I32+J32+K32+L32+M32</f>
        <v>0</v>
      </c>
      <c r="O32" s="42">
        <f>E32*N32</f>
        <v>0</v>
      </c>
    </row>
    <row r="33" spans="1:15" ht="16.5" customHeight="1">
      <c r="A33" s="260"/>
      <c r="B33" s="197" t="s">
        <v>121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73"/>
      <c r="I33" s="104"/>
      <c r="J33" s="112"/>
      <c r="K33" s="112"/>
      <c r="L33" s="112"/>
      <c r="M33" s="113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73"/>
      <c r="I34" s="104"/>
      <c r="J34" s="112"/>
      <c r="K34" s="112"/>
      <c r="L34" s="112"/>
      <c r="M34" s="113"/>
      <c r="N34" s="92">
        <f t="shared" si="0"/>
        <v>0</v>
      </c>
      <c r="O34" s="42">
        <f t="shared" si="1"/>
        <v>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73"/>
      <c r="I35" s="104"/>
      <c r="J35" s="112"/>
      <c r="K35" s="112"/>
      <c r="L35" s="112"/>
      <c r="M35" s="113"/>
      <c r="N35" s="92">
        <f t="shared" si="0"/>
        <v>0</v>
      </c>
      <c r="O35" s="42">
        <f t="shared" si="1"/>
        <v>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38"/>
      <c r="I36" s="104"/>
      <c r="J36" s="105"/>
      <c r="K36" s="105"/>
      <c r="L36" s="105"/>
      <c r="M36" s="106"/>
      <c r="N36" s="92">
        <f t="shared" si="0"/>
        <v>0</v>
      </c>
      <c r="O36" s="42">
        <f t="shared" si="1"/>
        <v>0</v>
      </c>
    </row>
    <row r="37" spans="1:15" ht="16.5" customHeight="1">
      <c r="A37" s="260"/>
      <c r="B37" s="25" t="s">
        <v>119</v>
      </c>
      <c r="C37" s="34" t="s">
        <v>50</v>
      </c>
      <c r="D37" s="34" t="s">
        <v>6</v>
      </c>
      <c r="E37" s="64">
        <v>6870</v>
      </c>
      <c r="F37" s="36">
        <v>8</v>
      </c>
      <c r="G37" s="27">
        <v>54960</v>
      </c>
      <c r="H37" s="28"/>
      <c r="I37" s="101"/>
      <c r="J37" s="102"/>
      <c r="K37" s="102"/>
      <c r="L37" s="102"/>
      <c r="M37" s="103"/>
      <c r="N37" s="93">
        <f t="shared" si="0"/>
        <v>0</v>
      </c>
      <c r="O37" s="32">
        <f t="shared" si="1"/>
        <v>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8"/>
      <c r="I40" s="98"/>
      <c r="J40" s="99"/>
      <c r="K40" s="99"/>
      <c r="L40" s="99"/>
      <c r="M40" s="100"/>
      <c r="N40" s="91">
        <f t="shared" si="0"/>
        <v>0</v>
      </c>
      <c r="O40" s="22">
        <f t="shared" si="1"/>
        <v>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28"/>
      <c r="I41" s="101"/>
      <c r="J41" s="102"/>
      <c r="K41" s="102"/>
      <c r="L41" s="102"/>
      <c r="M41" s="103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8"/>
      <c r="I42" s="98"/>
      <c r="J42" s="99"/>
      <c r="K42" s="99"/>
      <c r="L42" s="99"/>
      <c r="M42" s="100"/>
      <c r="N42" s="95">
        <f t="shared" si="0"/>
        <v>0</v>
      </c>
      <c r="O42" s="22">
        <f t="shared" si="1"/>
        <v>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38"/>
      <c r="I43" s="104"/>
      <c r="J43" s="105"/>
      <c r="K43" s="105"/>
      <c r="L43" s="105"/>
      <c r="M43" s="106"/>
      <c r="N43" s="92">
        <f t="shared" si="0"/>
        <v>0</v>
      </c>
      <c r="O43" s="42">
        <f t="shared" si="1"/>
        <v>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38"/>
      <c r="I44" s="104"/>
      <c r="J44" s="105"/>
      <c r="K44" s="105"/>
      <c r="L44" s="105"/>
      <c r="M44" s="106"/>
      <c r="N44" s="92">
        <f t="shared" si="0"/>
        <v>0</v>
      </c>
      <c r="O44" s="42">
        <f t="shared" si="1"/>
        <v>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38"/>
      <c r="I45" s="104"/>
      <c r="J45" s="105"/>
      <c r="K45" s="105"/>
      <c r="L45" s="105"/>
      <c r="M45" s="106"/>
      <c r="N45" s="92">
        <f t="shared" si="0"/>
        <v>0</v>
      </c>
      <c r="O45" s="42">
        <f t="shared" si="1"/>
        <v>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38"/>
      <c r="I46" s="104"/>
      <c r="J46" s="105"/>
      <c r="K46" s="105"/>
      <c r="L46" s="105"/>
      <c r="M46" s="106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38"/>
      <c r="I47" s="104"/>
      <c r="J47" s="105"/>
      <c r="K47" s="105"/>
      <c r="L47" s="105"/>
      <c r="M47" s="106"/>
      <c r="N47" s="92">
        <f t="shared" si="0"/>
        <v>0</v>
      </c>
      <c r="O47" s="42">
        <f t="shared" si="1"/>
        <v>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38"/>
      <c r="I48" s="104"/>
      <c r="J48" s="105"/>
      <c r="K48" s="105"/>
      <c r="L48" s="105"/>
      <c r="M48" s="106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38"/>
      <c r="I49" s="104"/>
      <c r="J49" s="105"/>
      <c r="K49" s="105"/>
      <c r="L49" s="105"/>
      <c r="M49" s="106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38"/>
      <c r="I50" s="104"/>
      <c r="J50" s="105"/>
      <c r="K50" s="105"/>
      <c r="L50" s="105"/>
      <c r="M50" s="106"/>
      <c r="N50" s="92">
        <f t="shared" si="0"/>
        <v>0</v>
      </c>
      <c r="O50" s="42">
        <f t="shared" si="1"/>
        <v>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28"/>
      <c r="I51" s="104"/>
      <c r="J51" s="102"/>
      <c r="K51" s="102"/>
      <c r="L51" s="102"/>
      <c r="M51" s="103"/>
      <c r="N51" s="93">
        <f t="shared" si="0"/>
        <v>0</v>
      </c>
      <c r="O51" s="49">
        <f t="shared" si="1"/>
        <v>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8"/>
      <c r="I52" s="107"/>
      <c r="J52" s="99"/>
      <c r="K52" s="99"/>
      <c r="L52" s="99"/>
      <c r="M52" s="100"/>
      <c r="N52" s="91">
        <f t="shared" si="0"/>
        <v>0</v>
      </c>
      <c r="O52" s="97">
        <f t="shared" si="1"/>
        <v>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38"/>
      <c r="I53" s="104"/>
      <c r="J53" s="105"/>
      <c r="K53" s="105"/>
      <c r="L53" s="105"/>
      <c r="M53" s="106"/>
      <c r="N53" s="92">
        <f t="shared" si="0"/>
        <v>0</v>
      </c>
      <c r="O53" s="42">
        <f t="shared" si="1"/>
        <v>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38"/>
      <c r="I54" s="104"/>
      <c r="J54" s="105"/>
      <c r="K54" s="105"/>
      <c r="L54" s="105"/>
      <c r="M54" s="106"/>
      <c r="N54" s="92">
        <f t="shared" si="0"/>
        <v>0</v>
      </c>
      <c r="O54" s="42">
        <f t="shared" si="1"/>
        <v>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38"/>
      <c r="I55" s="104"/>
      <c r="J55" s="105"/>
      <c r="K55" s="105"/>
      <c r="L55" s="105"/>
      <c r="M55" s="106"/>
      <c r="N55" s="92">
        <f t="shared" si="0"/>
        <v>0</v>
      </c>
      <c r="O55" s="42">
        <f t="shared" si="1"/>
        <v>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38"/>
      <c r="I56" s="104"/>
      <c r="J56" s="105"/>
      <c r="K56" s="105"/>
      <c r="L56" s="105"/>
      <c r="M56" s="106"/>
      <c r="N56" s="92">
        <f t="shared" si="0"/>
        <v>0</v>
      </c>
      <c r="O56" s="42">
        <f t="shared" si="1"/>
        <v>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38"/>
      <c r="I57" s="104"/>
      <c r="J57" s="105"/>
      <c r="K57" s="105"/>
      <c r="L57" s="105"/>
      <c r="M57" s="106"/>
      <c r="N57" s="92">
        <f t="shared" si="0"/>
        <v>0</v>
      </c>
      <c r="O57" s="42">
        <f t="shared" si="1"/>
        <v>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38"/>
      <c r="I58" s="104"/>
      <c r="J58" s="105"/>
      <c r="K58" s="105"/>
      <c r="L58" s="105"/>
      <c r="M58" s="106"/>
      <c r="N58" s="92">
        <f t="shared" si="0"/>
        <v>0</v>
      </c>
      <c r="O58" s="42">
        <f t="shared" si="1"/>
        <v>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38"/>
      <c r="I59" s="104"/>
      <c r="J59" s="105"/>
      <c r="K59" s="105"/>
      <c r="L59" s="105"/>
      <c r="M59" s="106"/>
      <c r="N59" s="92">
        <f t="shared" si="0"/>
        <v>0</v>
      </c>
      <c r="O59" s="42">
        <f t="shared" si="1"/>
        <v>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38"/>
      <c r="I60" s="104"/>
      <c r="J60" s="105"/>
      <c r="K60" s="105"/>
      <c r="L60" s="105"/>
      <c r="M60" s="106"/>
      <c r="N60" s="92">
        <f t="shared" si="0"/>
        <v>0</v>
      </c>
      <c r="O60" s="42">
        <f t="shared" si="1"/>
        <v>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28"/>
      <c r="I61" s="104"/>
      <c r="J61" s="102"/>
      <c r="K61" s="102"/>
      <c r="L61" s="102"/>
      <c r="M61" s="103"/>
      <c r="N61" s="94">
        <f t="shared" si="0"/>
        <v>0</v>
      </c>
      <c r="O61" s="32">
        <f t="shared" si="1"/>
        <v>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8"/>
      <c r="I62" s="107"/>
      <c r="J62" s="99">
        <v>10</v>
      </c>
      <c r="K62" s="99"/>
      <c r="L62" s="99">
        <v>10</v>
      </c>
      <c r="M62" s="100"/>
      <c r="N62" s="91">
        <f t="shared" si="0"/>
        <v>20</v>
      </c>
      <c r="O62" s="22">
        <f t="shared" si="1"/>
        <v>220000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58"/>
      <c r="I63" s="114"/>
      <c r="J63" s="109"/>
      <c r="K63" s="109"/>
      <c r="L63" s="109"/>
      <c r="M63" s="110"/>
      <c r="N63" s="94">
        <f t="shared" si="0"/>
        <v>0</v>
      </c>
      <c r="O63" s="49">
        <f t="shared" si="1"/>
        <v>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8"/>
      <c r="I64" s="98"/>
      <c r="J64" s="99"/>
      <c r="K64" s="99"/>
      <c r="L64" s="99"/>
      <c r="M64" s="100"/>
      <c r="N64" s="95">
        <f t="shared" si="0"/>
        <v>0</v>
      </c>
      <c r="O64" s="97">
        <f t="shared" si="1"/>
        <v>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38"/>
      <c r="I65" s="104"/>
      <c r="J65" s="105"/>
      <c r="K65" s="105"/>
      <c r="L65" s="105"/>
      <c r="M65" s="106"/>
      <c r="N65" s="92">
        <f t="shared" si="0"/>
        <v>0</v>
      </c>
      <c r="O65" s="42">
        <f t="shared" si="1"/>
        <v>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38"/>
      <c r="I66" s="104"/>
      <c r="J66" s="105"/>
      <c r="K66" s="105"/>
      <c r="L66" s="105"/>
      <c r="M66" s="106"/>
      <c r="N66" s="92">
        <f t="shared" si="0"/>
        <v>0</v>
      </c>
      <c r="O66" s="42">
        <f t="shared" si="1"/>
        <v>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58"/>
      <c r="I67" s="108"/>
      <c r="J67" s="109"/>
      <c r="K67" s="109"/>
      <c r="L67" s="109"/>
      <c r="M67" s="110"/>
      <c r="N67" s="94">
        <f t="shared" si="0"/>
        <v>0</v>
      </c>
      <c r="O67" s="49">
        <f t="shared" si="1"/>
        <v>0</v>
      </c>
    </row>
    <row r="68" spans="1:15" ht="17.25" thickBot="1">
      <c r="A68" s="111"/>
      <c r="B68" s="111"/>
      <c r="C68" s="111"/>
      <c r="D68" s="111"/>
      <c r="E68" s="111">
        <f t="shared" ref="E68:M68" si="2">SUM(E5:E67)</f>
        <v>282692.21499999997</v>
      </c>
      <c r="F68" s="111">
        <f t="shared" si="2"/>
        <v>76613</v>
      </c>
      <c r="G68" s="111">
        <f t="shared" si="2"/>
        <v>3062970</v>
      </c>
      <c r="H68" s="111">
        <f t="shared" si="2"/>
        <v>0</v>
      </c>
      <c r="I68" s="111">
        <f t="shared" si="2"/>
        <v>0</v>
      </c>
      <c r="J68" s="111">
        <f t="shared" si="2"/>
        <v>10</v>
      </c>
      <c r="K68" s="111">
        <f t="shared" si="2"/>
        <v>0</v>
      </c>
      <c r="L68" s="111">
        <f t="shared" si="2"/>
        <v>10</v>
      </c>
      <c r="M68" s="111">
        <f t="shared" si="2"/>
        <v>0</v>
      </c>
      <c r="N68" s="90">
        <f>SUM(N5:N67)</f>
        <v>20</v>
      </c>
      <c r="O68" s="96">
        <f>SUM(O5:O67)</f>
        <v>220000</v>
      </c>
    </row>
    <row r="70" spans="1:15" ht="24">
      <c r="I70" s="209" t="s">
        <v>144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O68"/>
  <sheetViews>
    <sheetView topLeftCell="A31" zoomScale="70" zoomScaleNormal="70" workbookViewId="0">
      <selection activeCell="O68" sqref="O68"/>
    </sheetView>
  </sheetViews>
  <sheetFormatPr defaultRowHeight="15.75" customHeight="1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229" t="s">
        <v>145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 ht="15.75" customHeight="1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5.7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21"/>
      <c r="I5" s="98"/>
      <c r="J5" s="99"/>
      <c r="K5" s="99"/>
      <c r="L5" s="99"/>
      <c r="M5" s="100"/>
      <c r="N5" s="91">
        <f>I5+J5+K5+L5+M5</f>
        <v>0</v>
      </c>
      <c r="O5" s="22">
        <f>E5*N5</f>
        <v>0</v>
      </c>
    </row>
    <row r="6" spans="1:15" ht="15.7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9">
        <v>550</v>
      </c>
      <c r="I6" s="104"/>
      <c r="J6" s="105"/>
      <c r="K6" s="105"/>
      <c r="L6" s="105">
        <v>1000</v>
      </c>
      <c r="M6" s="106"/>
      <c r="N6" s="92">
        <f t="shared" ref="N6:N67" si="0">I6+J6+K6+L6+M6</f>
        <v>1000</v>
      </c>
      <c r="O6" s="42">
        <f t="shared" ref="O6:O67" si="1">E6*N6</f>
        <v>43000</v>
      </c>
    </row>
    <row r="7" spans="1:15" ht="15.7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9">
        <v>400</v>
      </c>
      <c r="I7" s="104"/>
      <c r="J7" s="105"/>
      <c r="K7" s="105"/>
      <c r="L7" s="105">
        <v>1000</v>
      </c>
      <c r="M7" s="106"/>
      <c r="N7" s="92">
        <f t="shared" si="0"/>
        <v>1000</v>
      </c>
      <c r="O7" s="42">
        <f t="shared" si="1"/>
        <v>20000</v>
      </c>
    </row>
    <row r="8" spans="1:15" ht="15.7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4"/>
      <c r="I8" s="104"/>
      <c r="J8" s="112"/>
      <c r="K8" s="112"/>
      <c r="L8" s="112"/>
      <c r="M8" s="113"/>
      <c r="N8" s="92">
        <f t="shared" si="0"/>
        <v>0</v>
      </c>
      <c r="O8" s="42">
        <f t="shared" si="1"/>
        <v>0</v>
      </c>
    </row>
    <row r="9" spans="1:15" ht="15.7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9">
        <v>850</v>
      </c>
      <c r="I9" s="104"/>
      <c r="J9" s="105"/>
      <c r="K9" s="105">
        <v>1000</v>
      </c>
      <c r="L9" s="105"/>
      <c r="M9" s="106"/>
      <c r="N9" s="92">
        <f t="shared" si="0"/>
        <v>1000</v>
      </c>
      <c r="O9" s="42">
        <f t="shared" si="1"/>
        <v>53000</v>
      </c>
    </row>
    <row r="10" spans="1:15" ht="15.7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9">
        <v>1200</v>
      </c>
      <c r="I10" s="104"/>
      <c r="J10" s="105"/>
      <c r="K10" s="105"/>
      <c r="L10" s="105"/>
      <c r="M10" s="106"/>
      <c r="N10" s="92">
        <f t="shared" si="0"/>
        <v>0</v>
      </c>
      <c r="O10" s="42">
        <f t="shared" si="1"/>
        <v>0</v>
      </c>
    </row>
    <row r="11" spans="1:15" ht="15.7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4">
        <v>900</v>
      </c>
      <c r="I11" s="104"/>
      <c r="J11" s="112"/>
      <c r="K11" s="112">
        <v>1000</v>
      </c>
      <c r="L11" s="112"/>
      <c r="M11" s="113"/>
      <c r="N11" s="92">
        <f t="shared" si="0"/>
        <v>1000</v>
      </c>
      <c r="O11" s="42">
        <f t="shared" si="1"/>
        <v>18500</v>
      </c>
    </row>
    <row r="12" spans="1:15" ht="15.7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9">
        <v>150</v>
      </c>
      <c r="I12" s="104"/>
      <c r="J12" s="105"/>
      <c r="K12" s="105"/>
      <c r="L12" s="105"/>
      <c r="M12" s="106"/>
      <c r="N12" s="92">
        <f t="shared" si="0"/>
        <v>0</v>
      </c>
      <c r="O12" s="42">
        <f t="shared" si="1"/>
        <v>0</v>
      </c>
    </row>
    <row r="13" spans="1:15" ht="15.7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9">
        <v>1000</v>
      </c>
      <c r="I13" s="104"/>
      <c r="J13" s="105"/>
      <c r="K13" s="105"/>
      <c r="L13" s="105"/>
      <c r="M13" s="106"/>
      <c r="N13" s="92">
        <f t="shared" si="0"/>
        <v>0</v>
      </c>
      <c r="O13" s="42">
        <f t="shared" si="1"/>
        <v>0</v>
      </c>
    </row>
    <row r="14" spans="1:15" ht="15.7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9"/>
      <c r="I14" s="104"/>
      <c r="J14" s="105"/>
      <c r="K14" s="105"/>
      <c r="L14" s="105"/>
      <c r="M14" s="106"/>
      <c r="N14" s="92">
        <f t="shared" si="0"/>
        <v>0</v>
      </c>
      <c r="O14" s="42">
        <f t="shared" si="1"/>
        <v>0</v>
      </c>
    </row>
    <row r="15" spans="1:15" ht="15.7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9"/>
      <c r="I15" s="104"/>
      <c r="J15" s="105"/>
      <c r="K15" s="105">
        <v>1000</v>
      </c>
      <c r="L15" s="105">
        <v>1000</v>
      </c>
      <c r="M15" s="106"/>
      <c r="N15" s="92">
        <f t="shared" si="0"/>
        <v>2000</v>
      </c>
      <c r="O15" s="42">
        <f t="shared" si="1"/>
        <v>36000</v>
      </c>
    </row>
    <row r="16" spans="1:15" ht="15.7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9">
        <v>500</v>
      </c>
      <c r="I16" s="104"/>
      <c r="J16" s="105"/>
      <c r="K16" s="105">
        <v>500</v>
      </c>
      <c r="L16" s="105">
        <v>500</v>
      </c>
      <c r="M16" s="106"/>
      <c r="N16" s="92">
        <f t="shared" si="0"/>
        <v>1000</v>
      </c>
      <c r="O16" s="42">
        <f t="shared" si="1"/>
        <v>6900</v>
      </c>
    </row>
    <row r="17" spans="1:15" ht="15.7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4">
        <v>200</v>
      </c>
      <c r="I17" s="104"/>
      <c r="J17" s="112"/>
      <c r="K17" s="112"/>
      <c r="L17" s="112"/>
      <c r="M17" s="113"/>
      <c r="N17" s="92">
        <f t="shared" si="0"/>
        <v>0</v>
      </c>
      <c r="O17" s="42">
        <f t="shared" si="1"/>
        <v>0</v>
      </c>
    </row>
    <row r="18" spans="1:15" ht="15.7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9">
        <v>1000</v>
      </c>
      <c r="I18" s="104"/>
      <c r="J18" s="105"/>
      <c r="K18" s="105"/>
      <c r="L18" s="105"/>
      <c r="M18" s="106"/>
      <c r="N18" s="92">
        <f t="shared" si="0"/>
        <v>0</v>
      </c>
      <c r="O18" s="42">
        <f t="shared" si="1"/>
        <v>0</v>
      </c>
    </row>
    <row r="19" spans="1:15" ht="15.7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9"/>
      <c r="I19" s="104"/>
      <c r="J19" s="105"/>
      <c r="K19" s="105"/>
      <c r="L19" s="105"/>
      <c r="M19" s="106"/>
      <c r="N19" s="92">
        <f t="shared" si="0"/>
        <v>0</v>
      </c>
      <c r="O19" s="42">
        <f t="shared" si="1"/>
        <v>0</v>
      </c>
    </row>
    <row r="20" spans="1:15" ht="15.7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4">
        <v>400</v>
      </c>
      <c r="I20" s="104"/>
      <c r="J20" s="112"/>
      <c r="K20" s="112"/>
      <c r="L20" s="112"/>
      <c r="M20" s="113"/>
      <c r="N20" s="92">
        <f t="shared" si="0"/>
        <v>0</v>
      </c>
      <c r="O20" s="42">
        <f t="shared" si="1"/>
        <v>0</v>
      </c>
    </row>
    <row r="21" spans="1:15" ht="15.75" customHeight="1">
      <c r="A21" s="260"/>
      <c r="B21" s="66" t="s">
        <v>29</v>
      </c>
      <c r="C21" s="34" t="s">
        <v>23</v>
      </c>
      <c r="D21" s="34" t="s">
        <v>6</v>
      </c>
      <c r="E21" s="200">
        <v>22.8125</v>
      </c>
      <c r="F21" s="36">
        <v>3200</v>
      </c>
      <c r="G21" s="37">
        <v>73000</v>
      </c>
      <c r="H21" s="119">
        <v>200</v>
      </c>
      <c r="I21" s="104"/>
      <c r="J21" s="105"/>
      <c r="K21" s="105"/>
      <c r="L21" s="105"/>
      <c r="M21" s="106"/>
      <c r="N21" s="92">
        <f t="shared" si="0"/>
        <v>0</v>
      </c>
      <c r="O21" s="42">
        <f t="shared" si="1"/>
        <v>0</v>
      </c>
    </row>
    <row r="22" spans="1:15" ht="15.7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9">
        <v>200</v>
      </c>
      <c r="I22" s="104"/>
      <c r="J22" s="105"/>
      <c r="K22" s="105"/>
      <c r="L22" s="105"/>
      <c r="M22" s="106"/>
      <c r="N22" s="92">
        <f t="shared" si="0"/>
        <v>0</v>
      </c>
      <c r="O22" s="42">
        <f t="shared" si="1"/>
        <v>0</v>
      </c>
    </row>
    <row r="23" spans="1:15" ht="15.7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4">
        <v>7200</v>
      </c>
      <c r="I23" s="104"/>
      <c r="J23" s="112"/>
      <c r="K23" s="112"/>
      <c r="L23" s="112"/>
      <c r="M23" s="113"/>
      <c r="N23" s="92">
        <f t="shared" si="0"/>
        <v>0</v>
      </c>
      <c r="O23" s="42">
        <f t="shared" si="1"/>
        <v>0</v>
      </c>
    </row>
    <row r="24" spans="1:15" ht="15.7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9"/>
      <c r="I24" s="104"/>
      <c r="J24" s="105"/>
      <c r="K24" s="105"/>
      <c r="L24" s="105"/>
      <c r="M24" s="106"/>
      <c r="N24" s="92">
        <f t="shared" si="0"/>
        <v>0</v>
      </c>
      <c r="O24" s="42">
        <f t="shared" si="1"/>
        <v>0</v>
      </c>
    </row>
    <row r="25" spans="1:15" ht="15.7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9">
        <v>2000</v>
      </c>
      <c r="I25" s="104"/>
      <c r="J25" s="105"/>
      <c r="K25" s="105"/>
      <c r="L25" s="105"/>
      <c r="M25" s="106"/>
      <c r="N25" s="92">
        <f t="shared" si="0"/>
        <v>0</v>
      </c>
      <c r="O25" s="42">
        <f t="shared" si="1"/>
        <v>0</v>
      </c>
    </row>
    <row r="26" spans="1:15" ht="15.7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9"/>
      <c r="I26" s="104"/>
      <c r="J26" s="105"/>
      <c r="K26" s="105"/>
      <c r="L26" s="105"/>
      <c r="M26" s="106"/>
      <c r="N26" s="92">
        <f t="shared" si="0"/>
        <v>0</v>
      </c>
      <c r="O26" s="42">
        <f t="shared" si="1"/>
        <v>0</v>
      </c>
    </row>
    <row r="27" spans="1:15" ht="15.7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9"/>
      <c r="I27" s="104"/>
      <c r="J27" s="105"/>
      <c r="K27" s="105"/>
      <c r="L27" s="105"/>
      <c r="M27" s="106"/>
      <c r="N27" s="92">
        <f t="shared" si="0"/>
        <v>0</v>
      </c>
      <c r="O27" s="42">
        <f t="shared" si="1"/>
        <v>0</v>
      </c>
    </row>
    <row r="28" spans="1:15" ht="15.7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4">
        <v>15</v>
      </c>
      <c r="I28" s="104"/>
      <c r="J28" s="112"/>
      <c r="K28" s="112"/>
      <c r="L28" s="112"/>
      <c r="M28" s="113"/>
      <c r="N28" s="92">
        <f t="shared" si="0"/>
        <v>0</v>
      </c>
      <c r="O28" s="42">
        <f t="shared" si="1"/>
        <v>0</v>
      </c>
    </row>
    <row r="29" spans="1:15" ht="15.7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9">
        <v>12</v>
      </c>
      <c r="I29" s="104"/>
      <c r="J29" s="105"/>
      <c r="K29" s="105"/>
      <c r="L29" s="105"/>
      <c r="M29" s="106"/>
      <c r="N29" s="92">
        <f t="shared" si="0"/>
        <v>0</v>
      </c>
      <c r="O29" s="42">
        <f t="shared" si="1"/>
        <v>0</v>
      </c>
    </row>
    <row r="30" spans="1:15" ht="15.7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9">
        <v>4</v>
      </c>
      <c r="I30" s="104"/>
      <c r="J30" s="105"/>
      <c r="K30" s="105"/>
      <c r="L30" s="105"/>
      <c r="M30" s="106"/>
      <c r="N30" s="92">
        <f t="shared" si="0"/>
        <v>0</v>
      </c>
      <c r="O30" s="42">
        <f t="shared" si="1"/>
        <v>0</v>
      </c>
    </row>
    <row r="31" spans="1:15" ht="15.7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9">
        <v>2</v>
      </c>
      <c r="I31" s="104"/>
      <c r="J31" s="105"/>
      <c r="K31" s="105"/>
      <c r="L31" s="105"/>
      <c r="M31" s="106"/>
      <c r="N31" s="92">
        <f t="shared" si="0"/>
        <v>0</v>
      </c>
      <c r="O31" s="42">
        <f t="shared" si="1"/>
        <v>0</v>
      </c>
    </row>
    <row r="32" spans="1:15" ht="15.7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9"/>
      <c r="I32" s="104"/>
      <c r="J32" s="105"/>
      <c r="K32" s="105"/>
      <c r="L32" s="105">
        <v>1</v>
      </c>
      <c r="M32" s="106"/>
      <c r="N32" s="92">
        <f>I32+J32+K32+L32+M32</f>
        <v>1</v>
      </c>
      <c r="O32" s="42">
        <f>E32*N32</f>
        <v>3200</v>
      </c>
    </row>
    <row r="33" spans="1:15" ht="15.7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4">
        <v>18</v>
      </c>
      <c r="I33" s="104"/>
      <c r="J33" s="112"/>
      <c r="K33" s="112"/>
      <c r="L33" s="112"/>
      <c r="M33" s="113"/>
      <c r="N33" s="92">
        <f t="shared" si="0"/>
        <v>0</v>
      </c>
      <c r="O33" s="42">
        <f t="shared" si="1"/>
        <v>0</v>
      </c>
    </row>
    <row r="34" spans="1:15" ht="15.7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4">
        <v>8</v>
      </c>
      <c r="I34" s="104"/>
      <c r="J34" s="112">
        <v>2</v>
      </c>
      <c r="K34" s="112">
        <v>3</v>
      </c>
      <c r="L34" s="112">
        <v>2</v>
      </c>
      <c r="M34" s="113"/>
      <c r="N34" s="92">
        <f t="shared" si="0"/>
        <v>7</v>
      </c>
      <c r="O34" s="42">
        <f t="shared" si="1"/>
        <v>50400</v>
      </c>
    </row>
    <row r="35" spans="1:15" ht="15.7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4">
        <v>5</v>
      </c>
      <c r="I35" s="104"/>
      <c r="J35" s="112">
        <v>2</v>
      </c>
      <c r="K35" s="112">
        <v>4</v>
      </c>
      <c r="L35" s="112"/>
      <c r="M35" s="113"/>
      <c r="N35" s="92">
        <f t="shared" si="0"/>
        <v>6</v>
      </c>
      <c r="O35" s="42">
        <f t="shared" si="1"/>
        <v>8100</v>
      </c>
    </row>
    <row r="36" spans="1:15" ht="15.7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9">
        <v>3</v>
      </c>
      <c r="I36" s="104">
        <v>1</v>
      </c>
      <c r="J36" s="105"/>
      <c r="K36" s="105">
        <v>3</v>
      </c>
      <c r="L36" s="105">
        <v>1</v>
      </c>
      <c r="M36" s="106"/>
      <c r="N36" s="92">
        <f t="shared" si="0"/>
        <v>5</v>
      </c>
      <c r="O36" s="42">
        <f t="shared" si="1"/>
        <v>34350</v>
      </c>
    </row>
    <row r="37" spans="1:15" ht="15.7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3">
        <v>2</v>
      </c>
      <c r="I37" s="101"/>
      <c r="J37" s="105"/>
      <c r="K37" s="102">
        <v>1</v>
      </c>
      <c r="L37" s="102">
        <v>1</v>
      </c>
      <c r="M37" s="103"/>
      <c r="N37" s="93">
        <f t="shared" si="0"/>
        <v>2</v>
      </c>
      <c r="O37" s="32">
        <f t="shared" si="1"/>
        <v>13740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 ht="15.75" customHeight="1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21"/>
      <c r="I40" s="98">
        <v>200</v>
      </c>
      <c r="J40" s="99"/>
      <c r="K40" s="99">
        <v>100</v>
      </c>
      <c r="L40" s="99"/>
      <c r="M40" s="100"/>
      <c r="N40" s="91">
        <f t="shared" si="0"/>
        <v>300</v>
      </c>
      <c r="O40" s="22">
        <f t="shared" si="1"/>
        <v>1920</v>
      </c>
    </row>
    <row r="41" spans="1:15" ht="15.75" customHeight="1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3"/>
      <c r="I41" s="101"/>
      <c r="J41" s="102"/>
      <c r="K41" s="102"/>
      <c r="L41" s="102"/>
      <c r="M41" s="103"/>
      <c r="N41" s="94">
        <f t="shared" si="0"/>
        <v>0</v>
      </c>
      <c r="O41" s="49">
        <f t="shared" si="1"/>
        <v>0</v>
      </c>
    </row>
    <row r="42" spans="1:15" ht="15.75" customHeight="1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21">
        <v>2</v>
      </c>
      <c r="I42" s="98"/>
      <c r="J42" s="99"/>
      <c r="K42" s="99"/>
      <c r="L42" s="99"/>
      <c r="M42" s="100"/>
      <c r="N42" s="95">
        <f t="shared" si="0"/>
        <v>0</v>
      </c>
      <c r="O42" s="22">
        <f t="shared" si="1"/>
        <v>0</v>
      </c>
    </row>
    <row r="43" spans="1:15" ht="15.75" customHeight="1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9">
        <v>2</v>
      </c>
      <c r="I43" s="104">
        <v>1</v>
      </c>
      <c r="J43" s="105"/>
      <c r="K43" s="105"/>
      <c r="L43" s="105">
        <v>1</v>
      </c>
      <c r="M43" s="106"/>
      <c r="N43" s="92">
        <f t="shared" si="0"/>
        <v>2</v>
      </c>
      <c r="O43" s="42">
        <f t="shared" si="1"/>
        <v>12400</v>
      </c>
    </row>
    <row r="44" spans="1:15" ht="15.75" customHeight="1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9">
        <v>2</v>
      </c>
      <c r="I44" s="104"/>
      <c r="J44" s="105"/>
      <c r="K44" s="105">
        <v>1</v>
      </c>
      <c r="L44" s="105"/>
      <c r="M44" s="106"/>
      <c r="N44" s="92">
        <f t="shared" si="0"/>
        <v>1</v>
      </c>
      <c r="O44" s="42">
        <f t="shared" si="1"/>
        <v>6700</v>
      </c>
    </row>
    <row r="45" spans="1:15" ht="15.75" customHeight="1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9">
        <v>4</v>
      </c>
      <c r="I45" s="104"/>
      <c r="J45" s="105"/>
      <c r="K45" s="105"/>
      <c r="L45" s="105"/>
      <c r="M45" s="106"/>
      <c r="N45" s="92">
        <f t="shared" si="0"/>
        <v>0</v>
      </c>
      <c r="O45" s="42">
        <f t="shared" si="1"/>
        <v>0</v>
      </c>
    </row>
    <row r="46" spans="1:15" ht="15.75" customHeight="1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9">
        <v>1</v>
      </c>
      <c r="I46" s="104"/>
      <c r="J46" s="105"/>
      <c r="K46" s="105"/>
      <c r="L46" s="105"/>
      <c r="M46" s="106"/>
      <c r="N46" s="92">
        <f t="shared" si="0"/>
        <v>0</v>
      </c>
      <c r="O46" s="42">
        <f t="shared" si="1"/>
        <v>0</v>
      </c>
    </row>
    <row r="47" spans="1:15" ht="15.75" customHeight="1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9">
        <v>1</v>
      </c>
      <c r="I47" s="104"/>
      <c r="J47" s="105"/>
      <c r="K47" s="105"/>
      <c r="L47" s="105">
        <v>1</v>
      </c>
      <c r="M47" s="106"/>
      <c r="N47" s="92">
        <f t="shared" si="0"/>
        <v>1</v>
      </c>
      <c r="O47" s="42">
        <f t="shared" si="1"/>
        <v>6600</v>
      </c>
    </row>
    <row r="48" spans="1:15" ht="15.75" customHeight="1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9">
        <v>1</v>
      </c>
      <c r="I48" s="104"/>
      <c r="J48" s="105"/>
      <c r="K48" s="105">
        <v>2</v>
      </c>
      <c r="L48" s="105">
        <v>1</v>
      </c>
      <c r="M48" s="106"/>
      <c r="N48" s="92">
        <f t="shared" si="0"/>
        <v>3</v>
      </c>
      <c r="O48" s="42">
        <f t="shared" si="1"/>
        <v>43500</v>
      </c>
    </row>
    <row r="49" spans="1:15" ht="15.75" customHeight="1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9">
        <v>4</v>
      </c>
      <c r="I49" s="104"/>
      <c r="J49" s="105"/>
      <c r="K49" s="105"/>
      <c r="L49" s="105"/>
      <c r="M49" s="106"/>
      <c r="N49" s="92">
        <f t="shared" si="0"/>
        <v>0</v>
      </c>
      <c r="O49" s="42">
        <f t="shared" si="1"/>
        <v>0</v>
      </c>
    </row>
    <row r="50" spans="1:15" ht="15.75" customHeight="1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9"/>
      <c r="I50" s="104"/>
      <c r="J50" s="105"/>
      <c r="K50" s="105">
        <v>2</v>
      </c>
      <c r="L50" s="105"/>
      <c r="M50" s="106"/>
      <c r="N50" s="92">
        <f t="shared" si="0"/>
        <v>2</v>
      </c>
      <c r="O50" s="42">
        <f t="shared" si="1"/>
        <v>9000</v>
      </c>
    </row>
    <row r="51" spans="1:15" ht="15.75" customHeight="1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3">
        <v>3</v>
      </c>
      <c r="I51" s="104"/>
      <c r="J51" s="102"/>
      <c r="K51" s="102"/>
      <c r="L51" s="102"/>
      <c r="M51" s="103"/>
      <c r="N51" s="93">
        <f t="shared" si="0"/>
        <v>0</v>
      </c>
      <c r="O51" s="49">
        <f t="shared" si="1"/>
        <v>0</v>
      </c>
    </row>
    <row r="52" spans="1:15" ht="15.75" customHeight="1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21">
        <v>1</v>
      </c>
      <c r="I52" s="107">
        <v>1</v>
      </c>
      <c r="J52" s="99">
        <v>1</v>
      </c>
      <c r="K52" s="99">
        <v>1</v>
      </c>
      <c r="L52" s="99"/>
      <c r="M52" s="100"/>
      <c r="N52" s="91">
        <f t="shared" si="0"/>
        <v>3</v>
      </c>
      <c r="O52" s="97">
        <f t="shared" si="1"/>
        <v>20700</v>
      </c>
    </row>
    <row r="53" spans="1:15" ht="15.75" customHeight="1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9">
        <v>2</v>
      </c>
      <c r="I53" s="104"/>
      <c r="J53" s="105"/>
      <c r="K53" s="105"/>
      <c r="L53" s="105">
        <v>1</v>
      </c>
      <c r="M53" s="106"/>
      <c r="N53" s="92">
        <f t="shared" si="0"/>
        <v>1</v>
      </c>
      <c r="O53" s="42">
        <f t="shared" si="1"/>
        <v>6900</v>
      </c>
    </row>
    <row r="54" spans="1:15" ht="15.75" customHeight="1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9">
        <v>2</v>
      </c>
      <c r="I54" s="104"/>
      <c r="J54" s="105"/>
      <c r="K54" s="105"/>
      <c r="L54" s="105">
        <v>1</v>
      </c>
      <c r="M54" s="106"/>
      <c r="N54" s="92">
        <f t="shared" si="0"/>
        <v>1</v>
      </c>
      <c r="O54" s="42">
        <f t="shared" si="1"/>
        <v>6800</v>
      </c>
    </row>
    <row r="55" spans="1:15" ht="15.75" customHeight="1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9">
        <v>1</v>
      </c>
      <c r="I55" s="104"/>
      <c r="J55" s="105">
        <v>2</v>
      </c>
      <c r="K55" s="105">
        <v>1</v>
      </c>
      <c r="L55" s="105"/>
      <c r="M55" s="106"/>
      <c r="N55" s="92">
        <f t="shared" si="0"/>
        <v>3</v>
      </c>
      <c r="O55" s="42">
        <f t="shared" si="1"/>
        <v>45000</v>
      </c>
    </row>
    <row r="56" spans="1:15" ht="15.75" customHeight="1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9">
        <v>2</v>
      </c>
      <c r="I56" s="104"/>
      <c r="J56" s="105">
        <v>2</v>
      </c>
      <c r="K56" s="105"/>
      <c r="L56" s="105"/>
      <c r="M56" s="106"/>
      <c r="N56" s="92">
        <f t="shared" si="0"/>
        <v>2</v>
      </c>
      <c r="O56" s="42">
        <f t="shared" si="1"/>
        <v>10600</v>
      </c>
    </row>
    <row r="57" spans="1:15" ht="15.75" customHeight="1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9">
        <v>3</v>
      </c>
      <c r="I57" s="104"/>
      <c r="J57" s="105"/>
      <c r="K57" s="105">
        <v>1</v>
      </c>
      <c r="L57" s="105"/>
      <c r="M57" s="106"/>
      <c r="N57" s="92">
        <f t="shared" si="0"/>
        <v>1</v>
      </c>
      <c r="O57" s="42">
        <f t="shared" si="1"/>
        <v>6600</v>
      </c>
    </row>
    <row r="58" spans="1:15" ht="15.75" customHeight="1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9">
        <v>2</v>
      </c>
      <c r="I58" s="104"/>
      <c r="J58" s="105"/>
      <c r="K58" s="105"/>
      <c r="L58" s="105">
        <v>1</v>
      </c>
      <c r="M58" s="106"/>
      <c r="N58" s="92">
        <f t="shared" si="0"/>
        <v>1</v>
      </c>
      <c r="O58" s="42">
        <f t="shared" si="1"/>
        <v>5600</v>
      </c>
    </row>
    <row r="59" spans="1:15" ht="15.75" customHeight="1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9">
        <v>1</v>
      </c>
      <c r="I59" s="104"/>
      <c r="J59" s="105"/>
      <c r="K59" s="105">
        <v>1</v>
      </c>
      <c r="L59" s="105"/>
      <c r="M59" s="106"/>
      <c r="N59" s="92">
        <f t="shared" si="0"/>
        <v>1</v>
      </c>
      <c r="O59" s="42">
        <f t="shared" si="1"/>
        <v>14100</v>
      </c>
    </row>
    <row r="60" spans="1:15" ht="15.75" customHeight="1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9">
        <v>1</v>
      </c>
      <c r="I60" s="104"/>
      <c r="J60" s="105"/>
      <c r="K60" s="105"/>
      <c r="L60" s="105"/>
      <c r="M60" s="106"/>
      <c r="N60" s="92">
        <f t="shared" si="0"/>
        <v>0</v>
      </c>
      <c r="O60" s="42">
        <f t="shared" si="1"/>
        <v>0</v>
      </c>
    </row>
    <row r="61" spans="1:15" ht="15.75" customHeight="1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3">
        <v>3</v>
      </c>
      <c r="I61" s="104"/>
      <c r="J61" s="102"/>
      <c r="K61" s="102"/>
      <c r="L61" s="102">
        <v>1</v>
      </c>
      <c r="M61" s="103"/>
      <c r="N61" s="94">
        <f t="shared" si="0"/>
        <v>1</v>
      </c>
      <c r="O61" s="32">
        <f t="shared" si="1"/>
        <v>15300</v>
      </c>
    </row>
    <row r="62" spans="1:15" ht="15.75" customHeight="1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21">
        <v>22</v>
      </c>
      <c r="I62" s="107"/>
      <c r="J62" s="99">
        <v>8</v>
      </c>
      <c r="K62" s="99">
        <v>8</v>
      </c>
      <c r="L62" s="99">
        <v>10</v>
      </c>
      <c r="M62" s="100"/>
      <c r="N62" s="91">
        <f t="shared" si="0"/>
        <v>26</v>
      </c>
      <c r="O62" s="22">
        <f t="shared" si="1"/>
        <v>286000</v>
      </c>
    </row>
    <row r="63" spans="1:15" ht="15.75" customHeight="1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42"/>
      <c r="I63" s="114">
        <v>1</v>
      </c>
      <c r="J63" s="109"/>
      <c r="K63" s="109">
        <v>1</v>
      </c>
      <c r="L63" s="109">
        <v>1</v>
      </c>
      <c r="M63" s="110"/>
      <c r="N63" s="94">
        <f t="shared" si="0"/>
        <v>3</v>
      </c>
      <c r="O63" s="49">
        <f t="shared" si="1"/>
        <v>57000</v>
      </c>
    </row>
    <row r="64" spans="1:15" ht="15.75" customHeight="1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21">
        <v>1.18</v>
      </c>
      <c r="I64" s="98"/>
      <c r="J64" s="99"/>
      <c r="K64" s="99"/>
      <c r="L64" s="99">
        <v>1</v>
      </c>
      <c r="M64" s="100"/>
      <c r="N64" s="95">
        <f t="shared" si="0"/>
        <v>1</v>
      </c>
      <c r="O64" s="97">
        <f t="shared" si="1"/>
        <v>4000</v>
      </c>
    </row>
    <row r="65" spans="1:15" ht="15.75" customHeight="1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9">
        <v>1.1200000000000001</v>
      </c>
      <c r="I65" s="104"/>
      <c r="J65" s="105"/>
      <c r="K65" s="105"/>
      <c r="L65" s="105">
        <v>1</v>
      </c>
      <c r="M65" s="106"/>
      <c r="N65" s="92">
        <f t="shared" si="0"/>
        <v>1</v>
      </c>
      <c r="O65" s="42">
        <f t="shared" si="1"/>
        <v>4000</v>
      </c>
    </row>
    <row r="66" spans="1:15" ht="15.75" customHeight="1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2.1</v>
      </c>
      <c r="I66" s="104"/>
      <c r="J66" s="105"/>
      <c r="K66" s="105"/>
      <c r="L66" s="105"/>
      <c r="M66" s="106"/>
      <c r="N66" s="92">
        <f t="shared" si="0"/>
        <v>0</v>
      </c>
      <c r="O66" s="42">
        <f t="shared" si="1"/>
        <v>0</v>
      </c>
    </row>
    <row r="67" spans="1:15" ht="15.75" customHeight="1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42">
        <v>1.1599999999999999</v>
      </c>
      <c r="I67" s="108"/>
      <c r="J67" s="109"/>
      <c r="K67" s="109"/>
      <c r="L67" s="109"/>
      <c r="M67" s="110"/>
      <c r="N67" s="94">
        <f t="shared" si="0"/>
        <v>0</v>
      </c>
      <c r="O67" s="49">
        <f t="shared" si="1"/>
        <v>0</v>
      </c>
    </row>
    <row r="68" spans="1:15" ht="15.75" customHeight="1" thickBot="1">
      <c r="A68" s="63"/>
      <c r="B68" s="63"/>
      <c r="C68" s="63"/>
      <c r="D68" s="63"/>
      <c r="E68" s="63">
        <f>SUM(E5:E67)</f>
        <v>282692.21499999997</v>
      </c>
      <c r="F68" s="111">
        <f t="shared" ref="F68:O68" si="2">SUM(F5:F67)</f>
        <v>76613</v>
      </c>
      <c r="G68" s="111">
        <f t="shared" si="2"/>
        <v>3062970</v>
      </c>
      <c r="H68" s="111">
        <f t="shared" si="2"/>
        <v>16884.559999999998</v>
      </c>
      <c r="I68" s="111">
        <f t="shared" si="2"/>
        <v>204</v>
      </c>
      <c r="J68" s="111">
        <f t="shared" si="2"/>
        <v>17</v>
      </c>
      <c r="K68" s="111">
        <f t="shared" si="2"/>
        <v>3629</v>
      </c>
      <c r="L68" s="111">
        <f t="shared" si="2"/>
        <v>3525</v>
      </c>
      <c r="M68" s="111">
        <f t="shared" si="2"/>
        <v>0</v>
      </c>
      <c r="N68" s="198">
        <f t="shared" si="2"/>
        <v>7375</v>
      </c>
      <c r="O68" s="198">
        <f t="shared" si="2"/>
        <v>849910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  <pageSetup paperSize="9" orientation="portrait" horizontalDpi="4294967292" r:id="rId1"/>
  <ignoredErrors>
    <ignoredError sqref="N40:O67 N5:O31 N33:O36 N37:O37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O68"/>
  <sheetViews>
    <sheetView topLeftCell="A13" zoomScale="55" zoomScaleNormal="55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149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21">
        <v>800</v>
      </c>
      <c r="I5" s="98"/>
      <c r="J5" s="99"/>
      <c r="K5" s="99"/>
      <c r="L5" s="20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9">
        <v>1150</v>
      </c>
      <c r="I6" s="104"/>
      <c r="J6" s="105"/>
      <c r="K6" s="105"/>
      <c r="L6" s="40"/>
      <c r="M6" s="41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9">
        <v>700</v>
      </c>
      <c r="I7" s="104"/>
      <c r="J7" s="105"/>
      <c r="K7" s="105"/>
      <c r="L7" s="40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4"/>
      <c r="I8" s="104"/>
      <c r="J8" s="112"/>
      <c r="K8" s="112"/>
      <c r="L8" s="74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123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9">
        <v>1550</v>
      </c>
      <c r="I9" s="104"/>
      <c r="J9" s="105"/>
      <c r="K9" s="105"/>
      <c r="L9" s="40"/>
      <c r="M9" s="41"/>
      <c r="N9" s="92">
        <f t="shared" si="0"/>
        <v>0</v>
      </c>
      <c r="O9" s="42">
        <f t="shared" si="1"/>
        <v>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9">
        <v>500</v>
      </c>
      <c r="I10" s="104"/>
      <c r="J10" s="105"/>
      <c r="K10" s="105"/>
      <c r="L10" s="40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4">
        <v>1100</v>
      </c>
      <c r="I11" s="104"/>
      <c r="J11" s="112"/>
      <c r="K11" s="112"/>
      <c r="L11" s="74"/>
      <c r="M11" s="75"/>
      <c r="N11" s="92">
        <f t="shared" si="0"/>
        <v>0</v>
      </c>
      <c r="O11" s="42">
        <f t="shared" si="1"/>
        <v>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9">
        <v>550</v>
      </c>
      <c r="I12" s="104"/>
      <c r="J12" s="105"/>
      <c r="K12" s="105"/>
      <c r="L12" s="40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9"/>
      <c r="I13" s="104"/>
      <c r="J13" s="105"/>
      <c r="K13" s="105"/>
      <c r="L13" s="40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9"/>
      <c r="I14" s="104"/>
      <c r="J14" s="105"/>
      <c r="K14" s="105"/>
      <c r="L14" s="40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9">
        <v>1000</v>
      </c>
      <c r="I15" s="104"/>
      <c r="J15" s="105"/>
      <c r="K15" s="105"/>
      <c r="L15" s="40"/>
      <c r="M15" s="41"/>
      <c r="N15" s="92">
        <f t="shared" si="0"/>
        <v>0</v>
      </c>
      <c r="O15" s="42">
        <f t="shared" si="1"/>
        <v>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9">
        <v>1000</v>
      </c>
      <c r="I16" s="104"/>
      <c r="J16" s="105"/>
      <c r="K16" s="105"/>
      <c r="L16" s="40"/>
      <c r="M16" s="41"/>
      <c r="N16" s="92">
        <f t="shared" si="0"/>
        <v>0</v>
      </c>
      <c r="O16" s="42">
        <f t="shared" si="1"/>
        <v>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4">
        <v>200</v>
      </c>
      <c r="I17" s="104"/>
      <c r="J17" s="112"/>
      <c r="K17" s="112"/>
      <c r="L17" s="74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9">
        <v>1000</v>
      </c>
      <c r="I18" s="104"/>
      <c r="J18" s="105"/>
      <c r="K18" s="105"/>
      <c r="L18" s="40"/>
      <c r="M18" s="41"/>
      <c r="N18" s="92">
        <f t="shared" si="0"/>
        <v>0</v>
      </c>
      <c r="O18" s="42">
        <f t="shared" si="1"/>
        <v>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9"/>
      <c r="I19" s="104"/>
      <c r="J19" s="105"/>
      <c r="K19" s="105"/>
      <c r="L19" s="40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4"/>
      <c r="I20" s="104"/>
      <c r="J20" s="112"/>
      <c r="K20" s="112"/>
      <c r="L20" s="74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9">
        <v>200</v>
      </c>
      <c r="I21" s="104"/>
      <c r="J21" s="105"/>
      <c r="K21" s="105"/>
      <c r="L21" s="40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9">
        <v>125</v>
      </c>
      <c r="I22" s="104"/>
      <c r="J22" s="105"/>
      <c r="K22" s="105"/>
      <c r="L22" s="40"/>
      <c r="M22" s="41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4">
        <v>1200</v>
      </c>
      <c r="I23" s="104"/>
      <c r="J23" s="112"/>
      <c r="K23" s="112"/>
      <c r="L23" s="74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9"/>
      <c r="I24" s="104"/>
      <c r="J24" s="105"/>
      <c r="K24" s="105"/>
      <c r="L24" s="40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9">
        <v>4000</v>
      </c>
      <c r="I25" s="104"/>
      <c r="J25" s="105"/>
      <c r="K25" s="105"/>
      <c r="L25" s="40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9"/>
      <c r="I26" s="104"/>
      <c r="J26" s="105"/>
      <c r="K26" s="105"/>
      <c r="L26" s="40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9"/>
      <c r="I27" s="104"/>
      <c r="J27" s="105"/>
      <c r="K27" s="105"/>
      <c r="L27" s="40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4"/>
      <c r="I28" s="104"/>
      <c r="J28" s="112"/>
      <c r="K28" s="112"/>
      <c r="L28" s="74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9"/>
      <c r="I29" s="104"/>
      <c r="J29" s="105"/>
      <c r="K29" s="105"/>
      <c r="L29" s="40"/>
      <c r="M29" s="41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9"/>
      <c r="I30" s="104"/>
      <c r="J30" s="105"/>
      <c r="K30" s="105"/>
      <c r="L30" s="40"/>
      <c r="M30" s="41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9"/>
      <c r="I31" s="104"/>
      <c r="J31" s="105"/>
      <c r="K31" s="105"/>
      <c r="L31" s="40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9"/>
      <c r="I32" s="104"/>
      <c r="J32" s="105"/>
      <c r="K32" s="105"/>
      <c r="L32" s="105">
        <v>1</v>
      </c>
      <c r="M32" s="106"/>
      <c r="N32" s="92">
        <f>I32+J32+K32+L32+M32</f>
        <v>1</v>
      </c>
      <c r="O32" s="42">
        <f>E32*N32</f>
        <v>3200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4">
        <v>1</v>
      </c>
      <c r="I33" s="104"/>
      <c r="J33" s="112"/>
      <c r="K33" s="112"/>
      <c r="L33" s="74"/>
      <c r="M33" s="75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4">
        <v>5</v>
      </c>
      <c r="I34" s="104"/>
      <c r="J34" s="112"/>
      <c r="K34" s="112">
        <v>2</v>
      </c>
      <c r="L34" s="74"/>
      <c r="M34" s="75"/>
      <c r="N34" s="92">
        <f t="shared" si="0"/>
        <v>2</v>
      </c>
      <c r="O34" s="42">
        <f t="shared" si="1"/>
        <v>14400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4">
        <v>5</v>
      </c>
      <c r="I35" s="104"/>
      <c r="J35" s="112"/>
      <c r="K35" s="112"/>
      <c r="L35" s="74"/>
      <c r="M35" s="75"/>
      <c r="N35" s="92">
        <f t="shared" si="0"/>
        <v>0</v>
      </c>
      <c r="O35" s="42">
        <f t="shared" si="1"/>
        <v>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9">
        <v>1</v>
      </c>
      <c r="I36" s="104"/>
      <c r="J36" s="105"/>
      <c r="K36" s="105"/>
      <c r="L36" s="40">
        <v>1</v>
      </c>
      <c r="M36" s="41"/>
      <c r="N36" s="92">
        <f t="shared" si="0"/>
        <v>1</v>
      </c>
      <c r="O36" s="42">
        <f t="shared" si="1"/>
        <v>6870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3">
        <v>1</v>
      </c>
      <c r="I37" s="101"/>
      <c r="J37" s="102"/>
      <c r="K37" s="102"/>
      <c r="L37" s="30"/>
      <c r="M37" s="31"/>
      <c r="N37" s="93">
        <f t="shared" si="0"/>
        <v>0</v>
      </c>
      <c r="O37" s="32">
        <f t="shared" si="1"/>
        <v>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21"/>
      <c r="I40" s="98">
        <v>100</v>
      </c>
      <c r="J40" s="99"/>
      <c r="K40" s="99"/>
      <c r="L40" s="20"/>
      <c r="M40" s="21"/>
      <c r="N40" s="91">
        <f t="shared" si="0"/>
        <v>100</v>
      </c>
      <c r="O40" s="22">
        <f t="shared" si="1"/>
        <v>640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2"/>
      <c r="I41" s="101"/>
      <c r="J41" s="102"/>
      <c r="K41" s="102"/>
      <c r="L41" s="30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21">
        <v>1</v>
      </c>
      <c r="I42" s="98"/>
      <c r="J42" s="99"/>
      <c r="K42" s="99"/>
      <c r="L42" s="20"/>
      <c r="M42" s="21"/>
      <c r="N42" s="95">
        <f t="shared" si="0"/>
        <v>0</v>
      </c>
      <c r="O42" s="22">
        <f t="shared" si="1"/>
        <v>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9">
        <v>2</v>
      </c>
      <c r="I43" s="104"/>
      <c r="J43" s="105"/>
      <c r="K43" s="105"/>
      <c r="L43" s="40"/>
      <c r="M43" s="41"/>
      <c r="N43" s="92">
        <f t="shared" si="0"/>
        <v>0</v>
      </c>
      <c r="O43" s="42">
        <f t="shared" si="1"/>
        <v>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9">
        <v>2</v>
      </c>
      <c r="I44" s="104"/>
      <c r="J44" s="105"/>
      <c r="K44" s="105"/>
      <c r="L44" s="40"/>
      <c r="M44" s="41"/>
      <c r="N44" s="92">
        <f t="shared" si="0"/>
        <v>0</v>
      </c>
      <c r="O44" s="42">
        <f t="shared" si="1"/>
        <v>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9">
        <v>3</v>
      </c>
      <c r="I45" s="104"/>
      <c r="J45" s="105"/>
      <c r="K45" s="105"/>
      <c r="L45" s="40"/>
      <c r="M45" s="41"/>
      <c r="N45" s="92">
        <f t="shared" si="0"/>
        <v>0</v>
      </c>
      <c r="O45" s="42">
        <f t="shared" si="1"/>
        <v>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9">
        <v>1</v>
      </c>
      <c r="I46" s="104"/>
      <c r="J46" s="105"/>
      <c r="K46" s="105"/>
      <c r="L46" s="40"/>
      <c r="M46" s="41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9">
        <v>1</v>
      </c>
      <c r="I47" s="104"/>
      <c r="J47" s="105"/>
      <c r="K47" s="105"/>
      <c r="L47" s="40"/>
      <c r="M47" s="41"/>
      <c r="N47" s="92">
        <f t="shared" si="0"/>
        <v>0</v>
      </c>
      <c r="O47" s="42">
        <f t="shared" si="1"/>
        <v>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9">
        <v>2</v>
      </c>
      <c r="I48" s="104"/>
      <c r="J48" s="105"/>
      <c r="K48" s="105"/>
      <c r="L48" s="40"/>
      <c r="M48" s="41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9">
        <v>1</v>
      </c>
      <c r="I49" s="104"/>
      <c r="J49" s="105"/>
      <c r="K49" s="105"/>
      <c r="L49" s="40"/>
      <c r="M49" s="41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9">
        <v>1</v>
      </c>
      <c r="I50" s="104"/>
      <c r="J50" s="105"/>
      <c r="K50" s="105"/>
      <c r="L50" s="40"/>
      <c r="M50" s="41"/>
      <c r="N50" s="92">
        <f t="shared" si="0"/>
        <v>0</v>
      </c>
      <c r="O50" s="42">
        <f t="shared" si="1"/>
        <v>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3">
        <v>2</v>
      </c>
      <c r="I51" s="104"/>
      <c r="J51" s="102"/>
      <c r="K51" s="102"/>
      <c r="L51" s="30"/>
      <c r="M51" s="31"/>
      <c r="N51" s="93">
        <f t="shared" si="0"/>
        <v>0</v>
      </c>
      <c r="O51" s="49">
        <f t="shared" si="1"/>
        <v>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21">
        <v>2</v>
      </c>
      <c r="I52" s="107"/>
      <c r="J52" s="99"/>
      <c r="K52" s="99"/>
      <c r="L52" s="20"/>
      <c r="M52" s="21"/>
      <c r="N52" s="91">
        <f t="shared" si="0"/>
        <v>0</v>
      </c>
      <c r="O52" s="97">
        <f t="shared" si="1"/>
        <v>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9">
        <v>1</v>
      </c>
      <c r="I53" s="104"/>
      <c r="J53" s="105"/>
      <c r="K53" s="105"/>
      <c r="L53" s="40"/>
      <c r="M53" s="41"/>
      <c r="N53" s="92">
        <f t="shared" si="0"/>
        <v>0</v>
      </c>
      <c r="O53" s="42">
        <f t="shared" si="1"/>
        <v>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9">
        <v>1</v>
      </c>
      <c r="I54" s="104"/>
      <c r="J54" s="105"/>
      <c r="K54" s="105"/>
      <c r="L54" s="40"/>
      <c r="M54" s="41"/>
      <c r="N54" s="92">
        <f t="shared" si="0"/>
        <v>0</v>
      </c>
      <c r="O54" s="42">
        <f t="shared" si="1"/>
        <v>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9">
        <v>2</v>
      </c>
      <c r="I55" s="104"/>
      <c r="J55" s="105"/>
      <c r="K55" s="105"/>
      <c r="L55" s="40"/>
      <c r="M55" s="41"/>
      <c r="N55" s="92">
        <f t="shared" si="0"/>
        <v>0</v>
      </c>
      <c r="O55" s="42">
        <f t="shared" si="1"/>
        <v>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9">
        <v>3</v>
      </c>
      <c r="I56" s="104"/>
      <c r="J56" s="105"/>
      <c r="K56" s="105"/>
      <c r="L56" s="40"/>
      <c r="M56" s="41"/>
      <c r="N56" s="92">
        <f t="shared" si="0"/>
        <v>0</v>
      </c>
      <c r="O56" s="42">
        <f t="shared" si="1"/>
        <v>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9">
        <v>3</v>
      </c>
      <c r="I57" s="104"/>
      <c r="J57" s="105"/>
      <c r="K57" s="105"/>
      <c r="L57" s="40"/>
      <c r="M57" s="41"/>
      <c r="N57" s="92">
        <f t="shared" si="0"/>
        <v>0</v>
      </c>
      <c r="O57" s="42">
        <f t="shared" si="1"/>
        <v>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9">
        <v>2</v>
      </c>
      <c r="I58" s="104"/>
      <c r="J58" s="105"/>
      <c r="K58" s="105"/>
      <c r="L58" s="40"/>
      <c r="M58" s="41"/>
      <c r="N58" s="92">
        <f t="shared" si="0"/>
        <v>0</v>
      </c>
      <c r="O58" s="42">
        <f t="shared" si="1"/>
        <v>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9">
        <v>1</v>
      </c>
      <c r="I59" s="104"/>
      <c r="J59" s="105"/>
      <c r="K59" s="105"/>
      <c r="L59" s="40"/>
      <c r="M59" s="41"/>
      <c r="N59" s="92">
        <f t="shared" si="0"/>
        <v>0</v>
      </c>
      <c r="O59" s="42">
        <f t="shared" si="1"/>
        <v>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9">
        <v>1</v>
      </c>
      <c r="I60" s="104"/>
      <c r="J60" s="105"/>
      <c r="K60" s="105"/>
      <c r="L60" s="40"/>
      <c r="M60" s="41"/>
      <c r="N60" s="92">
        <f t="shared" si="0"/>
        <v>0</v>
      </c>
      <c r="O60" s="42">
        <f t="shared" si="1"/>
        <v>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3">
        <v>2</v>
      </c>
      <c r="I61" s="104"/>
      <c r="J61" s="102"/>
      <c r="K61" s="102"/>
      <c r="L61" s="30"/>
      <c r="M61" s="31"/>
      <c r="N61" s="94">
        <f t="shared" si="0"/>
        <v>0</v>
      </c>
      <c r="O61" s="32">
        <f t="shared" si="1"/>
        <v>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21">
        <v>13</v>
      </c>
      <c r="I62" s="107"/>
      <c r="J62" s="99"/>
      <c r="K62" s="99"/>
      <c r="L62" s="20">
        <v>5</v>
      </c>
      <c r="M62" s="21"/>
      <c r="N62" s="91">
        <f t="shared" si="0"/>
        <v>5</v>
      </c>
      <c r="O62" s="22">
        <f t="shared" si="1"/>
        <v>55000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42">
        <v>1</v>
      </c>
      <c r="I63" s="114"/>
      <c r="J63" s="109"/>
      <c r="K63" s="109">
        <v>1</v>
      </c>
      <c r="L63" s="60"/>
      <c r="M63" s="61"/>
      <c r="N63" s="94">
        <f t="shared" si="0"/>
        <v>1</v>
      </c>
      <c r="O63" s="49">
        <f t="shared" si="1"/>
        <v>19000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1.1000000000000001</v>
      </c>
      <c r="I64" s="98"/>
      <c r="J64" s="99"/>
      <c r="K64" s="99"/>
      <c r="L64" s="20"/>
      <c r="M64" s="21"/>
      <c r="N64" s="95">
        <f t="shared" si="0"/>
        <v>0</v>
      </c>
      <c r="O64" s="97">
        <f t="shared" si="1"/>
        <v>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2.8</v>
      </c>
      <c r="I65" s="104"/>
      <c r="J65" s="105"/>
      <c r="K65" s="105"/>
      <c r="L65" s="40"/>
      <c r="M65" s="41"/>
      <c r="N65" s="92">
        <f t="shared" si="0"/>
        <v>0</v>
      </c>
      <c r="O65" s="42">
        <f t="shared" si="1"/>
        <v>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1</v>
      </c>
      <c r="I66" s="104"/>
      <c r="J66" s="105"/>
      <c r="K66" s="105"/>
      <c r="L66" s="40"/>
      <c r="M66" s="41"/>
      <c r="N66" s="92">
        <f t="shared" si="0"/>
        <v>0</v>
      </c>
      <c r="O66" s="42">
        <f t="shared" si="1"/>
        <v>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1.17</v>
      </c>
      <c r="I67" s="108"/>
      <c r="J67" s="109"/>
      <c r="K67" s="109"/>
      <c r="L67" s="60"/>
      <c r="M67" s="61"/>
      <c r="N67" s="94">
        <f t="shared" si="0"/>
        <v>0</v>
      </c>
      <c r="O67" s="49">
        <f t="shared" si="1"/>
        <v>0</v>
      </c>
    </row>
    <row r="68" spans="1:15" ht="17.25" thickBot="1">
      <c r="A68" s="63"/>
      <c r="B68" s="63"/>
      <c r="C68" s="63"/>
      <c r="D68" s="63"/>
      <c r="E68" s="63">
        <f>SUM(E5:E67)</f>
        <v>282692.21499999997</v>
      </c>
      <c r="F68" s="111">
        <f t="shared" ref="F68:M68" si="2">SUM(F5:F67)</f>
        <v>76613</v>
      </c>
      <c r="G68" s="111">
        <f t="shared" si="2"/>
        <v>3062970</v>
      </c>
      <c r="H68" s="111">
        <f>SUM(H5:H67)</f>
        <v>15142.07</v>
      </c>
      <c r="I68" s="111">
        <f t="shared" si="2"/>
        <v>100</v>
      </c>
      <c r="J68" s="111">
        <f t="shared" si="2"/>
        <v>0</v>
      </c>
      <c r="K68" s="111">
        <f t="shared" si="2"/>
        <v>3</v>
      </c>
      <c r="L68" s="111">
        <f t="shared" si="2"/>
        <v>7</v>
      </c>
      <c r="M68" s="111">
        <f t="shared" si="2"/>
        <v>0</v>
      </c>
      <c r="N68" s="198">
        <f>SUM(N5:N67)</f>
        <v>110</v>
      </c>
      <c r="O68" s="198">
        <f>SUM(O5:O67)</f>
        <v>99110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  <ignoredErrors>
    <ignoredError sqref="N40:O67 N5:O31 N33:O36 N37:O37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68"/>
  <sheetViews>
    <sheetView topLeftCell="A22" zoomScale="55" zoomScaleNormal="55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8" width="11.625" style="115" customWidth="1"/>
    <col min="9" max="15" width="11.625" customWidth="1"/>
  </cols>
  <sheetData>
    <row r="1" spans="1:15">
      <c r="A1" s="229" t="s">
        <v>150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50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49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100"/>
      <c r="J5" s="99"/>
      <c r="K5" s="212"/>
      <c r="L5" s="212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6">
        <v>200</v>
      </c>
      <c r="I6" s="106"/>
      <c r="J6" s="105">
        <v>1000</v>
      </c>
      <c r="K6" s="213"/>
      <c r="L6" s="213"/>
      <c r="M6" s="41"/>
      <c r="N6" s="92">
        <f t="shared" ref="N6:N67" si="0">I6+J6+K6+L6+M6</f>
        <v>1000</v>
      </c>
      <c r="O6" s="42">
        <f t="shared" ref="O6:O67" si="1">E6*N6</f>
        <v>43000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6">
        <v>400</v>
      </c>
      <c r="I7" s="106"/>
      <c r="J7" s="105"/>
      <c r="K7" s="213"/>
      <c r="L7" s="213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8"/>
      <c r="I8" s="113"/>
      <c r="J8" s="112"/>
      <c r="K8" s="213"/>
      <c r="L8" s="213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6">
        <v>600</v>
      </c>
      <c r="I9" s="106"/>
      <c r="J9" s="105">
        <v>1000</v>
      </c>
      <c r="K9" s="213"/>
      <c r="L9" s="213"/>
      <c r="M9" s="41"/>
      <c r="N9" s="92">
        <f t="shared" si="0"/>
        <v>1000</v>
      </c>
      <c r="O9" s="42">
        <f t="shared" si="1"/>
        <v>53000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6">
        <v>400</v>
      </c>
      <c r="I10" s="106"/>
      <c r="J10" s="105"/>
      <c r="K10" s="213"/>
      <c r="L10" s="213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8">
        <v>1200</v>
      </c>
      <c r="I11" s="113"/>
      <c r="J11" s="112"/>
      <c r="K11" s="213"/>
      <c r="L11" s="213">
        <v>1000</v>
      </c>
      <c r="M11" s="75"/>
      <c r="N11" s="92">
        <f t="shared" si="0"/>
        <v>1000</v>
      </c>
      <c r="O11" s="42">
        <f t="shared" si="1"/>
        <v>18500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6">
        <v>250</v>
      </c>
      <c r="I12" s="106"/>
      <c r="J12" s="105"/>
      <c r="K12" s="213"/>
      <c r="L12" s="213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6">
        <v>200</v>
      </c>
      <c r="I13" s="106"/>
      <c r="J13" s="105"/>
      <c r="K13" s="213"/>
      <c r="L13" s="213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6"/>
      <c r="I14" s="106"/>
      <c r="J14" s="105"/>
      <c r="K14" s="213"/>
      <c r="L14" s="213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6">
        <v>1000</v>
      </c>
      <c r="I15" s="106"/>
      <c r="J15" s="105"/>
      <c r="K15" s="213">
        <v>1000</v>
      </c>
      <c r="L15" s="213"/>
      <c r="M15" s="41"/>
      <c r="N15" s="92">
        <f t="shared" si="0"/>
        <v>1000</v>
      </c>
      <c r="O15" s="42">
        <f t="shared" si="1"/>
        <v>18000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6"/>
      <c r="I16" s="106"/>
      <c r="J16" s="105">
        <v>500</v>
      </c>
      <c r="K16" s="213">
        <v>500</v>
      </c>
      <c r="L16" s="213"/>
      <c r="M16" s="41"/>
      <c r="N16" s="92">
        <f t="shared" si="0"/>
        <v>1000</v>
      </c>
      <c r="O16" s="42">
        <f t="shared" si="1"/>
        <v>6900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8"/>
      <c r="I17" s="113"/>
      <c r="J17" s="112"/>
      <c r="K17" s="213"/>
      <c r="L17" s="213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6">
        <v>500</v>
      </c>
      <c r="I18" s="106"/>
      <c r="J18" s="105">
        <v>500</v>
      </c>
      <c r="K18" s="213"/>
      <c r="L18" s="213"/>
      <c r="M18" s="41"/>
      <c r="N18" s="92">
        <f t="shared" si="0"/>
        <v>500</v>
      </c>
      <c r="O18" s="42">
        <f t="shared" si="1"/>
        <v>3600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6"/>
      <c r="I19" s="106"/>
      <c r="J19" s="105"/>
      <c r="K19" s="213"/>
      <c r="L19" s="213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8"/>
      <c r="I20" s="113"/>
      <c r="J20" s="112"/>
      <c r="K20" s="213"/>
      <c r="L20" s="213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6"/>
      <c r="I21" s="106"/>
      <c r="J21" s="105"/>
      <c r="K21" s="213"/>
      <c r="L21" s="213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6">
        <v>200</v>
      </c>
      <c r="I22" s="106"/>
      <c r="J22" s="105"/>
      <c r="K22" s="213"/>
      <c r="L22" s="213"/>
      <c r="M22" s="41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8">
        <v>2400</v>
      </c>
      <c r="I23" s="113"/>
      <c r="J23" s="112"/>
      <c r="K23" s="213"/>
      <c r="L23" s="213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6"/>
      <c r="I24" s="106"/>
      <c r="J24" s="105"/>
      <c r="K24" s="213"/>
      <c r="L24" s="213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6"/>
      <c r="I25" s="106"/>
      <c r="J25" s="105"/>
      <c r="K25" s="213"/>
      <c r="L25" s="213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6"/>
      <c r="I26" s="106"/>
      <c r="J26" s="105"/>
      <c r="K26" s="213"/>
      <c r="L26" s="213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6"/>
      <c r="I27" s="106"/>
      <c r="J27" s="105"/>
      <c r="K27" s="213"/>
      <c r="L27" s="213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8"/>
      <c r="I28" s="113"/>
      <c r="J28" s="112"/>
      <c r="K28" s="213"/>
      <c r="L28" s="213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210" t="s">
        <v>157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6">
        <v>2</v>
      </c>
      <c r="I29" s="106">
        <v>4</v>
      </c>
      <c r="J29" s="105"/>
      <c r="K29" s="213">
        <v>6</v>
      </c>
      <c r="L29" s="213"/>
      <c r="M29" s="41"/>
      <c r="N29" s="92">
        <f t="shared" si="0"/>
        <v>10</v>
      </c>
      <c r="O29" s="42">
        <f t="shared" si="1"/>
        <v>21000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6">
        <v>2</v>
      </c>
      <c r="I30" s="106"/>
      <c r="J30" s="105">
        <v>6</v>
      </c>
      <c r="K30" s="213"/>
      <c r="L30" s="213"/>
      <c r="M30" s="41"/>
      <c r="N30" s="92">
        <f t="shared" si="0"/>
        <v>6</v>
      </c>
      <c r="O30" s="42">
        <f t="shared" si="1"/>
        <v>12600</v>
      </c>
    </row>
    <row r="31" spans="1:15" ht="17.2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6">
        <v>1</v>
      </c>
      <c r="I31" s="106"/>
      <c r="J31" s="105"/>
      <c r="K31" s="213"/>
      <c r="L31" s="213"/>
      <c r="M31" s="41"/>
      <c r="N31" s="92">
        <f t="shared" si="0"/>
        <v>0</v>
      </c>
      <c r="O31" s="42">
        <f t="shared" si="1"/>
        <v>0</v>
      </c>
    </row>
    <row r="32" spans="1:15" ht="17.2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6"/>
      <c r="I32" s="106"/>
      <c r="J32" s="105">
        <v>1</v>
      </c>
      <c r="K32" s="213">
        <v>1</v>
      </c>
      <c r="L32" s="213"/>
      <c r="M32" s="106"/>
      <c r="N32" s="92">
        <f>I32+J32+K32+L32+M32</f>
        <v>2</v>
      </c>
      <c r="O32" s="42">
        <f>E32*N32</f>
        <v>6400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8">
        <v>14</v>
      </c>
      <c r="I33" s="113"/>
      <c r="J33" s="112"/>
      <c r="K33" s="213"/>
      <c r="L33" s="213"/>
      <c r="M33" s="75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8">
        <v>6</v>
      </c>
      <c r="I34" s="113">
        <v>4</v>
      </c>
      <c r="J34" s="112">
        <v>5</v>
      </c>
      <c r="K34" s="213"/>
      <c r="L34" s="213">
        <v>3</v>
      </c>
      <c r="M34" s="75"/>
      <c r="N34" s="92">
        <f t="shared" si="0"/>
        <v>12</v>
      </c>
      <c r="O34" s="42">
        <f t="shared" si="1"/>
        <v>86400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8">
        <v>5</v>
      </c>
      <c r="I35" s="113"/>
      <c r="J35" s="112"/>
      <c r="K35" s="213">
        <v>3</v>
      </c>
      <c r="L35" s="213">
        <v>3</v>
      </c>
      <c r="M35" s="75"/>
      <c r="N35" s="92">
        <f t="shared" si="0"/>
        <v>6</v>
      </c>
      <c r="O35" s="42">
        <f t="shared" si="1"/>
        <v>8100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6">
        <v>5</v>
      </c>
      <c r="I36" s="106"/>
      <c r="J36" s="105">
        <v>3</v>
      </c>
      <c r="K36" s="213">
        <v>1</v>
      </c>
      <c r="L36" s="213">
        <v>2</v>
      </c>
      <c r="M36" s="41"/>
      <c r="N36" s="92">
        <f t="shared" si="0"/>
        <v>6</v>
      </c>
      <c r="O36" s="42">
        <f t="shared" si="1"/>
        <v>41220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7">
        <v>1</v>
      </c>
      <c r="I37" s="103"/>
      <c r="J37" s="102">
        <v>1</v>
      </c>
      <c r="K37" s="214"/>
      <c r="L37" s="214"/>
      <c r="M37" s="31"/>
      <c r="N37" s="93">
        <f t="shared" si="0"/>
        <v>1</v>
      </c>
      <c r="O37" s="32">
        <f t="shared" si="1"/>
        <v>6870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17"/>
      <c r="I40" s="100"/>
      <c r="J40" s="99">
        <v>200</v>
      </c>
      <c r="K40" s="212">
        <v>100</v>
      </c>
      <c r="L40" s="212">
        <v>200</v>
      </c>
      <c r="M40" s="21"/>
      <c r="N40" s="91">
        <f t="shared" si="0"/>
        <v>500</v>
      </c>
      <c r="O40" s="22">
        <f t="shared" si="1"/>
        <v>3200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7"/>
      <c r="I41" s="103"/>
      <c r="J41" s="102"/>
      <c r="K41" s="214"/>
      <c r="L41" s="214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17">
        <v>1</v>
      </c>
      <c r="I42" s="100"/>
      <c r="J42" s="99"/>
      <c r="K42" s="212"/>
      <c r="L42" s="212">
        <v>1</v>
      </c>
      <c r="M42" s="21"/>
      <c r="N42" s="95">
        <f t="shared" si="0"/>
        <v>1</v>
      </c>
      <c r="O42" s="22">
        <f t="shared" si="1"/>
        <v>7700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6">
        <v>1</v>
      </c>
      <c r="I43" s="106"/>
      <c r="J43" s="105">
        <v>1</v>
      </c>
      <c r="K43" s="213">
        <v>1</v>
      </c>
      <c r="L43" s="213">
        <v>1</v>
      </c>
      <c r="M43" s="41"/>
      <c r="N43" s="92">
        <f t="shared" si="0"/>
        <v>3</v>
      </c>
      <c r="O43" s="42">
        <f t="shared" si="1"/>
        <v>18600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6">
        <v>1</v>
      </c>
      <c r="I44" s="106"/>
      <c r="J44" s="105">
        <v>1</v>
      </c>
      <c r="K44" s="213">
        <v>2</v>
      </c>
      <c r="L44" s="213">
        <v>1</v>
      </c>
      <c r="M44" s="41"/>
      <c r="N44" s="92">
        <f t="shared" si="0"/>
        <v>4</v>
      </c>
      <c r="O44" s="42">
        <f t="shared" si="1"/>
        <v>26800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6"/>
      <c r="I45" s="106">
        <v>1</v>
      </c>
      <c r="J45" s="105">
        <v>2</v>
      </c>
      <c r="K45" s="213">
        <v>1</v>
      </c>
      <c r="L45" s="213">
        <v>2</v>
      </c>
      <c r="M45" s="41"/>
      <c r="N45" s="92">
        <f t="shared" si="0"/>
        <v>6</v>
      </c>
      <c r="O45" s="42">
        <f t="shared" si="1"/>
        <v>43500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6"/>
      <c r="I46" s="106"/>
      <c r="J46" s="105"/>
      <c r="K46" s="213"/>
      <c r="L46" s="213"/>
      <c r="M46" s="41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6">
        <v>1</v>
      </c>
      <c r="I47" s="106"/>
      <c r="J47" s="105">
        <v>1</v>
      </c>
      <c r="K47" s="213">
        <v>1</v>
      </c>
      <c r="L47" s="213">
        <v>1</v>
      </c>
      <c r="M47" s="41"/>
      <c r="N47" s="92">
        <f t="shared" si="0"/>
        <v>3</v>
      </c>
      <c r="O47" s="42">
        <f t="shared" si="1"/>
        <v>19800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6">
        <v>1</v>
      </c>
      <c r="I48" s="106"/>
      <c r="J48" s="105"/>
      <c r="K48" s="213"/>
      <c r="L48" s="213">
        <v>1</v>
      </c>
      <c r="M48" s="41"/>
      <c r="N48" s="92">
        <f t="shared" si="0"/>
        <v>1</v>
      </c>
      <c r="O48" s="42">
        <f t="shared" si="1"/>
        <v>14500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6"/>
      <c r="I49" s="106">
        <v>1</v>
      </c>
      <c r="J49" s="105"/>
      <c r="K49" s="213"/>
      <c r="L49" s="213"/>
      <c r="M49" s="41"/>
      <c r="N49" s="92">
        <f t="shared" si="0"/>
        <v>1</v>
      </c>
      <c r="O49" s="42">
        <f t="shared" si="1"/>
        <v>11000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6">
        <v>1</v>
      </c>
      <c r="I50" s="106"/>
      <c r="J50" s="105"/>
      <c r="K50" s="213"/>
      <c r="L50" s="213">
        <v>1</v>
      </c>
      <c r="M50" s="41"/>
      <c r="N50" s="92">
        <f t="shared" si="0"/>
        <v>1</v>
      </c>
      <c r="O50" s="42">
        <f t="shared" si="1"/>
        <v>4500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7">
        <v>1</v>
      </c>
      <c r="I51" s="103"/>
      <c r="J51" s="102"/>
      <c r="K51" s="214"/>
      <c r="L51" s="214">
        <v>1</v>
      </c>
      <c r="M51" s="31"/>
      <c r="N51" s="93">
        <f t="shared" si="0"/>
        <v>1</v>
      </c>
      <c r="O51" s="49">
        <f t="shared" si="1"/>
        <v>6700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17">
        <v>2</v>
      </c>
      <c r="I52" s="100"/>
      <c r="J52" s="99">
        <v>2</v>
      </c>
      <c r="K52" s="212">
        <v>1</v>
      </c>
      <c r="L52" s="212">
        <v>1</v>
      </c>
      <c r="M52" s="21"/>
      <c r="N52" s="91">
        <f t="shared" si="0"/>
        <v>4</v>
      </c>
      <c r="O52" s="97">
        <f t="shared" si="1"/>
        <v>27600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6">
        <v>1</v>
      </c>
      <c r="I53" s="106"/>
      <c r="J53" s="105">
        <v>2</v>
      </c>
      <c r="K53" s="213"/>
      <c r="L53" s="213">
        <v>1</v>
      </c>
      <c r="M53" s="41"/>
      <c r="N53" s="92">
        <f t="shared" si="0"/>
        <v>3</v>
      </c>
      <c r="O53" s="42">
        <f t="shared" si="1"/>
        <v>20700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6">
        <v>1</v>
      </c>
      <c r="I54" s="106"/>
      <c r="J54" s="105">
        <v>2</v>
      </c>
      <c r="K54" s="213"/>
      <c r="L54" s="213">
        <v>1</v>
      </c>
      <c r="M54" s="41"/>
      <c r="N54" s="92">
        <f t="shared" si="0"/>
        <v>3</v>
      </c>
      <c r="O54" s="42">
        <f t="shared" si="1"/>
        <v>20400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6">
        <v>1</v>
      </c>
      <c r="I55" s="106"/>
      <c r="J55" s="105">
        <v>2</v>
      </c>
      <c r="K55" s="213">
        <v>2</v>
      </c>
      <c r="L55" s="213">
        <v>3</v>
      </c>
      <c r="M55" s="41"/>
      <c r="N55" s="92">
        <f t="shared" si="0"/>
        <v>7</v>
      </c>
      <c r="O55" s="42">
        <f t="shared" si="1"/>
        <v>105000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6">
        <v>2</v>
      </c>
      <c r="I56" s="106"/>
      <c r="J56" s="105">
        <v>2</v>
      </c>
      <c r="K56" s="213">
        <v>1</v>
      </c>
      <c r="L56" s="213">
        <v>2</v>
      </c>
      <c r="M56" s="41"/>
      <c r="N56" s="92">
        <f t="shared" si="0"/>
        <v>5</v>
      </c>
      <c r="O56" s="42">
        <f t="shared" si="1"/>
        <v>26500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6">
        <v>1</v>
      </c>
      <c r="I57" s="106"/>
      <c r="J57" s="105">
        <v>1</v>
      </c>
      <c r="K57" s="213"/>
      <c r="L57" s="213">
        <v>1</v>
      </c>
      <c r="M57" s="41"/>
      <c r="N57" s="92">
        <f t="shared" si="0"/>
        <v>2</v>
      </c>
      <c r="O57" s="42">
        <f t="shared" si="1"/>
        <v>13200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6"/>
      <c r="I58" s="106">
        <v>1</v>
      </c>
      <c r="J58" s="105">
        <v>1</v>
      </c>
      <c r="K58" s="213"/>
      <c r="L58" s="213"/>
      <c r="M58" s="41"/>
      <c r="N58" s="92">
        <f t="shared" si="0"/>
        <v>2</v>
      </c>
      <c r="O58" s="42">
        <f t="shared" si="1"/>
        <v>11200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6"/>
      <c r="I59" s="106">
        <v>1</v>
      </c>
      <c r="J59" s="105"/>
      <c r="K59" s="213"/>
      <c r="L59" s="213"/>
      <c r="M59" s="41"/>
      <c r="N59" s="92">
        <f t="shared" si="0"/>
        <v>1</v>
      </c>
      <c r="O59" s="42">
        <f t="shared" si="1"/>
        <v>14100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6"/>
      <c r="I60" s="106"/>
      <c r="J60" s="105">
        <v>1</v>
      </c>
      <c r="K60" s="213"/>
      <c r="L60" s="213"/>
      <c r="M60" s="41"/>
      <c r="N60" s="92">
        <f t="shared" si="0"/>
        <v>1</v>
      </c>
      <c r="O60" s="42">
        <f t="shared" si="1"/>
        <v>15100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7">
        <v>1</v>
      </c>
      <c r="I61" s="103"/>
      <c r="J61" s="102">
        <v>1</v>
      </c>
      <c r="K61" s="214"/>
      <c r="L61" s="214">
        <v>1</v>
      </c>
      <c r="M61" s="31"/>
      <c r="N61" s="94">
        <f t="shared" si="0"/>
        <v>2</v>
      </c>
      <c r="O61" s="32">
        <f t="shared" si="1"/>
        <v>30600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17">
        <v>11</v>
      </c>
      <c r="I62" s="100">
        <v>9</v>
      </c>
      <c r="J62" s="99">
        <v>8</v>
      </c>
      <c r="K62" s="212">
        <v>7</v>
      </c>
      <c r="L62" s="212">
        <v>24</v>
      </c>
      <c r="M62" s="21"/>
      <c r="N62" s="91">
        <f t="shared" si="0"/>
        <v>48</v>
      </c>
      <c r="O62" s="22">
        <f t="shared" si="1"/>
        <v>528000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18"/>
      <c r="I63" s="110">
        <v>2</v>
      </c>
      <c r="J63" s="109"/>
      <c r="K63" s="215"/>
      <c r="L63" s="215"/>
      <c r="M63" s="61"/>
      <c r="N63" s="94">
        <f t="shared" si="0"/>
        <v>2</v>
      </c>
      <c r="O63" s="49">
        <f t="shared" si="1"/>
        <v>38000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0.75</v>
      </c>
      <c r="I64" s="100"/>
      <c r="J64" s="99"/>
      <c r="K64" s="212"/>
      <c r="L64" s="212">
        <v>1</v>
      </c>
      <c r="M64" s="21"/>
      <c r="N64" s="95">
        <f t="shared" si="0"/>
        <v>1</v>
      </c>
      <c r="O64" s="97">
        <f t="shared" si="1"/>
        <v>4000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0.7</v>
      </c>
      <c r="I65" s="106"/>
      <c r="J65" s="105"/>
      <c r="K65" s="213"/>
      <c r="L65" s="213"/>
      <c r="M65" s="41"/>
      <c r="N65" s="92">
        <f t="shared" si="0"/>
        <v>0</v>
      </c>
      <c r="O65" s="42">
        <f t="shared" si="1"/>
        <v>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1.05</v>
      </c>
      <c r="I66" s="106"/>
      <c r="J66" s="105"/>
      <c r="K66" s="213">
        <v>1</v>
      </c>
      <c r="L66" s="213"/>
      <c r="M66" s="41"/>
      <c r="N66" s="92">
        <f t="shared" si="0"/>
        <v>1</v>
      </c>
      <c r="O66" s="42">
        <f t="shared" si="1"/>
        <v>4000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1.1499999999999999</v>
      </c>
      <c r="I67" s="110"/>
      <c r="J67" s="109"/>
      <c r="K67" s="215"/>
      <c r="L67" s="215"/>
      <c r="M67" s="61"/>
      <c r="N67" s="94">
        <f t="shared" si="0"/>
        <v>0</v>
      </c>
      <c r="O67" s="49">
        <f t="shared" si="1"/>
        <v>0</v>
      </c>
    </row>
    <row r="68" spans="1:15" ht="17.25" thickBot="1">
      <c r="A68" s="63"/>
      <c r="B68" s="63"/>
      <c r="C68" s="63"/>
      <c r="D68" s="63"/>
      <c r="E68" s="63">
        <f>SUM(E5:E67)</f>
        <v>282692.21499999997</v>
      </c>
      <c r="F68" s="111">
        <f t="shared" ref="F68:O68" si="2">SUM(F5:F67)</f>
        <v>76613</v>
      </c>
      <c r="G68" s="111">
        <f t="shared" si="2"/>
        <v>3062970</v>
      </c>
      <c r="H68" s="111">
        <f t="shared" si="2"/>
        <v>7416.65</v>
      </c>
      <c r="I68" s="111">
        <f t="shared" si="2"/>
        <v>23</v>
      </c>
      <c r="J68" s="111">
        <f t="shared" si="2"/>
        <v>3243</v>
      </c>
      <c r="K68" s="111"/>
      <c r="L68" s="111">
        <f t="shared" si="2"/>
        <v>1252</v>
      </c>
      <c r="M68" s="111">
        <f t="shared" si="2"/>
        <v>0</v>
      </c>
      <c r="N68" s="198">
        <f t="shared" si="2"/>
        <v>6146</v>
      </c>
      <c r="O68" s="198">
        <f t="shared" si="2"/>
        <v>1340290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  <ignoredErrors>
    <ignoredError sqref="N40:O67 N5:O31 N33:O36 N37:O3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68"/>
  <sheetViews>
    <sheetView topLeftCell="A31" zoomScale="80" zoomScaleNormal="80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151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124"/>
      <c r="J5" s="133"/>
      <c r="K5" s="99"/>
      <c r="L5" s="100"/>
      <c r="M5" s="124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6">
        <v>600</v>
      </c>
      <c r="I6" s="132"/>
      <c r="J6" s="129"/>
      <c r="K6" s="105"/>
      <c r="L6" s="106"/>
      <c r="M6" s="132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6">
        <v>400</v>
      </c>
      <c r="I7" s="132"/>
      <c r="J7" s="129"/>
      <c r="K7" s="105"/>
      <c r="L7" s="106">
        <v>1000</v>
      </c>
      <c r="M7" s="132"/>
      <c r="N7" s="92">
        <f t="shared" si="0"/>
        <v>1000</v>
      </c>
      <c r="O7" s="42">
        <f t="shared" si="1"/>
        <v>20000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8"/>
      <c r="I8" s="120"/>
      <c r="J8" s="123"/>
      <c r="K8" s="112"/>
      <c r="L8" s="113"/>
      <c r="M8" s="120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6">
        <v>1050</v>
      </c>
      <c r="I9" s="132"/>
      <c r="J9" s="129"/>
      <c r="K9" s="105">
        <v>1000</v>
      </c>
      <c r="L9" s="106"/>
      <c r="M9" s="132"/>
      <c r="N9" s="92">
        <f t="shared" si="0"/>
        <v>1000</v>
      </c>
      <c r="O9" s="42">
        <f t="shared" si="1"/>
        <v>53000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6">
        <v>350</v>
      </c>
      <c r="I10" s="132"/>
      <c r="J10" s="129"/>
      <c r="K10" s="105"/>
      <c r="L10" s="106"/>
      <c r="M10" s="132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8">
        <v>950</v>
      </c>
      <c r="I11" s="120"/>
      <c r="J11" s="123">
        <v>1000</v>
      </c>
      <c r="K11" s="112"/>
      <c r="L11" s="113"/>
      <c r="M11" s="120"/>
      <c r="N11" s="92">
        <f t="shared" si="0"/>
        <v>1000</v>
      </c>
      <c r="O11" s="42">
        <f t="shared" si="1"/>
        <v>18500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6">
        <v>1050</v>
      </c>
      <c r="I12" s="132"/>
      <c r="J12" s="129"/>
      <c r="K12" s="105"/>
      <c r="L12" s="106"/>
      <c r="M12" s="132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6"/>
      <c r="I13" s="132"/>
      <c r="J13" s="129"/>
      <c r="K13" s="105"/>
      <c r="L13" s="106"/>
      <c r="M13" s="132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6"/>
      <c r="I14" s="132"/>
      <c r="J14" s="129"/>
      <c r="K14" s="105"/>
      <c r="L14" s="106"/>
      <c r="M14" s="132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6">
        <v>1000</v>
      </c>
      <c r="I15" s="132">
        <v>1000</v>
      </c>
      <c r="J15" s="129"/>
      <c r="K15" s="105"/>
      <c r="L15" s="106">
        <v>1000</v>
      </c>
      <c r="M15" s="132"/>
      <c r="N15" s="92">
        <f t="shared" si="0"/>
        <v>2000</v>
      </c>
      <c r="O15" s="42">
        <f t="shared" si="1"/>
        <v>36000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6">
        <v>500</v>
      </c>
      <c r="I16" s="132">
        <v>500</v>
      </c>
      <c r="J16" s="129">
        <v>500</v>
      </c>
      <c r="K16" s="105"/>
      <c r="L16" s="106">
        <v>500</v>
      </c>
      <c r="M16" s="132"/>
      <c r="N16" s="92">
        <f t="shared" si="0"/>
        <v>1500</v>
      </c>
      <c r="O16" s="42">
        <f t="shared" si="1"/>
        <v>10350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8">
        <v>200</v>
      </c>
      <c r="I17" s="120"/>
      <c r="J17" s="123"/>
      <c r="K17" s="112"/>
      <c r="L17" s="113">
        <v>200</v>
      </c>
      <c r="M17" s="120"/>
      <c r="N17" s="92">
        <f t="shared" si="0"/>
        <v>200</v>
      </c>
      <c r="O17" s="42">
        <f t="shared" si="1"/>
        <v>4437.5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6">
        <v>500</v>
      </c>
      <c r="I18" s="132"/>
      <c r="J18" s="129"/>
      <c r="K18" s="105"/>
      <c r="L18" s="106">
        <v>500</v>
      </c>
      <c r="M18" s="132"/>
      <c r="N18" s="92">
        <f t="shared" si="0"/>
        <v>500</v>
      </c>
      <c r="O18" s="42">
        <f t="shared" si="1"/>
        <v>3600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6"/>
      <c r="I19" s="132">
        <v>250</v>
      </c>
      <c r="J19" s="129"/>
      <c r="K19" s="105"/>
      <c r="L19" s="106">
        <v>250</v>
      </c>
      <c r="M19" s="132"/>
      <c r="N19" s="92">
        <f t="shared" si="0"/>
        <v>500</v>
      </c>
      <c r="O19" s="42">
        <f t="shared" si="1"/>
        <v>9000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8"/>
      <c r="I20" s="120"/>
      <c r="J20" s="123"/>
      <c r="K20" s="112">
        <v>200</v>
      </c>
      <c r="L20" s="113"/>
      <c r="M20" s="120"/>
      <c r="N20" s="92">
        <f t="shared" si="0"/>
        <v>200</v>
      </c>
      <c r="O20" s="42">
        <f t="shared" si="1"/>
        <v>5340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6">
        <v>200</v>
      </c>
      <c r="I21" s="132"/>
      <c r="J21" s="129"/>
      <c r="K21" s="105"/>
      <c r="L21" s="106"/>
      <c r="M21" s="132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6">
        <v>125</v>
      </c>
      <c r="I22" s="132"/>
      <c r="J22" s="129"/>
      <c r="K22" s="105"/>
      <c r="L22" s="106"/>
      <c r="M22" s="132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8">
        <v>5200</v>
      </c>
      <c r="I23" s="120"/>
      <c r="J23" s="123"/>
      <c r="K23" s="112"/>
      <c r="L23" s="113"/>
      <c r="M23" s="120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6"/>
      <c r="I24" s="132"/>
      <c r="J24" s="129"/>
      <c r="K24" s="105"/>
      <c r="L24" s="106"/>
      <c r="M24" s="132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6"/>
      <c r="I25" s="132"/>
      <c r="J25" s="129"/>
      <c r="K25" s="105"/>
      <c r="L25" s="106"/>
      <c r="M25" s="132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6"/>
      <c r="I26" s="132"/>
      <c r="J26" s="129"/>
      <c r="K26" s="105"/>
      <c r="L26" s="106"/>
      <c r="M26" s="132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6"/>
      <c r="I27" s="132"/>
      <c r="J27" s="129"/>
      <c r="K27" s="105"/>
      <c r="L27" s="106"/>
      <c r="M27" s="132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8"/>
      <c r="I28" s="120"/>
      <c r="J28" s="123"/>
      <c r="K28" s="112"/>
      <c r="L28" s="113"/>
      <c r="M28" s="120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6"/>
      <c r="I29" s="132"/>
      <c r="J29" s="129"/>
      <c r="K29" s="105"/>
      <c r="L29" s="106"/>
      <c r="M29" s="132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6"/>
      <c r="I30" s="132"/>
      <c r="J30" s="129"/>
      <c r="K30" s="105"/>
      <c r="L30" s="106"/>
      <c r="M30" s="132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6">
        <v>1</v>
      </c>
      <c r="I31" s="132"/>
      <c r="J31" s="129"/>
      <c r="K31" s="105"/>
      <c r="L31" s="106"/>
      <c r="M31" s="132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6"/>
      <c r="I32" s="132">
        <v>1</v>
      </c>
      <c r="J32" s="129"/>
      <c r="K32" s="105"/>
      <c r="L32" s="106">
        <v>1</v>
      </c>
      <c r="M32" s="132"/>
      <c r="N32" s="92">
        <f>I32+J32+K32+L32+M32</f>
        <v>2</v>
      </c>
      <c r="O32" s="42">
        <f>E32*N32</f>
        <v>6400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8"/>
      <c r="I33" s="120"/>
      <c r="J33" s="123"/>
      <c r="K33" s="112"/>
      <c r="L33" s="113"/>
      <c r="M33" s="120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8">
        <v>8</v>
      </c>
      <c r="I34" s="120">
        <v>2</v>
      </c>
      <c r="J34" s="123">
        <v>2</v>
      </c>
      <c r="K34" s="112">
        <v>8</v>
      </c>
      <c r="L34" s="113">
        <v>6</v>
      </c>
      <c r="M34" s="120"/>
      <c r="N34" s="92">
        <f t="shared" si="0"/>
        <v>18</v>
      </c>
      <c r="O34" s="42">
        <f t="shared" si="1"/>
        <v>129600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8">
        <v>3</v>
      </c>
      <c r="I35" s="120">
        <v>2</v>
      </c>
      <c r="J35" s="123"/>
      <c r="K35" s="112"/>
      <c r="L35" s="113">
        <v>8</v>
      </c>
      <c r="M35" s="120"/>
      <c r="N35" s="92">
        <f t="shared" si="0"/>
        <v>10</v>
      </c>
      <c r="O35" s="42">
        <f t="shared" si="1"/>
        <v>13500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6">
        <v>3</v>
      </c>
      <c r="I36" s="132">
        <v>1</v>
      </c>
      <c r="J36" s="129">
        <v>1</v>
      </c>
      <c r="K36" s="105">
        <v>1</v>
      </c>
      <c r="L36" s="106">
        <v>5</v>
      </c>
      <c r="M36" s="132"/>
      <c r="N36" s="92">
        <f t="shared" si="0"/>
        <v>8</v>
      </c>
      <c r="O36" s="42">
        <f t="shared" si="1"/>
        <v>54960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7">
        <v>2</v>
      </c>
      <c r="I37" s="122"/>
      <c r="J37" s="131"/>
      <c r="K37" s="102"/>
      <c r="L37" s="103">
        <v>2</v>
      </c>
      <c r="M37" s="122"/>
      <c r="N37" s="93">
        <f t="shared" si="0"/>
        <v>2</v>
      </c>
      <c r="O37" s="32">
        <f t="shared" si="1"/>
        <v>13740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17"/>
      <c r="I40" s="124"/>
      <c r="J40" s="133">
        <v>200</v>
      </c>
      <c r="K40" s="99"/>
      <c r="L40" s="100">
        <v>200</v>
      </c>
      <c r="M40" s="124"/>
      <c r="N40" s="91">
        <f t="shared" si="0"/>
        <v>400</v>
      </c>
      <c r="O40" s="22">
        <f t="shared" si="1"/>
        <v>2560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7"/>
      <c r="I41" s="122"/>
      <c r="J41" s="131"/>
      <c r="K41" s="102"/>
      <c r="L41" s="103"/>
      <c r="M41" s="122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17">
        <v>1</v>
      </c>
      <c r="I42" s="124"/>
      <c r="J42" s="133"/>
      <c r="K42" s="99">
        <v>1</v>
      </c>
      <c r="L42" s="100">
        <v>1</v>
      </c>
      <c r="M42" s="124"/>
      <c r="N42" s="95">
        <f t="shared" si="0"/>
        <v>2</v>
      </c>
      <c r="O42" s="22">
        <f t="shared" si="1"/>
        <v>15400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6">
        <v>2</v>
      </c>
      <c r="I43" s="132"/>
      <c r="J43" s="129">
        <v>1</v>
      </c>
      <c r="K43" s="105">
        <v>1</v>
      </c>
      <c r="L43" s="106">
        <v>1</v>
      </c>
      <c r="M43" s="132"/>
      <c r="N43" s="92">
        <f t="shared" si="0"/>
        <v>3</v>
      </c>
      <c r="O43" s="42">
        <f t="shared" si="1"/>
        <v>18600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6">
        <v>2</v>
      </c>
      <c r="I44" s="132">
        <v>1</v>
      </c>
      <c r="J44" s="129"/>
      <c r="K44" s="105"/>
      <c r="L44" s="106">
        <v>2</v>
      </c>
      <c r="M44" s="132"/>
      <c r="N44" s="92">
        <f t="shared" si="0"/>
        <v>3</v>
      </c>
      <c r="O44" s="42">
        <f t="shared" si="1"/>
        <v>20100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6">
        <v>1</v>
      </c>
      <c r="I45" s="132">
        <v>2</v>
      </c>
      <c r="J45" s="129">
        <v>1</v>
      </c>
      <c r="K45" s="105"/>
      <c r="L45" s="106">
        <v>4</v>
      </c>
      <c r="M45" s="132"/>
      <c r="N45" s="92">
        <f t="shared" si="0"/>
        <v>7</v>
      </c>
      <c r="O45" s="42">
        <f t="shared" si="1"/>
        <v>50750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6"/>
      <c r="I46" s="132">
        <v>1</v>
      </c>
      <c r="J46" s="129"/>
      <c r="K46" s="105">
        <v>1</v>
      </c>
      <c r="L46" s="106"/>
      <c r="M46" s="132"/>
      <c r="N46" s="92">
        <f t="shared" si="0"/>
        <v>2</v>
      </c>
      <c r="O46" s="42">
        <f t="shared" si="1"/>
        <v>10600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6">
        <v>2</v>
      </c>
      <c r="I47" s="132"/>
      <c r="J47" s="129"/>
      <c r="K47" s="105"/>
      <c r="L47" s="106">
        <v>1</v>
      </c>
      <c r="M47" s="132"/>
      <c r="N47" s="92">
        <f t="shared" si="0"/>
        <v>1</v>
      </c>
      <c r="O47" s="42">
        <f t="shared" si="1"/>
        <v>6600</v>
      </c>
    </row>
    <row r="48" spans="1:15" ht="12" customHeight="1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6">
        <v>1</v>
      </c>
      <c r="I48" s="132"/>
      <c r="J48" s="129">
        <v>1</v>
      </c>
      <c r="K48" s="105">
        <v>1</v>
      </c>
      <c r="L48" s="106">
        <v>1</v>
      </c>
      <c r="M48" s="132"/>
      <c r="N48" s="92">
        <f t="shared" si="0"/>
        <v>3</v>
      </c>
      <c r="O48" s="42">
        <f t="shared" si="1"/>
        <v>43500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6">
        <v>1</v>
      </c>
      <c r="I49" s="132"/>
      <c r="J49" s="129"/>
      <c r="K49" s="105"/>
      <c r="L49" s="106">
        <v>1</v>
      </c>
      <c r="M49" s="132"/>
      <c r="N49" s="92">
        <f t="shared" si="0"/>
        <v>1</v>
      </c>
      <c r="O49" s="42">
        <f t="shared" si="1"/>
        <v>11000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6">
        <v>1</v>
      </c>
      <c r="I50" s="132"/>
      <c r="J50" s="129"/>
      <c r="K50" s="105"/>
      <c r="L50" s="106"/>
      <c r="M50" s="132"/>
      <c r="N50" s="92">
        <f t="shared" si="0"/>
        <v>0</v>
      </c>
      <c r="O50" s="42">
        <f t="shared" si="1"/>
        <v>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7">
        <v>1</v>
      </c>
      <c r="I51" s="122"/>
      <c r="J51" s="131"/>
      <c r="K51" s="102"/>
      <c r="L51" s="103">
        <v>2</v>
      </c>
      <c r="M51" s="122"/>
      <c r="N51" s="93">
        <f t="shared" si="0"/>
        <v>2</v>
      </c>
      <c r="O51" s="49">
        <f t="shared" si="1"/>
        <v>13400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17">
        <v>1</v>
      </c>
      <c r="I52" s="124">
        <v>1</v>
      </c>
      <c r="J52" s="133">
        <v>1</v>
      </c>
      <c r="K52" s="99"/>
      <c r="L52" s="100">
        <v>2</v>
      </c>
      <c r="M52" s="124"/>
      <c r="N52" s="91">
        <f t="shared" si="0"/>
        <v>4</v>
      </c>
      <c r="O52" s="97">
        <f t="shared" si="1"/>
        <v>27600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6">
        <v>1</v>
      </c>
      <c r="I53" s="132">
        <v>1</v>
      </c>
      <c r="J53" s="129"/>
      <c r="K53" s="105">
        <v>1</v>
      </c>
      <c r="L53" s="106">
        <v>2</v>
      </c>
      <c r="M53" s="132"/>
      <c r="N53" s="92">
        <f t="shared" si="0"/>
        <v>4</v>
      </c>
      <c r="O53" s="42">
        <f t="shared" si="1"/>
        <v>27600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6">
        <v>1</v>
      </c>
      <c r="I54" s="132">
        <v>1</v>
      </c>
      <c r="J54" s="129"/>
      <c r="K54" s="105">
        <v>1</v>
      </c>
      <c r="L54" s="106"/>
      <c r="M54" s="132"/>
      <c r="N54" s="92">
        <f t="shared" si="0"/>
        <v>2</v>
      </c>
      <c r="O54" s="42">
        <f t="shared" si="1"/>
        <v>13600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6">
        <v>3</v>
      </c>
      <c r="I55" s="132"/>
      <c r="J55" s="129">
        <v>1</v>
      </c>
      <c r="K55" s="105">
        <v>1</v>
      </c>
      <c r="L55" s="106">
        <v>4</v>
      </c>
      <c r="M55" s="132"/>
      <c r="N55" s="92">
        <f t="shared" si="0"/>
        <v>6</v>
      </c>
      <c r="O55" s="42">
        <f t="shared" si="1"/>
        <v>90000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6">
        <v>2</v>
      </c>
      <c r="I56" s="132"/>
      <c r="J56" s="129"/>
      <c r="K56" s="105">
        <v>1</v>
      </c>
      <c r="L56" s="106">
        <v>2</v>
      </c>
      <c r="M56" s="132"/>
      <c r="N56" s="92">
        <f t="shared" si="0"/>
        <v>3</v>
      </c>
      <c r="O56" s="42">
        <f t="shared" si="1"/>
        <v>15900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6">
        <v>2</v>
      </c>
      <c r="I57" s="132"/>
      <c r="J57" s="129">
        <v>1</v>
      </c>
      <c r="K57" s="105">
        <v>1</v>
      </c>
      <c r="L57" s="106">
        <v>1</v>
      </c>
      <c r="M57" s="132"/>
      <c r="N57" s="92">
        <f t="shared" si="0"/>
        <v>3</v>
      </c>
      <c r="O57" s="42">
        <f t="shared" si="1"/>
        <v>19800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6">
        <v>1</v>
      </c>
      <c r="I58" s="132"/>
      <c r="J58" s="129">
        <v>1</v>
      </c>
      <c r="K58" s="105">
        <v>1</v>
      </c>
      <c r="L58" s="106">
        <v>1</v>
      </c>
      <c r="M58" s="132"/>
      <c r="N58" s="92">
        <f t="shared" si="0"/>
        <v>3</v>
      </c>
      <c r="O58" s="42">
        <f t="shared" si="1"/>
        <v>16800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6">
        <v>1</v>
      </c>
      <c r="I59" s="132"/>
      <c r="J59" s="129"/>
      <c r="K59" s="105"/>
      <c r="L59" s="106">
        <v>1</v>
      </c>
      <c r="M59" s="132"/>
      <c r="N59" s="92">
        <f t="shared" si="0"/>
        <v>1</v>
      </c>
      <c r="O59" s="42">
        <f t="shared" si="1"/>
        <v>14100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6">
        <v>1</v>
      </c>
      <c r="I60" s="132"/>
      <c r="J60" s="129"/>
      <c r="K60" s="105"/>
      <c r="L60" s="106"/>
      <c r="M60" s="132"/>
      <c r="N60" s="92">
        <f t="shared" si="0"/>
        <v>0</v>
      </c>
      <c r="O60" s="42">
        <f t="shared" si="1"/>
        <v>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7">
        <v>1</v>
      </c>
      <c r="I61" s="122"/>
      <c r="J61" s="131">
        <v>1</v>
      </c>
      <c r="K61" s="102"/>
      <c r="L61" s="103"/>
      <c r="M61" s="122"/>
      <c r="N61" s="94">
        <f t="shared" si="0"/>
        <v>1</v>
      </c>
      <c r="O61" s="32">
        <f t="shared" si="1"/>
        <v>15300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17">
        <v>10</v>
      </c>
      <c r="I62" s="124">
        <v>12</v>
      </c>
      <c r="J62" s="133">
        <v>12</v>
      </c>
      <c r="K62" s="99">
        <v>10</v>
      </c>
      <c r="L62" s="100">
        <v>10</v>
      </c>
      <c r="M62" s="124"/>
      <c r="N62" s="91">
        <f t="shared" si="0"/>
        <v>44</v>
      </c>
      <c r="O62" s="22">
        <f t="shared" si="1"/>
        <v>484000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18">
        <v>1</v>
      </c>
      <c r="I63" s="145">
        <v>1</v>
      </c>
      <c r="J63" s="146">
        <v>1</v>
      </c>
      <c r="K63" s="109">
        <v>1</v>
      </c>
      <c r="L63" s="110">
        <v>1</v>
      </c>
      <c r="M63" s="145"/>
      <c r="N63" s="94">
        <f t="shared" si="0"/>
        <v>4</v>
      </c>
      <c r="O63" s="49">
        <f t="shared" si="1"/>
        <v>76000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1.25</v>
      </c>
      <c r="I64" s="124"/>
      <c r="J64" s="133">
        <v>1</v>
      </c>
      <c r="K64" s="99">
        <v>1</v>
      </c>
      <c r="L64" s="100"/>
      <c r="M64" s="124"/>
      <c r="N64" s="95">
        <f t="shared" si="0"/>
        <v>2</v>
      </c>
      <c r="O64" s="97">
        <f t="shared" si="1"/>
        <v>8000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1.1499999999999999</v>
      </c>
      <c r="I65" s="132"/>
      <c r="J65" s="129"/>
      <c r="K65" s="105">
        <v>1</v>
      </c>
      <c r="L65" s="106"/>
      <c r="M65" s="132"/>
      <c r="N65" s="92">
        <f t="shared" si="0"/>
        <v>1</v>
      </c>
      <c r="O65" s="42">
        <f t="shared" si="1"/>
        <v>4000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1.2</v>
      </c>
      <c r="I66" s="132"/>
      <c r="J66" s="129"/>
      <c r="K66" s="105"/>
      <c r="L66" s="106"/>
      <c r="M66" s="132"/>
      <c r="N66" s="92">
        <f t="shared" si="0"/>
        <v>0</v>
      </c>
      <c r="O66" s="42">
        <f t="shared" si="1"/>
        <v>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0.75</v>
      </c>
      <c r="I67" s="145"/>
      <c r="J67" s="146">
        <v>1</v>
      </c>
      <c r="K67" s="109"/>
      <c r="L67" s="109"/>
      <c r="M67" s="145"/>
      <c r="N67" s="94">
        <f t="shared" si="0"/>
        <v>1</v>
      </c>
      <c r="O67" s="49">
        <f t="shared" si="1"/>
        <v>4300</v>
      </c>
    </row>
    <row r="68" spans="1:15" ht="17.25" thickBot="1">
      <c r="A68" s="63"/>
      <c r="B68" s="63"/>
      <c r="C68" s="63"/>
      <c r="D68" s="63"/>
      <c r="E68" s="63">
        <f>SUM(E5:E67)</f>
        <v>282692.21499999997</v>
      </c>
      <c r="F68" s="63">
        <f t="shared" ref="F68:O68" si="2">SUM(F5:F67)</f>
        <v>76613</v>
      </c>
      <c r="G68" s="63">
        <f t="shared" si="2"/>
        <v>3062970</v>
      </c>
      <c r="H68" s="111">
        <f t="shared" si="2"/>
        <v>12183.35</v>
      </c>
      <c r="I68" s="111">
        <f t="shared" si="2"/>
        <v>1776</v>
      </c>
      <c r="J68" s="111">
        <f t="shared" si="2"/>
        <v>1726</v>
      </c>
      <c r="K68" s="111">
        <f t="shared" si="2"/>
        <v>1232</v>
      </c>
      <c r="L68" s="63"/>
      <c r="M68" s="63">
        <f t="shared" si="2"/>
        <v>0</v>
      </c>
      <c r="N68" s="90">
        <f t="shared" si="2"/>
        <v>8443</v>
      </c>
      <c r="O68" s="96">
        <f t="shared" si="2"/>
        <v>1387937.5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P68"/>
  <sheetViews>
    <sheetView topLeftCell="A37" zoomScale="85" zoomScaleNormal="85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153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8"/>
      <c r="J5" s="99"/>
      <c r="K5" s="99"/>
      <c r="L5" s="20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6">
        <v>500</v>
      </c>
      <c r="I6" s="104"/>
      <c r="J6" s="105"/>
      <c r="K6" s="105"/>
      <c r="L6" s="40"/>
      <c r="M6" s="41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6">
        <v>600</v>
      </c>
      <c r="I7" s="104"/>
      <c r="J7" s="105"/>
      <c r="K7" s="105"/>
      <c r="L7" s="40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8"/>
      <c r="I8" s="104"/>
      <c r="J8" s="112"/>
      <c r="K8" s="112"/>
      <c r="L8" s="74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6">
        <v>100</v>
      </c>
      <c r="I9" s="104"/>
      <c r="J9" s="105">
        <v>1000</v>
      </c>
      <c r="K9" s="105"/>
      <c r="L9" s="40"/>
      <c r="M9" s="41"/>
      <c r="N9" s="92">
        <f t="shared" si="0"/>
        <v>1000</v>
      </c>
      <c r="O9" s="42">
        <f t="shared" si="1"/>
        <v>53000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6">
        <v>450</v>
      </c>
      <c r="I10" s="104"/>
      <c r="J10" s="105"/>
      <c r="K10" s="105"/>
      <c r="L10" s="40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8"/>
      <c r="I11" s="104"/>
      <c r="J11" s="112">
        <v>1000</v>
      </c>
      <c r="K11" s="112"/>
      <c r="L11" s="74"/>
      <c r="M11" s="75"/>
      <c r="N11" s="92">
        <f t="shared" si="0"/>
        <v>1000</v>
      </c>
      <c r="O11" s="42">
        <f t="shared" si="1"/>
        <v>18500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6">
        <v>900</v>
      </c>
      <c r="I12" s="104"/>
      <c r="J12" s="105"/>
      <c r="K12" s="105"/>
      <c r="L12" s="40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6"/>
      <c r="I13" s="104"/>
      <c r="J13" s="105"/>
      <c r="K13" s="105"/>
      <c r="L13" s="40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6"/>
      <c r="I14" s="104"/>
      <c r="J14" s="105"/>
      <c r="K14" s="105"/>
      <c r="L14" s="40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6"/>
      <c r="I15" s="104"/>
      <c r="J15" s="105">
        <v>1000</v>
      </c>
      <c r="K15" s="105"/>
      <c r="L15" s="40"/>
      <c r="M15" s="41"/>
      <c r="N15" s="92">
        <f t="shared" si="0"/>
        <v>1000</v>
      </c>
      <c r="O15" s="42">
        <f t="shared" si="1"/>
        <v>18000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6">
        <v>1000</v>
      </c>
      <c r="I16" s="104"/>
      <c r="J16" s="105"/>
      <c r="K16" s="105"/>
      <c r="L16" s="40"/>
      <c r="M16" s="41"/>
      <c r="N16" s="92">
        <f t="shared" si="0"/>
        <v>0</v>
      </c>
      <c r="O16" s="42">
        <f t="shared" si="1"/>
        <v>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8">
        <v>1000</v>
      </c>
      <c r="I17" s="104"/>
      <c r="J17" s="112"/>
      <c r="K17" s="112"/>
      <c r="L17" s="74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6">
        <v>1500</v>
      </c>
      <c r="I18" s="104"/>
      <c r="J18" s="105"/>
      <c r="K18" s="105"/>
      <c r="L18" s="40"/>
      <c r="M18" s="41"/>
      <c r="N18" s="92">
        <f t="shared" si="0"/>
        <v>0</v>
      </c>
      <c r="O18" s="42">
        <f t="shared" si="1"/>
        <v>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6"/>
      <c r="I19" s="104"/>
      <c r="J19" s="105"/>
      <c r="K19" s="105"/>
      <c r="L19" s="40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8"/>
      <c r="I20" s="104"/>
      <c r="J20" s="112"/>
      <c r="K20" s="112"/>
      <c r="L20" s="74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6">
        <v>400</v>
      </c>
      <c r="I21" s="104"/>
      <c r="J21" s="105"/>
      <c r="K21" s="105"/>
      <c r="L21" s="40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6"/>
      <c r="I22" s="104"/>
      <c r="J22" s="105"/>
      <c r="K22" s="105">
        <v>200</v>
      </c>
      <c r="L22" s="40"/>
      <c r="M22" s="41"/>
      <c r="N22" s="92">
        <f t="shared" si="0"/>
        <v>200</v>
      </c>
      <c r="O22" s="42">
        <f t="shared" si="1"/>
        <v>22500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8">
        <v>800</v>
      </c>
      <c r="I23" s="104"/>
      <c r="J23" s="112"/>
      <c r="K23" s="112"/>
      <c r="L23" s="74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6"/>
      <c r="I24" s="104"/>
      <c r="J24" s="105"/>
      <c r="K24" s="105"/>
      <c r="L24" s="40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6"/>
      <c r="I25" s="104"/>
      <c r="J25" s="105"/>
      <c r="K25" s="105"/>
      <c r="L25" s="40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6"/>
      <c r="I26" s="104"/>
      <c r="J26" s="105"/>
      <c r="K26" s="105"/>
      <c r="L26" s="40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6"/>
      <c r="I27" s="104"/>
      <c r="J27" s="105"/>
      <c r="K27" s="105"/>
      <c r="L27" s="40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8"/>
      <c r="I28" s="104"/>
      <c r="J28" s="112"/>
      <c r="K28" s="112"/>
      <c r="L28" s="74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6"/>
      <c r="I29" s="104"/>
      <c r="J29" s="105"/>
      <c r="K29" s="105"/>
      <c r="L29" s="40"/>
      <c r="M29" s="41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6"/>
      <c r="I30" s="104"/>
      <c r="J30" s="105"/>
      <c r="K30" s="105"/>
      <c r="L30" s="40"/>
      <c r="M30" s="41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6"/>
      <c r="I31" s="104"/>
      <c r="J31" s="105"/>
      <c r="K31" s="105"/>
      <c r="L31" s="40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6"/>
      <c r="I32" s="104"/>
      <c r="J32" s="105"/>
      <c r="K32" s="105">
        <v>1</v>
      </c>
      <c r="L32" s="105"/>
      <c r="M32" s="106"/>
      <c r="N32" s="92">
        <f>I32+J32+K32+L32+M32</f>
        <v>1</v>
      </c>
      <c r="O32" s="42">
        <f>E32*N32</f>
        <v>3200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8"/>
      <c r="I33" s="104"/>
      <c r="J33" s="112"/>
      <c r="K33" s="112"/>
      <c r="L33" s="74"/>
      <c r="M33" s="75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8"/>
      <c r="I34" s="104"/>
      <c r="J34" s="112">
        <v>4</v>
      </c>
      <c r="K34" s="112">
        <v>3</v>
      </c>
      <c r="L34" s="74"/>
      <c r="M34" s="75"/>
      <c r="N34" s="92">
        <f t="shared" si="0"/>
        <v>7</v>
      </c>
      <c r="O34" s="42">
        <f t="shared" si="1"/>
        <v>50400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8">
        <v>4</v>
      </c>
      <c r="I35" s="104"/>
      <c r="J35" s="112"/>
      <c r="K35" s="112">
        <v>2</v>
      </c>
      <c r="L35" s="74"/>
      <c r="M35" s="75"/>
      <c r="N35" s="92">
        <f t="shared" si="0"/>
        <v>2</v>
      </c>
      <c r="O35" s="42">
        <f t="shared" si="1"/>
        <v>2700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6">
        <v>1</v>
      </c>
      <c r="I36" s="104"/>
      <c r="J36" s="105">
        <v>2</v>
      </c>
      <c r="K36" s="105"/>
      <c r="L36" s="40"/>
      <c r="M36" s="41"/>
      <c r="N36" s="92">
        <f t="shared" si="0"/>
        <v>2</v>
      </c>
      <c r="O36" s="42">
        <f t="shared" si="1"/>
        <v>13740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7"/>
      <c r="I37" s="101"/>
      <c r="J37" s="102">
        <v>1</v>
      </c>
      <c r="K37" s="102"/>
      <c r="L37" s="30"/>
      <c r="M37" s="31"/>
      <c r="N37" s="93">
        <f t="shared" si="0"/>
        <v>1</v>
      </c>
      <c r="O37" s="32">
        <f t="shared" si="1"/>
        <v>6870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17"/>
      <c r="I40" s="98"/>
      <c r="J40" s="99"/>
      <c r="K40" s="99"/>
      <c r="L40" s="20"/>
      <c r="M40" s="21"/>
      <c r="N40" s="91">
        <f t="shared" si="0"/>
        <v>0</v>
      </c>
      <c r="O40" s="22">
        <f t="shared" si="1"/>
        <v>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7"/>
      <c r="I41" s="101"/>
      <c r="J41" s="102"/>
      <c r="K41" s="102"/>
      <c r="L41" s="30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17"/>
      <c r="I42" s="98"/>
      <c r="J42" s="99">
        <v>1</v>
      </c>
      <c r="K42" s="99"/>
      <c r="L42" s="20"/>
      <c r="M42" s="21"/>
      <c r="N42" s="95">
        <f t="shared" si="0"/>
        <v>1</v>
      </c>
      <c r="O42" s="22">
        <f t="shared" si="1"/>
        <v>7700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6">
        <v>1</v>
      </c>
      <c r="I43" s="104"/>
      <c r="J43" s="105">
        <v>2</v>
      </c>
      <c r="K43" s="105"/>
      <c r="L43" s="40"/>
      <c r="M43" s="41"/>
      <c r="N43" s="92">
        <f t="shared" si="0"/>
        <v>2</v>
      </c>
      <c r="O43" s="42">
        <f t="shared" si="1"/>
        <v>12400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6">
        <v>1</v>
      </c>
      <c r="I44" s="104"/>
      <c r="J44" s="105"/>
      <c r="K44" s="105"/>
      <c r="L44" s="40"/>
      <c r="M44" s="41"/>
      <c r="N44" s="92">
        <f t="shared" si="0"/>
        <v>0</v>
      </c>
      <c r="O44" s="42">
        <f t="shared" si="1"/>
        <v>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6">
        <v>2</v>
      </c>
      <c r="I45" s="104"/>
      <c r="J45" s="105"/>
      <c r="K45" s="105"/>
      <c r="L45" s="40"/>
      <c r="M45" s="41"/>
      <c r="N45" s="92">
        <f t="shared" si="0"/>
        <v>0</v>
      </c>
      <c r="O45" s="42">
        <f t="shared" si="1"/>
        <v>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6">
        <v>1</v>
      </c>
      <c r="I46" s="104"/>
      <c r="J46" s="105"/>
      <c r="K46" s="105"/>
      <c r="L46" s="40"/>
      <c r="M46" s="41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6"/>
      <c r="I47" s="104"/>
      <c r="J47" s="105">
        <v>1</v>
      </c>
      <c r="K47" s="105"/>
      <c r="L47" s="40"/>
      <c r="M47" s="41"/>
      <c r="N47" s="92">
        <f t="shared" si="0"/>
        <v>1</v>
      </c>
      <c r="O47" s="42">
        <f t="shared" si="1"/>
        <v>6600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6">
        <v>1</v>
      </c>
      <c r="I48" s="104"/>
      <c r="J48" s="105"/>
      <c r="K48" s="105"/>
      <c r="L48" s="40"/>
      <c r="M48" s="41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6"/>
      <c r="I49" s="104"/>
      <c r="J49" s="105"/>
      <c r="K49" s="105"/>
      <c r="L49" s="40"/>
      <c r="M49" s="41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6"/>
      <c r="I50" s="104"/>
      <c r="J50" s="105">
        <v>1</v>
      </c>
      <c r="K50" s="105"/>
      <c r="L50" s="40"/>
      <c r="M50" s="41"/>
      <c r="N50" s="92">
        <f t="shared" si="0"/>
        <v>1</v>
      </c>
      <c r="O50" s="42">
        <f t="shared" si="1"/>
        <v>4500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7">
        <v>1</v>
      </c>
      <c r="I51" s="104"/>
      <c r="J51" s="102"/>
      <c r="K51" s="102"/>
      <c r="L51" s="30"/>
      <c r="M51" s="31"/>
      <c r="N51" s="93">
        <f t="shared" si="0"/>
        <v>0</v>
      </c>
      <c r="O51" s="49">
        <f t="shared" si="1"/>
        <v>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17">
        <v>2</v>
      </c>
      <c r="I52" s="107"/>
      <c r="J52" s="99"/>
      <c r="K52" s="99"/>
      <c r="L52" s="20"/>
      <c r="M52" s="21"/>
      <c r="N52" s="91">
        <f t="shared" si="0"/>
        <v>0</v>
      </c>
      <c r="O52" s="97">
        <f t="shared" si="1"/>
        <v>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6">
        <v>1</v>
      </c>
      <c r="I53" s="104"/>
      <c r="J53" s="105"/>
      <c r="K53" s="105">
        <v>1</v>
      </c>
      <c r="L53" s="40"/>
      <c r="M53" s="41"/>
      <c r="N53" s="92">
        <f t="shared" si="0"/>
        <v>1</v>
      </c>
      <c r="O53" s="42">
        <f t="shared" si="1"/>
        <v>6900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6">
        <v>1</v>
      </c>
      <c r="I54" s="104"/>
      <c r="J54" s="105"/>
      <c r="K54" s="105"/>
      <c r="L54" s="40"/>
      <c r="M54" s="41"/>
      <c r="N54" s="92">
        <f t="shared" si="0"/>
        <v>0</v>
      </c>
      <c r="O54" s="42">
        <f t="shared" si="1"/>
        <v>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6"/>
      <c r="I55" s="104"/>
      <c r="J55" s="105">
        <v>2</v>
      </c>
      <c r="K55" s="105">
        <v>1</v>
      </c>
      <c r="L55" s="40"/>
      <c r="M55" s="41"/>
      <c r="N55" s="92">
        <f t="shared" si="0"/>
        <v>3</v>
      </c>
      <c r="O55" s="42">
        <f t="shared" si="1"/>
        <v>45000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6">
        <v>1</v>
      </c>
      <c r="I56" s="104"/>
      <c r="J56" s="105">
        <v>1</v>
      </c>
      <c r="K56" s="105"/>
      <c r="L56" s="40"/>
      <c r="M56" s="41"/>
      <c r="N56" s="92">
        <f t="shared" si="0"/>
        <v>1</v>
      </c>
      <c r="O56" s="42">
        <f t="shared" si="1"/>
        <v>5300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6">
        <v>1</v>
      </c>
      <c r="I57" s="104"/>
      <c r="J57" s="105">
        <v>1</v>
      </c>
      <c r="K57" s="105"/>
      <c r="L57" s="40"/>
      <c r="M57" s="41"/>
      <c r="N57" s="92">
        <f t="shared" si="0"/>
        <v>1</v>
      </c>
      <c r="O57" s="42">
        <f t="shared" si="1"/>
        <v>6600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6">
        <v>1</v>
      </c>
      <c r="I58" s="104"/>
      <c r="J58" s="105"/>
      <c r="K58" s="105">
        <v>1</v>
      </c>
      <c r="L58" s="40"/>
      <c r="M58" s="41"/>
      <c r="N58" s="92">
        <f t="shared" si="0"/>
        <v>1</v>
      </c>
      <c r="O58" s="42">
        <f t="shared" si="1"/>
        <v>5600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6"/>
      <c r="I59" s="104"/>
      <c r="J59" s="105">
        <v>1</v>
      </c>
      <c r="K59" s="105"/>
      <c r="L59" s="40"/>
      <c r="M59" s="41"/>
      <c r="N59" s="92">
        <f t="shared" si="0"/>
        <v>1</v>
      </c>
      <c r="O59" s="42">
        <f t="shared" si="1"/>
        <v>14100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6"/>
      <c r="I60" s="104"/>
      <c r="J60" s="105">
        <v>1</v>
      </c>
      <c r="K60" s="105"/>
      <c r="L60" s="40"/>
      <c r="M60" s="41"/>
      <c r="N60" s="92">
        <f t="shared" si="0"/>
        <v>1</v>
      </c>
      <c r="O60" s="42">
        <f t="shared" si="1"/>
        <v>15100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7">
        <v>1</v>
      </c>
      <c r="I61" s="104"/>
      <c r="J61" s="102"/>
      <c r="K61" s="102"/>
      <c r="L61" s="30"/>
      <c r="M61" s="31"/>
      <c r="N61" s="94">
        <f t="shared" si="0"/>
        <v>0</v>
      </c>
      <c r="O61" s="32">
        <f t="shared" si="1"/>
        <v>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17"/>
      <c r="I62" s="107"/>
      <c r="J62" s="99">
        <v>5</v>
      </c>
      <c r="K62" s="99">
        <v>5</v>
      </c>
      <c r="L62" s="20">
        <v>4</v>
      </c>
      <c r="M62" s="21"/>
      <c r="N62" s="91">
        <f t="shared" si="0"/>
        <v>14</v>
      </c>
      <c r="O62" s="22">
        <f t="shared" si="1"/>
        <v>154000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18"/>
      <c r="I63" s="114"/>
      <c r="J63" s="109"/>
      <c r="K63" s="109"/>
      <c r="L63" s="60"/>
      <c r="M63" s="61"/>
      <c r="N63" s="94">
        <f t="shared" si="0"/>
        <v>0</v>
      </c>
      <c r="O63" s="49">
        <f t="shared" si="1"/>
        <v>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1</v>
      </c>
      <c r="I64" s="98"/>
      <c r="J64" s="99">
        <v>1</v>
      </c>
      <c r="K64" s="99"/>
      <c r="L64" s="20"/>
      <c r="M64" s="21"/>
      <c r="N64" s="95">
        <f t="shared" si="0"/>
        <v>1</v>
      </c>
      <c r="O64" s="97">
        <f t="shared" si="1"/>
        <v>4000</v>
      </c>
    </row>
    <row r="65" spans="1:16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1</v>
      </c>
      <c r="I65" s="104"/>
      <c r="J65" s="105"/>
      <c r="K65" s="105"/>
      <c r="L65" s="40"/>
      <c r="M65" s="41"/>
      <c r="N65" s="92">
        <f t="shared" si="0"/>
        <v>0</v>
      </c>
      <c r="O65" s="42">
        <f t="shared" si="1"/>
        <v>0</v>
      </c>
    </row>
    <row r="66" spans="1:16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1.5</v>
      </c>
      <c r="I66" s="104"/>
      <c r="J66" s="105"/>
      <c r="K66" s="105"/>
      <c r="L66" s="40"/>
      <c r="M66" s="41"/>
      <c r="N66" s="92">
        <f t="shared" si="0"/>
        <v>0</v>
      </c>
      <c r="O66" s="42">
        <f t="shared" si="1"/>
        <v>0</v>
      </c>
    </row>
    <row r="67" spans="1:16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1</v>
      </c>
      <c r="I67" s="108"/>
      <c r="J67" s="109"/>
      <c r="K67" s="109"/>
      <c r="L67" s="60"/>
      <c r="M67" s="61"/>
      <c r="N67" s="94">
        <f t="shared" si="0"/>
        <v>0</v>
      </c>
      <c r="O67" s="49">
        <f t="shared" si="1"/>
        <v>0</v>
      </c>
    </row>
    <row r="68" spans="1:16" ht="17.25" thickBot="1">
      <c r="A68" s="63"/>
      <c r="B68" s="63"/>
      <c r="C68" s="63"/>
      <c r="D68" s="63"/>
      <c r="E68" s="63">
        <f>SUM(E5:E67)</f>
        <v>282692.21499999997</v>
      </c>
      <c r="F68" s="111">
        <f t="shared" ref="F68:O68" si="2">SUM(F5:F67)</f>
        <v>76613</v>
      </c>
      <c r="G68" s="111">
        <f t="shared" si="2"/>
        <v>3062970</v>
      </c>
      <c r="H68" s="111">
        <f t="shared" si="2"/>
        <v>7274.5</v>
      </c>
      <c r="I68" s="111">
        <f t="shared" si="2"/>
        <v>0</v>
      </c>
      <c r="J68" s="111">
        <f t="shared" si="2"/>
        <v>3024</v>
      </c>
      <c r="K68" s="111">
        <f t="shared" si="2"/>
        <v>214</v>
      </c>
      <c r="L68" s="111">
        <f t="shared" si="2"/>
        <v>4</v>
      </c>
      <c r="M68" s="111">
        <f t="shared" si="2"/>
        <v>0</v>
      </c>
      <c r="N68" s="198">
        <f t="shared" si="2"/>
        <v>3242</v>
      </c>
      <c r="O68" s="198">
        <f t="shared" si="2"/>
        <v>476710</v>
      </c>
      <c r="P68" s="111"/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68"/>
  <sheetViews>
    <sheetView topLeftCell="A28" zoomScale="70" zoomScaleNormal="70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8" width="11.625" style="115" customWidth="1"/>
    <col min="9" max="15" width="11.625" customWidth="1"/>
  </cols>
  <sheetData>
    <row r="1" spans="1:15">
      <c r="A1" s="229" t="s">
        <v>152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50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49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100"/>
      <c r="J5" s="99"/>
      <c r="K5" s="99"/>
      <c r="L5" s="20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6">
        <v>1950</v>
      </c>
      <c r="I6" s="106"/>
      <c r="J6" s="105"/>
      <c r="K6" s="105"/>
      <c r="L6" s="40"/>
      <c r="M6" s="41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6">
        <v>2200</v>
      </c>
      <c r="I7" s="106"/>
      <c r="J7" s="105"/>
      <c r="K7" s="105"/>
      <c r="L7" s="40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8"/>
      <c r="I8" s="113"/>
      <c r="J8" s="112"/>
      <c r="K8" s="112"/>
      <c r="L8" s="74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6">
        <v>800</v>
      </c>
      <c r="I9" s="106"/>
      <c r="J9" s="105">
        <v>1000</v>
      </c>
      <c r="K9" s="105">
        <v>1000</v>
      </c>
      <c r="L9" s="40">
        <v>1000</v>
      </c>
      <c r="M9" s="41"/>
      <c r="N9" s="92">
        <f t="shared" si="0"/>
        <v>3000</v>
      </c>
      <c r="O9" s="42">
        <f t="shared" si="1"/>
        <v>159000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6">
        <v>1800</v>
      </c>
      <c r="I10" s="106"/>
      <c r="J10" s="105"/>
      <c r="K10" s="105"/>
      <c r="L10" s="40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8">
        <v>750</v>
      </c>
      <c r="I11" s="113"/>
      <c r="J11" s="112">
        <v>2000</v>
      </c>
      <c r="K11" s="112">
        <v>1000</v>
      </c>
      <c r="L11" s="74">
        <v>1000</v>
      </c>
      <c r="M11" s="75"/>
      <c r="N11" s="92">
        <f t="shared" si="0"/>
        <v>4000</v>
      </c>
      <c r="O11" s="42">
        <f t="shared" si="1"/>
        <v>74000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6">
        <v>800</v>
      </c>
      <c r="I12" s="106"/>
      <c r="J12" s="105"/>
      <c r="K12" s="105"/>
      <c r="L12" s="40">
        <v>1000</v>
      </c>
      <c r="M12" s="41"/>
      <c r="N12" s="92">
        <f t="shared" si="0"/>
        <v>1000</v>
      </c>
      <c r="O12" s="42">
        <f t="shared" si="1"/>
        <v>20000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6"/>
      <c r="I13" s="106"/>
      <c r="J13" s="105"/>
      <c r="K13" s="105"/>
      <c r="L13" s="40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6"/>
      <c r="I14" s="106"/>
      <c r="J14" s="105"/>
      <c r="K14" s="105"/>
      <c r="L14" s="40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6">
        <v>1000</v>
      </c>
      <c r="I15" s="106"/>
      <c r="J15" s="105">
        <v>2000</v>
      </c>
      <c r="K15" s="105">
        <v>1000</v>
      </c>
      <c r="L15" s="40">
        <v>1000</v>
      </c>
      <c r="M15" s="41"/>
      <c r="N15" s="92">
        <f t="shared" si="0"/>
        <v>4000</v>
      </c>
      <c r="O15" s="42">
        <f t="shared" si="1"/>
        <v>72000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6"/>
      <c r="I16" s="106"/>
      <c r="J16" s="105"/>
      <c r="K16" s="105"/>
      <c r="L16" s="40"/>
      <c r="M16" s="41"/>
      <c r="N16" s="92">
        <f t="shared" si="0"/>
        <v>0</v>
      </c>
      <c r="O16" s="42">
        <f t="shared" si="1"/>
        <v>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8">
        <v>400</v>
      </c>
      <c r="I17" s="113"/>
      <c r="J17" s="112"/>
      <c r="K17" s="112"/>
      <c r="L17" s="74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6">
        <v>1500</v>
      </c>
      <c r="I18" s="106"/>
      <c r="J18" s="105">
        <v>1500</v>
      </c>
      <c r="K18" s="105"/>
      <c r="L18" s="40">
        <v>1000</v>
      </c>
      <c r="M18" s="41"/>
      <c r="N18" s="92">
        <f t="shared" si="0"/>
        <v>2500</v>
      </c>
      <c r="O18" s="42">
        <f t="shared" si="1"/>
        <v>18000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6"/>
      <c r="I19" s="106"/>
      <c r="J19" s="105"/>
      <c r="K19" s="105"/>
      <c r="L19" s="40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8"/>
      <c r="I20" s="113"/>
      <c r="J20" s="112"/>
      <c r="K20" s="112"/>
      <c r="L20" s="74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6">
        <v>800</v>
      </c>
      <c r="I21" s="106"/>
      <c r="J21" s="105"/>
      <c r="K21" s="105"/>
      <c r="L21" s="40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6">
        <v>370</v>
      </c>
      <c r="I22" s="106"/>
      <c r="J22" s="105"/>
      <c r="K22" s="105"/>
      <c r="L22" s="40"/>
      <c r="M22" s="41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8">
        <v>3600</v>
      </c>
      <c r="I23" s="113"/>
      <c r="J23" s="112"/>
      <c r="K23" s="112"/>
      <c r="L23" s="74">
        <v>8000</v>
      </c>
      <c r="M23" s="75"/>
      <c r="N23" s="92">
        <f t="shared" si="0"/>
        <v>8000</v>
      </c>
      <c r="O23" s="42">
        <f t="shared" si="1"/>
        <v>29000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6"/>
      <c r="I24" s="106"/>
      <c r="J24" s="105"/>
      <c r="K24" s="105"/>
      <c r="L24" s="40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6"/>
      <c r="I25" s="106"/>
      <c r="J25" s="105"/>
      <c r="K25" s="105"/>
      <c r="L25" s="40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6"/>
      <c r="I26" s="106"/>
      <c r="J26" s="105">
        <v>1000</v>
      </c>
      <c r="K26" s="105"/>
      <c r="L26" s="40"/>
      <c r="M26" s="41"/>
      <c r="N26" s="92">
        <f t="shared" si="0"/>
        <v>1000</v>
      </c>
      <c r="O26" s="42">
        <f t="shared" si="1"/>
        <v>6800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6"/>
      <c r="I27" s="106"/>
      <c r="J27" s="105"/>
      <c r="K27" s="105"/>
      <c r="L27" s="40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8"/>
      <c r="I28" s="113"/>
      <c r="J28" s="112"/>
      <c r="K28" s="112"/>
      <c r="L28" s="74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6"/>
      <c r="I29" s="106"/>
      <c r="J29" s="105"/>
      <c r="K29" s="105"/>
      <c r="L29" s="40"/>
      <c r="M29" s="41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6">
        <v>2</v>
      </c>
      <c r="I30" s="106"/>
      <c r="J30" s="105"/>
      <c r="K30" s="105"/>
      <c r="L30" s="40"/>
      <c r="M30" s="41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6">
        <v>2</v>
      </c>
      <c r="I31" s="106"/>
      <c r="J31" s="105"/>
      <c r="K31" s="105"/>
      <c r="L31" s="40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6"/>
      <c r="I32" s="106"/>
      <c r="J32" s="105"/>
      <c r="K32" s="105">
        <v>2</v>
      </c>
      <c r="L32" s="105"/>
      <c r="M32" s="106"/>
      <c r="N32" s="92">
        <f>I32+J32+K32+L32+M32</f>
        <v>2</v>
      </c>
      <c r="O32" s="42">
        <f>E32*N32</f>
        <v>6400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8">
        <v>4</v>
      </c>
      <c r="I33" s="113"/>
      <c r="J33" s="112">
        <v>20</v>
      </c>
      <c r="K33" s="112"/>
      <c r="L33" s="74"/>
      <c r="M33" s="75"/>
      <c r="N33" s="92">
        <f t="shared" si="0"/>
        <v>20</v>
      </c>
      <c r="O33" s="42">
        <f t="shared" si="1"/>
        <v>8200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8">
        <v>9</v>
      </c>
      <c r="I34" s="113"/>
      <c r="J34" s="112">
        <v>12</v>
      </c>
      <c r="K34" s="112">
        <v>24</v>
      </c>
      <c r="L34" s="74">
        <v>15</v>
      </c>
      <c r="M34" s="75"/>
      <c r="N34" s="92">
        <f t="shared" si="0"/>
        <v>51</v>
      </c>
      <c r="O34" s="42">
        <f t="shared" si="1"/>
        <v>367200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8">
        <v>3</v>
      </c>
      <c r="I35" s="113"/>
      <c r="J35" s="112">
        <v>12</v>
      </c>
      <c r="K35" s="112">
        <v>6</v>
      </c>
      <c r="L35" s="74">
        <v>6</v>
      </c>
      <c r="M35" s="75"/>
      <c r="N35" s="92">
        <f t="shared" si="0"/>
        <v>24</v>
      </c>
      <c r="O35" s="42">
        <f t="shared" si="1"/>
        <v>32400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6">
        <v>4</v>
      </c>
      <c r="I36" s="106"/>
      <c r="J36" s="105">
        <v>6</v>
      </c>
      <c r="K36" s="105">
        <v>6</v>
      </c>
      <c r="L36" s="40">
        <v>8</v>
      </c>
      <c r="M36" s="41"/>
      <c r="N36" s="92">
        <f t="shared" si="0"/>
        <v>20</v>
      </c>
      <c r="O36" s="42">
        <f t="shared" si="1"/>
        <v>137400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7">
        <v>3</v>
      </c>
      <c r="I37" s="103"/>
      <c r="J37" s="102"/>
      <c r="K37" s="102"/>
      <c r="L37" s="30">
        <v>2</v>
      </c>
      <c r="M37" s="31"/>
      <c r="N37" s="93">
        <f t="shared" si="0"/>
        <v>2</v>
      </c>
      <c r="O37" s="32">
        <f t="shared" si="1"/>
        <v>13740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17">
        <v>100</v>
      </c>
      <c r="I40" s="100"/>
      <c r="J40" s="99">
        <v>400</v>
      </c>
      <c r="K40" s="99">
        <v>400</v>
      </c>
      <c r="L40" s="20"/>
      <c r="M40" s="21"/>
      <c r="N40" s="91">
        <f t="shared" si="0"/>
        <v>800</v>
      </c>
      <c r="O40" s="22">
        <f t="shared" si="1"/>
        <v>5120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7"/>
      <c r="I41" s="103"/>
      <c r="J41" s="102"/>
      <c r="K41" s="102"/>
      <c r="L41" s="30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17">
        <v>3</v>
      </c>
      <c r="I42" s="100"/>
      <c r="J42" s="99"/>
      <c r="K42" s="99"/>
      <c r="L42" s="20"/>
      <c r="M42" s="21"/>
      <c r="N42" s="95">
        <f t="shared" si="0"/>
        <v>0</v>
      </c>
      <c r="O42" s="22">
        <f t="shared" si="1"/>
        <v>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6">
        <v>2</v>
      </c>
      <c r="I43" s="106"/>
      <c r="J43" s="105">
        <v>3</v>
      </c>
      <c r="K43" s="105">
        <v>2</v>
      </c>
      <c r="L43" s="40"/>
      <c r="M43" s="41"/>
      <c r="N43" s="92">
        <f t="shared" si="0"/>
        <v>5</v>
      </c>
      <c r="O43" s="42">
        <f t="shared" si="1"/>
        <v>31000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6">
        <v>3</v>
      </c>
      <c r="I44" s="106"/>
      <c r="J44" s="105"/>
      <c r="K44" s="105"/>
      <c r="L44" s="40"/>
      <c r="M44" s="41"/>
      <c r="N44" s="92">
        <f t="shared" si="0"/>
        <v>0</v>
      </c>
      <c r="O44" s="42">
        <f t="shared" si="1"/>
        <v>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6">
        <v>6</v>
      </c>
      <c r="I45" s="106"/>
      <c r="J45" s="105">
        <v>2</v>
      </c>
      <c r="K45" s="105"/>
      <c r="L45" s="40"/>
      <c r="M45" s="41"/>
      <c r="N45" s="92">
        <f t="shared" si="0"/>
        <v>2</v>
      </c>
      <c r="O45" s="42">
        <f t="shared" si="1"/>
        <v>14500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6">
        <v>2</v>
      </c>
      <c r="I46" s="106"/>
      <c r="J46" s="105"/>
      <c r="K46" s="105"/>
      <c r="L46" s="40">
        <v>2</v>
      </c>
      <c r="M46" s="41"/>
      <c r="N46" s="92">
        <f t="shared" si="0"/>
        <v>2</v>
      </c>
      <c r="O46" s="42">
        <f t="shared" si="1"/>
        <v>10600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6">
        <v>1</v>
      </c>
      <c r="I47" s="106"/>
      <c r="J47" s="105">
        <v>1</v>
      </c>
      <c r="K47" s="105"/>
      <c r="L47" s="40"/>
      <c r="M47" s="41"/>
      <c r="N47" s="92">
        <f t="shared" si="0"/>
        <v>1</v>
      </c>
      <c r="O47" s="42">
        <f t="shared" si="1"/>
        <v>6600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6">
        <v>3</v>
      </c>
      <c r="I48" s="106"/>
      <c r="J48" s="105"/>
      <c r="K48" s="105"/>
      <c r="L48" s="40"/>
      <c r="M48" s="41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6">
        <v>1</v>
      </c>
      <c r="I49" s="106"/>
      <c r="J49" s="105"/>
      <c r="K49" s="105"/>
      <c r="L49" s="40"/>
      <c r="M49" s="41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6">
        <v>1</v>
      </c>
      <c r="I50" s="106"/>
      <c r="J50" s="105">
        <v>1</v>
      </c>
      <c r="K50" s="105"/>
      <c r="L50" s="40">
        <v>1</v>
      </c>
      <c r="M50" s="41"/>
      <c r="N50" s="92">
        <f t="shared" si="0"/>
        <v>2</v>
      </c>
      <c r="O50" s="42">
        <f t="shared" si="1"/>
        <v>9000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7">
        <v>1</v>
      </c>
      <c r="I51" s="103"/>
      <c r="J51" s="102">
        <v>2</v>
      </c>
      <c r="K51" s="102"/>
      <c r="L51" s="30">
        <v>2</v>
      </c>
      <c r="M51" s="31"/>
      <c r="N51" s="93">
        <f t="shared" si="0"/>
        <v>4</v>
      </c>
      <c r="O51" s="49">
        <f t="shared" si="1"/>
        <v>26800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17">
        <v>5</v>
      </c>
      <c r="I52" s="100"/>
      <c r="J52" s="99">
        <v>4</v>
      </c>
      <c r="K52" s="99"/>
      <c r="L52" s="20">
        <v>3</v>
      </c>
      <c r="M52" s="21"/>
      <c r="N52" s="91">
        <f t="shared" si="0"/>
        <v>7</v>
      </c>
      <c r="O52" s="97">
        <f t="shared" si="1"/>
        <v>48300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6">
        <v>4</v>
      </c>
      <c r="I53" s="106"/>
      <c r="J53" s="105">
        <v>1</v>
      </c>
      <c r="K53" s="105"/>
      <c r="L53" s="40">
        <v>2</v>
      </c>
      <c r="M53" s="41"/>
      <c r="N53" s="92">
        <f t="shared" si="0"/>
        <v>3</v>
      </c>
      <c r="O53" s="42">
        <f t="shared" si="1"/>
        <v>20700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6">
        <v>6</v>
      </c>
      <c r="I54" s="106"/>
      <c r="J54" s="105"/>
      <c r="K54" s="105"/>
      <c r="L54" s="40">
        <v>1</v>
      </c>
      <c r="M54" s="41"/>
      <c r="N54" s="92">
        <f t="shared" si="0"/>
        <v>1</v>
      </c>
      <c r="O54" s="42">
        <f t="shared" si="1"/>
        <v>6800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6">
        <v>2</v>
      </c>
      <c r="I55" s="106"/>
      <c r="J55" s="105">
        <v>4</v>
      </c>
      <c r="K55" s="105"/>
      <c r="L55" s="40">
        <v>5</v>
      </c>
      <c r="M55" s="41"/>
      <c r="N55" s="92">
        <f t="shared" si="0"/>
        <v>9</v>
      </c>
      <c r="O55" s="42">
        <f t="shared" si="1"/>
        <v>135000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6">
        <v>3</v>
      </c>
      <c r="I56" s="106"/>
      <c r="J56" s="105">
        <v>3</v>
      </c>
      <c r="K56" s="105">
        <v>3</v>
      </c>
      <c r="L56" s="40"/>
      <c r="M56" s="41"/>
      <c r="N56" s="92">
        <f t="shared" si="0"/>
        <v>6</v>
      </c>
      <c r="O56" s="42">
        <f t="shared" si="1"/>
        <v>31800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6">
        <v>3</v>
      </c>
      <c r="I57" s="106"/>
      <c r="J57" s="105">
        <v>3</v>
      </c>
      <c r="K57" s="105"/>
      <c r="L57" s="40">
        <v>3</v>
      </c>
      <c r="M57" s="41"/>
      <c r="N57" s="92">
        <f t="shared" si="0"/>
        <v>6</v>
      </c>
      <c r="O57" s="42">
        <f t="shared" si="1"/>
        <v>39600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6">
        <v>2</v>
      </c>
      <c r="I58" s="106"/>
      <c r="J58" s="105">
        <v>2</v>
      </c>
      <c r="K58" s="105">
        <v>2</v>
      </c>
      <c r="L58" s="40">
        <v>3</v>
      </c>
      <c r="M58" s="41"/>
      <c r="N58" s="92">
        <f t="shared" si="0"/>
        <v>7</v>
      </c>
      <c r="O58" s="42">
        <f t="shared" si="1"/>
        <v>39200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6">
        <v>1</v>
      </c>
      <c r="I59" s="106"/>
      <c r="J59" s="105">
        <v>1</v>
      </c>
      <c r="K59" s="105">
        <v>1</v>
      </c>
      <c r="L59" s="40"/>
      <c r="M59" s="41"/>
      <c r="N59" s="92">
        <f t="shared" si="0"/>
        <v>2</v>
      </c>
      <c r="O59" s="42">
        <f t="shared" si="1"/>
        <v>28200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6"/>
      <c r="I60" s="106"/>
      <c r="J60" s="105">
        <v>1</v>
      </c>
      <c r="K60" s="105">
        <v>1</v>
      </c>
      <c r="L60" s="40"/>
      <c r="M60" s="41"/>
      <c r="N60" s="92">
        <f t="shared" si="0"/>
        <v>2</v>
      </c>
      <c r="O60" s="42">
        <f t="shared" si="1"/>
        <v>30200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7">
        <v>1</v>
      </c>
      <c r="I61" s="103"/>
      <c r="J61" s="102">
        <v>1</v>
      </c>
      <c r="K61" s="102">
        <v>1</v>
      </c>
      <c r="L61" s="30">
        <v>2</v>
      </c>
      <c r="M61" s="31"/>
      <c r="N61" s="94">
        <f t="shared" si="0"/>
        <v>4</v>
      </c>
      <c r="O61" s="32">
        <f t="shared" si="1"/>
        <v>61200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17"/>
      <c r="I62" s="100"/>
      <c r="J62" s="99">
        <v>20</v>
      </c>
      <c r="K62" s="99">
        <v>20</v>
      </c>
      <c r="L62" s="20">
        <v>18</v>
      </c>
      <c r="M62" s="21"/>
      <c r="N62" s="91">
        <f t="shared" si="0"/>
        <v>58</v>
      </c>
      <c r="O62" s="22">
        <f t="shared" si="1"/>
        <v>638000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18">
        <v>1</v>
      </c>
      <c r="I63" s="110"/>
      <c r="J63" s="109">
        <v>1</v>
      </c>
      <c r="K63" s="109"/>
      <c r="L63" s="60">
        <v>1</v>
      </c>
      <c r="M63" s="61"/>
      <c r="N63" s="94">
        <f t="shared" si="0"/>
        <v>2</v>
      </c>
      <c r="O63" s="49">
        <f t="shared" si="1"/>
        <v>38000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2.2999999999999998</v>
      </c>
      <c r="I64" s="100"/>
      <c r="J64" s="99"/>
      <c r="K64" s="99">
        <v>2</v>
      </c>
      <c r="L64" s="20"/>
      <c r="M64" s="21"/>
      <c r="N64" s="95">
        <f t="shared" si="0"/>
        <v>2</v>
      </c>
      <c r="O64" s="97">
        <f t="shared" si="1"/>
        <v>8000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1.5</v>
      </c>
      <c r="I65" s="106"/>
      <c r="J65" s="105"/>
      <c r="K65" s="105">
        <v>2</v>
      </c>
      <c r="L65" s="40"/>
      <c r="M65" s="41"/>
      <c r="N65" s="92">
        <f t="shared" si="0"/>
        <v>2</v>
      </c>
      <c r="O65" s="42">
        <f t="shared" si="1"/>
        <v>8000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2.5</v>
      </c>
      <c r="I66" s="106"/>
      <c r="J66" s="105"/>
      <c r="K66" s="105">
        <v>2</v>
      </c>
      <c r="L66" s="40"/>
      <c r="M66" s="41"/>
      <c r="N66" s="92">
        <f t="shared" si="0"/>
        <v>2</v>
      </c>
      <c r="O66" s="42">
        <f t="shared" si="1"/>
        <v>8000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1.5</v>
      </c>
      <c r="I67" s="110"/>
      <c r="J67" s="109"/>
      <c r="K67" s="109">
        <v>3</v>
      </c>
      <c r="L67" s="60"/>
      <c r="M67" s="61"/>
      <c r="N67" s="94">
        <f t="shared" si="0"/>
        <v>3</v>
      </c>
      <c r="O67" s="49">
        <f t="shared" si="1"/>
        <v>12900</v>
      </c>
    </row>
    <row r="68" spans="1:15" ht="17.25" thickBot="1">
      <c r="A68" s="63"/>
      <c r="B68" s="63"/>
      <c r="C68" s="63"/>
      <c r="D68" s="63"/>
      <c r="E68" s="63">
        <f>SUM(E5:E67)</f>
        <v>282692.21499999997</v>
      </c>
      <c r="F68" s="111">
        <f t="shared" ref="F68:O68" si="2">SUM(F5:F67)</f>
        <v>76613</v>
      </c>
      <c r="G68" s="111">
        <f t="shared" si="2"/>
        <v>3062970</v>
      </c>
      <c r="H68" s="111">
        <f t="shared" si="2"/>
        <v>16155.8</v>
      </c>
      <c r="I68" s="111">
        <f t="shared" si="2"/>
        <v>0</v>
      </c>
      <c r="J68" s="111">
        <f t="shared" si="2"/>
        <v>8000</v>
      </c>
      <c r="K68" s="111">
        <f t="shared" si="2"/>
        <v>3477</v>
      </c>
      <c r="L68" s="111">
        <f t="shared" si="2"/>
        <v>13074</v>
      </c>
      <c r="M68" s="111">
        <f t="shared" si="2"/>
        <v>0</v>
      </c>
      <c r="N68" s="198">
        <f t="shared" si="2"/>
        <v>24551</v>
      </c>
      <c r="O68" s="198">
        <f t="shared" si="2"/>
        <v>2201660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68"/>
  <sheetViews>
    <sheetView topLeftCell="A13" zoomScale="55" zoomScaleNormal="55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154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8"/>
      <c r="J5" s="99"/>
      <c r="K5" s="216"/>
      <c r="L5" s="20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6">
        <v>1750</v>
      </c>
      <c r="I6" s="104"/>
      <c r="J6" s="105"/>
      <c r="K6" s="105"/>
      <c r="L6" s="40"/>
      <c r="M6" s="41"/>
      <c r="N6" s="92">
        <f t="shared" ref="N6:N67" si="0">I6+J6+K6+L6+M6</f>
        <v>0</v>
      </c>
      <c r="O6" s="42">
        <f t="shared" ref="O6:O67" si="1">E6*N6</f>
        <v>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6">
        <v>1500</v>
      </c>
      <c r="I7" s="104"/>
      <c r="J7" s="105"/>
      <c r="K7" s="105"/>
      <c r="L7" s="40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8"/>
      <c r="I8" s="104"/>
      <c r="J8" s="112"/>
      <c r="K8" s="112"/>
      <c r="L8" s="74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6">
        <v>550</v>
      </c>
      <c r="I9" s="104"/>
      <c r="J9" s="105">
        <v>1000</v>
      </c>
      <c r="K9" s="105"/>
      <c r="L9" s="40"/>
      <c r="M9" s="41"/>
      <c r="N9" s="92">
        <f t="shared" si="0"/>
        <v>1000</v>
      </c>
      <c r="O9" s="42">
        <f t="shared" si="1"/>
        <v>53000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6">
        <v>1000</v>
      </c>
      <c r="I10" s="104"/>
      <c r="J10" s="105"/>
      <c r="K10" s="105"/>
      <c r="L10" s="40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8">
        <v>1150</v>
      </c>
      <c r="I11" s="104"/>
      <c r="J11" s="112"/>
      <c r="K11" s="112">
        <v>1000</v>
      </c>
      <c r="L11" s="74"/>
      <c r="M11" s="75"/>
      <c r="N11" s="92">
        <f t="shared" si="0"/>
        <v>1000</v>
      </c>
      <c r="O11" s="42">
        <f t="shared" si="1"/>
        <v>18500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6">
        <v>1300</v>
      </c>
      <c r="I12" s="104"/>
      <c r="J12" s="105"/>
      <c r="K12" s="105"/>
      <c r="L12" s="40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6"/>
      <c r="I13" s="104"/>
      <c r="J13" s="105"/>
      <c r="K13" s="105"/>
      <c r="L13" s="40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6"/>
      <c r="I14" s="104"/>
      <c r="J14" s="105"/>
      <c r="K14" s="105"/>
      <c r="L14" s="40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6">
        <v>1000</v>
      </c>
      <c r="I15" s="104"/>
      <c r="J15" s="105"/>
      <c r="K15" s="105"/>
      <c r="L15" s="40">
        <v>1000</v>
      </c>
      <c r="M15" s="41"/>
      <c r="N15" s="92">
        <f t="shared" si="0"/>
        <v>1000</v>
      </c>
      <c r="O15" s="42">
        <f t="shared" si="1"/>
        <v>18000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6">
        <v>500</v>
      </c>
      <c r="I16" s="104"/>
      <c r="J16" s="105"/>
      <c r="K16" s="105">
        <v>500</v>
      </c>
      <c r="L16" s="40"/>
      <c r="M16" s="41"/>
      <c r="N16" s="92">
        <f t="shared" si="0"/>
        <v>500</v>
      </c>
      <c r="O16" s="42">
        <f t="shared" si="1"/>
        <v>3450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8">
        <v>400</v>
      </c>
      <c r="I17" s="104"/>
      <c r="J17" s="112"/>
      <c r="K17" s="112"/>
      <c r="L17" s="74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6">
        <v>1000</v>
      </c>
      <c r="I18" s="104"/>
      <c r="J18" s="105"/>
      <c r="K18" s="105"/>
      <c r="L18" s="40"/>
      <c r="M18" s="41"/>
      <c r="N18" s="92">
        <f t="shared" si="0"/>
        <v>0</v>
      </c>
      <c r="O18" s="42">
        <f t="shared" si="1"/>
        <v>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6">
        <v>500</v>
      </c>
      <c r="I19" s="104"/>
      <c r="J19" s="105"/>
      <c r="K19" s="105"/>
      <c r="L19" s="40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8">
        <v>200</v>
      </c>
      <c r="I20" s="104"/>
      <c r="J20" s="112"/>
      <c r="K20" s="112"/>
      <c r="L20" s="74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6">
        <v>200</v>
      </c>
      <c r="I21" s="104"/>
      <c r="J21" s="105"/>
      <c r="K21" s="105"/>
      <c r="L21" s="40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6">
        <v>125</v>
      </c>
      <c r="I22" s="104"/>
      <c r="J22" s="105"/>
      <c r="K22" s="105"/>
      <c r="L22" s="40"/>
      <c r="M22" s="41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8">
        <v>6800</v>
      </c>
      <c r="I23" s="104"/>
      <c r="J23" s="112"/>
      <c r="K23" s="112"/>
      <c r="L23" s="74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6"/>
      <c r="I24" s="104"/>
      <c r="J24" s="105"/>
      <c r="K24" s="105"/>
      <c r="L24" s="40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6"/>
      <c r="I25" s="104"/>
      <c r="J25" s="105"/>
      <c r="K25" s="105"/>
      <c r="L25" s="40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6"/>
      <c r="I26" s="104"/>
      <c r="J26" s="105"/>
      <c r="K26" s="105"/>
      <c r="L26" s="40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6"/>
      <c r="I27" s="104"/>
      <c r="J27" s="105"/>
      <c r="K27" s="105"/>
      <c r="L27" s="40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8">
        <v>1</v>
      </c>
      <c r="I28" s="104"/>
      <c r="J28" s="112"/>
      <c r="K28" s="112"/>
      <c r="L28" s="74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6"/>
      <c r="I29" s="104"/>
      <c r="J29" s="105"/>
      <c r="K29" s="105"/>
      <c r="L29" s="40"/>
      <c r="M29" s="41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6"/>
      <c r="I30" s="104"/>
      <c r="J30" s="105"/>
      <c r="K30" s="105"/>
      <c r="L30" s="40"/>
      <c r="M30" s="41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6">
        <v>1</v>
      </c>
      <c r="I31" s="104"/>
      <c r="J31" s="105"/>
      <c r="K31" s="105"/>
      <c r="L31" s="40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6"/>
      <c r="I32" s="104">
        <v>1</v>
      </c>
      <c r="J32" s="105"/>
      <c r="K32" s="105"/>
      <c r="L32" s="105"/>
      <c r="M32" s="106"/>
      <c r="N32" s="92">
        <f>I32+J32+K32+L32+M32</f>
        <v>1</v>
      </c>
      <c r="O32" s="42">
        <f>E32*N32</f>
        <v>3200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8">
        <v>12</v>
      </c>
      <c r="I33" s="104"/>
      <c r="J33" s="112">
        <v>20</v>
      </c>
      <c r="K33" s="112"/>
      <c r="L33" s="74"/>
      <c r="M33" s="75"/>
      <c r="N33" s="92">
        <f t="shared" si="0"/>
        <v>20</v>
      </c>
      <c r="O33" s="42">
        <f t="shared" si="1"/>
        <v>8200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8">
        <v>5</v>
      </c>
      <c r="I34" s="104">
        <v>4</v>
      </c>
      <c r="J34" s="112"/>
      <c r="K34" s="112">
        <v>2</v>
      </c>
      <c r="L34" s="74">
        <v>3</v>
      </c>
      <c r="M34" s="75"/>
      <c r="N34" s="92">
        <f t="shared" si="0"/>
        <v>9</v>
      </c>
      <c r="O34" s="42">
        <f t="shared" si="1"/>
        <v>64800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8">
        <v>5</v>
      </c>
      <c r="I35" s="104"/>
      <c r="J35" s="112">
        <v>2</v>
      </c>
      <c r="K35" s="112"/>
      <c r="L35" s="74"/>
      <c r="M35" s="75"/>
      <c r="N35" s="92">
        <f t="shared" si="0"/>
        <v>2</v>
      </c>
      <c r="O35" s="42">
        <f t="shared" si="1"/>
        <v>2700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6"/>
      <c r="I36" s="104">
        <v>2</v>
      </c>
      <c r="J36" s="105">
        <v>1</v>
      </c>
      <c r="K36" s="105">
        <v>1</v>
      </c>
      <c r="L36" s="40">
        <v>1</v>
      </c>
      <c r="M36" s="41"/>
      <c r="N36" s="92">
        <f t="shared" si="0"/>
        <v>5</v>
      </c>
      <c r="O36" s="42">
        <f t="shared" si="1"/>
        <v>34350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7">
        <v>1</v>
      </c>
      <c r="I37" s="101"/>
      <c r="J37" s="102"/>
      <c r="K37" s="102"/>
      <c r="L37" s="30">
        <v>1</v>
      </c>
      <c r="M37" s="31"/>
      <c r="N37" s="93">
        <f t="shared" si="0"/>
        <v>1</v>
      </c>
      <c r="O37" s="32">
        <f t="shared" si="1"/>
        <v>6870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17"/>
      <c r="I40" s="98"/>
      <c r="J40" s="99"/>
      <c r="K40" s="99">
        <v>100</v>
      </c>
      <c r="L40" s="20"/>
      <c r="M40" s="21"/>
      <c r="N40" s="91">
        <f t="shared" si="0"/>
        <v>100</v>
      </c>
      <c r="O40" s="22">
        <f t="shared" si="1"/>
        <v>640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7"/>
      <c r="I41" s="101"/>
      <c r="J41" s="102"/>
      <c r="K41" s="102"/>
      <c r="L41" s="30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17">
        <v>2</v>
      </c>
      <c r="I42" s="98"/>
      <c r="J42" s="99"/>
      <c r="K42" s="99"/>
      <c r="L42" s="20"/>
      <c r="M42" s="21"/>
      <c r="N42" s="95">
        <f t="shared" si="0"/>
        <v>0</v>
      </c>
      <c r="O42" s="22">
        <f t="shared" si="1"/>
        <v>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6">
        <v>4</v>
      </c>
      <c r="I43" s="104"/>
      <c r="J43" s="105"/>
      <c r="K43" s="105"/>
      <c r="L43" s="40"/>
      <c r="M43" s="41"/>
      <c r="N43" s="92">
        <f t="shared" si="0"/>
        <v>0</v>
      </c>
      <c r="O43" s="42">
        <f t="shared" si="1"/>
        <v>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6">
        <v>2</v>
      </c>
      <c r="I44" s="104"/>
      <c r="J44" s="105"/>
      <c r="K44" s="105"/>
      <c r="L44" s="40"/>
      <c r="M44" s="41"/>
      <c r="N44" s="92">
        <f t="shared" si="0"/>
        <v>0</v>
      </c>
      <c r="O44" s="42">
        <f t="shared" si="1"/>
        <v>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6">
        <v>3</v>
      </c>
      <c r="I45" s="104"/>
      <c r="J45" s="105"/>
      <c r="K45" s="105"/>
      <c r="L45" s="40"/>
      <c r="M45" s="41"/>
      <c r="N45" s="92">
        <f t="shared" si="0"/>
        <v>0</v>
      </c>
      <c r="O45" s="42">
        <f t="shared" si="1"/>
        <v>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6">
        <v>1</v>
      </c>
      <c r="I46" s="104"/>
      <c r="J46" s="105"/>
      <c r="K46" s="105"/>
      <c r="L46" s="40"/>
      <c r="M46" s="41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6">
        <v>2</v>
      </c>
      <c r="I47" s="104"/>
      <c r="J47" s="105"/>
      <c r="K47" s="105"/>
      <c r="L47" s="40"/>
      <c r="M47" s="41"/>
      <c r="N47" s="92">
        <f t="shared" si="0"/>
        <v>0</v>
      </c>
      <c r="O47" s="42">
        <f t="shared" si="1"/>
        <v>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6">
        <v>2</v>
      </c>
      <c r="I48" s="104"/>
      <c r="J48" s="105"/>
      <c r="K48" s="105"/>
      <c r="L48" s="40"/>
      <c r="M48" s="41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6"/>
      <c r="I49" s="104"/>
      <c r="J49" s="105"/>
      <c r="K49" s="105"/>
      <c r="L49" s="40"/>
      <c r="M49" s="41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6">
        <v>2</v>
      </c>
      <c r="I50" s="104"/>
      <c r="J50" s="105"/>
      <c r="K50" s="105"/>
      <c r="L50" s="40"/>
      <c r="M50" s="41"/>
      <c r="N50" s="92">
        <f t="shared" si="0"/>
        <v>0</v>
      </c>
      <c r="O50" s="42">
        <f t="shared" si="1"/>
        <v>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7">
        <v>2</v>
      </c>
      <c r="I51" s="104"/>
      <c r="J51" s="102"/>
      <c r="K51" s="102"/>
      <c r="L51" s="30"/>
      <c r="M51" s="31"/>
      <c r="N51" s="93">
        <f t="shared" si="0"/>
        <v>0</v>
      </c>
      <c r="O51" s="49">
        <f t="shared" si="1"/>
        <v>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17">
        <v>2</v>
      </c>
      <c r="I52" s="107"/>
      <c r="J52" s="99"/>
      <c r="K52" s="99">
        <v>1</v>
      </c>
      <c r="L52" s="20"/>
      <c r="M52" s="21"/>
      <c r="N52" s="91">
        <f t="shared" si="0"/>
        <v>1</v>
      </c>
      <c r="O52" s="97">
        <f t="shared" si="1"/>
        <v>6900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6">
        <v>2</v>
      </c>
      <c r="I53" s="104"/>
      <c r="J53" s="105"/>
      <c r="K53" s="105"/>
      <c r="L53" s="40">
        <v>1</v>
      </c>
      <c r="M53" s="41"/>
      <c r="N53" s="92">
        <f t="shared" si="0"/>
        <v>1</v>
      </c>
      <c r="O53" s="42">
        <f t="shared" si="1"/>
        <v>6900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6">
        <v>2</v>
      </c>
      <c r="I54" s="104"/>
      <c r="J54" s="105"/>
      <c r="K54" s="105"/>
      <c r="L54" s="40"/>
      <c r="M54" s="41"/>
      <c r="N54" s="92">
        <f t="shared" si="0"/>
        <v>0</v>
      </c>
      <c r="O54" s="42">
        <f t="shared" si="1"/>
        <v>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6">
        <v>3</v>
      </c>
      <c r="I55" s="104"/>
      <c r="J55" s="105">
        <v>1</v>
      </c>
      <c r="K55" s="105"/>
      <c r="L55" s="40"/>
      <c r="M55" s="41"/>
      <c r="N55" s="92">
        <f t="shared" si="0"/>
        <v>1</v>
      </c>
      <c r="O55" s="42">
        <f t="shared" si="1"/>
        <v>15000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6">
        <v>3</v>
      </c>
      <c r="I56" s="104"/>
      <c r="J56" s="105"/>
      <c r="K56" s="105"/>
      <c r="L56" s="40"/>
      <c r="M56" s="41"/>
      <c r="N56" s="92">
        <f t="shared" si="0"/>
        <v>0</v>
      </c>
      <c r="O56" s="42">
        <f t="shared" si="1"/>
        <v>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6">
        <v>3</v>
      </c>
      <c r="I57" s="104"/>
      <c r="J57" s="105"/>
      <c r="K57" s="105"/>
      <c r="L57" s="40"/>
      <c r="M57" s="41"/>
      <c r="N57" s="92">
        <f t="shared" si="0"/>
        <v>0</v>
      </c>
      <c r="O57" s="42">
        <f t="shared" si="1"/>
        <v>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6">
        <v>3</v>
      </c>
      <c r="I58" s="104"/>
      <c r="J58" s="105"/>
      <c r="K58" s="105"/>
      <c r="L58" s="40"/>
      <c r="M58" s="41"/>
      <c r="N58" s="92">
        <f t="shared" si="0"/>
        <v>0</v>
      </c>
      <c r="O58" s="42">
        <f t="shared" si="1"/>
        <v>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6">
        <v>1</v>
      </c>
      <c r="I59" s="104"/>
      <c r="J59" s="105"/>
      <c r="K59" s="105"/>
      <c r="L59" s="40"/>
      <c r="M59" s="41"/>
      <c r="N59" s="92">
        <f t="shared" si="0"/>
        <v>0</v>
      </c>
      <c r="O59" s="42">
        <f t="shared" si="1"/>
        <v>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6">
        <v>1</v>
      </c>
      <c r="I60" s="104"/>
      <c r="J60" s="105"/>
      <c r="K60" s="105"/>
      <c r="L60" s="40"/>
      <c r="M60" s="41"/>
      <c r="N60" s="92">
        <f t="shared" si="0"/>
        <v>0</v>
      </c>
      <c r="O60" s="42">
        <f t="shared" si="1"/>
        <v>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7">
        <v>2</v>
      </c>
      <c r="I61" s="104"/>
      <c r="J61" s="102"/>
      <c r="K61" s="102"/>
      <c r="L61" s="30"/>
      <c r="M61" s="31"/>
      <c r="N61" s="94">
        <f t="shared" si="0"/>
        <v>0</v>
      </c>
      <c r="O61" s="32">
        <f t="shared" si="1"/>
        <v>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17">
        <v>8</v>
      </c>
      <c r="I62" s="107">
        <v>5</v>
      </c>
      <c r="J62" s="99">
        <v>3</v>
      </c>
      <c r="K62" s="99">
        <v>3</v>
      </c>
      <c r="L62" s="20">
        <v>5</v>
      </c>
      <c r="M62" s="21"/>
      <c r="N62" s="91">
        <f t="shared" si="0"/>
        <v>16</v>
      </c>
      <c r="O62" s="22">
        <f t="shared" si="1"/>
        <v>176000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18">
        <v>0</v>
      </c>
      <c r="I63" s="114"/>
      <c r="J63" s="109"/>
      <c r="K63" s="109">
        <v>1</v>
      </c>
      <c r="L63" s="60"/>
      <c r="M63" s="61"/>
      <c r="N63" s="94">
        <f t="shared" si="0"/>
        <v>1</v>
      </c>
      <c r="O63" s="49">
        <f t="shared" si="1"/>
        <v>19000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1.5</v>
      </c>
      <c r="I64" s="98"/>
      <c r="J64" s="99"/>
      <c r="K64" s="99"/>
      <c r="L64" s="20"/>
      <c r="M64" s="21"/>
      <c r="N64" s="95">
        <f t="shared" si="0"/>
        <v>0</v>
      </c>
      <c r="O64" s="97">
        <f t="shared" si="1"/>
        <v>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1</v>
      </c>
      <c r="I65" s="104"/>
      <c r="J65" s="105"/>
      <c r="K65" s="105"/>
      <c r="L65" s="40"/>
      <c r="M65" s="41"/>
      <c r="N65" s="92">
        <f t="shared" si="0"/>
        <v>0</v>
      </c>
      <c r="O65" s="42">
        <f t="shared" si="1"/>
        <v>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1</v>
      </c>
      <c r="I66" s="104"/>
      <c r="J66" s="105"/>
      <c r="K66" s="105"/>
      <c r="L66" s="40"/>
      <c r="M66" s="41"/>
      <c r="N66" s="92">
        <f t="shared" si="0"/>
        <v>0</v>
      </c>
      <c r="O66" s="42">
        <f t="shared" si="1"/>
        <v>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1</v>
      </c>
      <c r="I67" s="108"/>
      <c r="J67" s="109"/>
      <c r="K67" s="109"/>
      <c r="L67" s="60"/>
      <c r="M67" s="61"/>
      <c r="N67" s="94">
        <f t="shared" si="0"/>
        <v>0</v>
      </c>
      <c r="O67" s="49">
        <f t="shared" si="1"/>
        <v>0</v>
      </c>
    </row>
    <row r="68" spans="1:15" ht="17.25" thickBot="1">
      <c r="A68" s="63"/>
      <c r="B68" s="63"/>
      <c r="C68" s="63"/>
      <c r="D68" s="63"/>
      <c r="E68" s="63">
        <f t="shared" ref="E68:O68" si="2">SUM(E5:E67)</f>
        <v>282692.21499999997</v>
      </c>
      <c r="F68" s="111">
        <f t="shared" si="2"/>
        <v>76613</v>
      </c>
      <c r="G68" s="111">
        <f t="shared" si="2"/>
        <v>3062970</v>
      </c>
      <c r="H68" s="111">
        <f t="shared" si="2"/>
        <v>18054.5</v>
      </c>
      <c r="I68" s="111">
        <f t="shared" si="2"/>
        <v>12</v>
      </c>
      <c r="J68" s="111">
        <f t="shared" si="2"/>
        <v>1027</v>
      </c>
      <c r="K68" s="111">
        <f t="shared" si="2"/>
        <v>1608</v>
      </c>
      <c r="L68" s="111">
        <f t="shared" si="2"/>
        <v>1011</v>
      </c>
      <c r="M68" s="111">
        <f t="shared" si="2"/>
        <v>0</v>
      </c>
      <c r="N68" s="199">
        <f t="shared" si="2"/>
        <v>3658</v>
      </c>
      <c r="O68" s="198">
        <f t="shared" si="2"/>
        <v>437510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68"/>
  <sheetViews>
    <sheetView topLeftCell="A13" zoomScale="55" zoomScaleNormal="55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229" t="s">
        <v>155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8"/>
      <c r="J5" s="99"/>
      <c r="K5" s="99"/>
      <c r="L5" s="20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6">
        <v>1550</v>
      </c>
      <c r="I6" s="104"/>
      <c r="J6" s="105"/>
      <c r="K6" s="105">
        <v>1000</v>
      </c>
      <c r="L6" s="40"/>
      <c r="M6" s="41"/>
      <c r="N6" s="92">
        <f t="shared" ref="N6:N67" si="0">I6+J6+K6+L6+M6</f>
        <v>1000</v>
      </c>
      <c r="O6" s="42">
        <f t="shared" ref="O6:O67" si="1">E6*N6</f>
        <v>43000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6">
        <v>1450</v>
      </c>
      <c r="I7" s="104"/>
      <c r="J7" s="105"/>
      <c r="K7" s="105">
        <v>1000</v>
      </c>
      <c r="L7" s="40"/>
      <c r="M7" s="41"/>
      <c r="N7" s="92">
        <f t="shared" si="0"/>
        <v>1000</v>
      </c>
      <c r="O7" s="42">
        <f t="shared" si="1"/>
        <v>20000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8"/>
      <c r="I8" s="104"/>
      <c r="J8" s="112"/>
      <c r="K8" s="112"/>
      <c r="L8" s="74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6">
        <v>1200</v>
      </c>
      <c r="I9" s="104">
        <v>1000</v>
      </c>
      <c r="J9" s="105">
        <v>1000</v>
      </c>
      <c r="K9" s="105">
        <v>1000</v>
      </c>
      <c r="L9" s="40">
        <v>1000</v>
      </c>
      <c r="M9" s="41"/>
      <c r="N9" s="92">
        <f t="shared" si="0"/>
        <v>4000</v>
      </c>
      <c r="O9" s="42">
        <f t="shared" si="1"/>
        <v>212000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6">
        <v>1250</v>
      </c>
      <c r="I10" s="104"/>
      <c r="J10" s="105"/>
      <c r="K10" s="105"/>
      <c r="L10" s="40"/>
      <c r="M10" s="41"/>
      <c r="N10" s="92">
        <f t="shared" si="0"/>
        <v>0</v>
      </c>
      <c r="O10" s="42">
        <f t="shared" si="1"/>
        <v>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8">
        <v>1350</v>
      </c>
      <c r="I11" s="104">
        <v>1000</v>
      </c>
      <c r="J11" s="112">
        <v>1000</v>
      </c>
      <c r="K11" s="112">
        <v>1000</v>
      </c>
      <c r="L11" s="74">
        <v>1000</v>
      </c>
      <c r="M11" s="75"/>
      <c r="N11" s="92">
        <f t="shared" si="0"/>
        <v>4000</v>
      </c>
      <c r="O11" s="42">
        <f t="shared" si="1"/>
        <v>74000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6">
        <v>1100</v>
      </c>
      <c r="I12" s="104"/>
      <c r="J12" s="105"/>
      <c r="K12" s="105"/>
      <c r="L12" s="40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6"/>
      <c r="I13" s="104"/>
      <c r="J13" s="105"/>
      <c r="K13" s="105"/>
      <c r="L13" s="40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6"/>
      <c r="I14" s="104"/>
      <c r="J14" s="105"/>
      <c r="K14" s="105"/>
      <c r="L14" s="40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6">
        <v>1000</v>
      </c>
      <c r="I15" s="104">
        <v>1000</v>
      </c>
      <c r="J15" s="105">
        <v>1000</v>
      </c>
      <c r="K15" s="105">
        <v>1000</v>
      </c>
      <c r="L15" s="40">
        <v>2000</v>
      </c>
      <c r="M15" s="41"/>
      <c r="N15" s="92">
        <f t="shared" si="0"/>
        <v>5000</v>
      </c>
      <c r="O15" s="42">
        <f t="shared" si="1"/>
        <v>90000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6">
        <v>1000</v>
      </c>
      <c r="I16" s="104"/>
      <c r="J16" s="105">
        <v>1000</v>
      </c>
      <c r="K16" s="105">
        <v>500</v>
      </c>
      <c r="L16" s="40">
        <v>1000</v>
      </c>
      <c r="M16" s="41"/>
      <c r="N16" s="92">
        <f t="shared" si="0"/>
        <v>2500</v>
      </c>
      <c r="O16" s="42">
        <f t="shared" si="1"/>
        <v>17250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8">
        <v>200</v>
      </c>
      <c r="I17" s="104"/>
      <c r="J17" s="112">
        <v>200</v>
      </c>
      <c r="K17" s="112">
        <v>200</v>
      </c>
      <c r="L17" s="74"/>
      <c r="M17" s="75"/>
      <c r="N17" s="92">
        <f t="shared" si="0"/>
        <v>400</v>
      </c>
      <c r="O17" s="42">
        <f t="shared" si="1"/>
        <v>8875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6">
        <v>1000</v>
      </c>
      <c r="I18" s="104"/>
      <c r="J18" s="105"/>
      <c r="K18" s="105"/>
      <c r="L18" s="40">
        <v>500</v>
      </c>
      <c r="M18" s="41"/>
      <c r="N18" s="92">
        <f t="shared" si="0"/>
        <v>500</v>
      </c>
      <c r="O18" s="42">
        <f t="shared" si="1"/>
        <v>3600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6"/>
      <c r="I19" s="104"/>
      <c r="J19" s="105"/>
      <c r="K19" s="105"/>
      <c r="L19" s="40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8"/>
      <c r="I20" s="104"/>
      <c r="J20" s="112"/>
      <c r="K20" s="112"/>
      <c r="L20" s="74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6">
        <v>400</v>
      </c>
      <c r="I21" s="104"/>
      <c r="J21" s="105"/>
      <c r="K21" s="105"/>
      <c r="L21" s="40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6">
        <v>250</v>
      </c>
      <c r="I22" s="104"/>
      <c r="J22" s="105"/>
      <c r="K22" s="105"/>
      <c r="L22" s="40">
        <v>200</v>
      </c>
      <c r="M22" s="41"/>
      <c r="N22" s="92">
        <f t="shared" si="0"/>
        <v>200</v>
      </c>
      <c r="O22" s="42">
        <f t="shared" si="1"/>
        <v>22500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8">
        <v>3200</v>
      </c>
      <c r="I23" s="104"/>
      <c r="J23" s="112"/>
      <c r="K23" s="112"/>
      <c r="L23" s="74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6"/>
      <c r="I24" s="104"/>
      <c r="J24" s="105"/>
      <c r="K24" s="105"/>
      <c r="L24" s="40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6"/>
      <c r="I25" s="104"/>
      <c r="J25" s="105"/>
      <c r="K25" s="105"/>
      <c r="L25" s="40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6"/>
      <c r="I26" s="104"/>
      <c r="J26" s="105"/>
      <c r="K26" s="105"/>
      <c r="L26" s="40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6"/>
      <c r="I27" s="104"/>
      <c r="J27" s="105"/>
      <c r="K27" s="105"/>
      <c r="L27" s="40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8">
        <v>22</v>
      </c>
      <c r="I28" s="104"/>
      <c r="J28" s="112"/>
      <c r="K28" s="112"/>
      <c r="L28" s="74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6">
        <v>2</v>
      </c>
      <c r="I29" s="104">
        <v>10</v>
      </c>
      <c r="J29" s="105"/>
      <c r="K29" s="105"/>
      <c r="L29" s="40"/>
      <c r="M29" s="41"/>
      <c r="N29" s="92">
        <f t="shared" si="0"/>
        <v>10</v>
      </c>
      <c r="O29" s="42">
        <f t="shared" si="1"/>
        <v>21000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6">
        <v>8</v>
      </c>
      <c r="I30" s="104"/>
      <c r="J30" s="105"/>
      <c r="K30" s="105"/>
      <c r="L30" s="40">
        <v>12</v>
      </c>
      <c r="M30" s="41"/>
      <c r="N30" s="92">
        <f t="shared" si="0"/>
        <v>12</v>
      </c>
      <c r="O30" s="42">
        <f t="shared" si="1"/>
        <v>25200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6">
        <v>2</v>
      </c>
      <c r="I31" s="104"/>
      <c r="J31" s="105"/>
      <c r="K31" s="105"/>
      <c r="L31" s="40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6"/>
      <c r="I32" s="104"/>
      <c r="J32" s="105">
        <v>3</v>
      </c>
      <c r="K32" s="105">
        <v>2</v>
      </c>
      <c r="L32" s="105">
        <v>2</v>
      </c>
      <c r="M32" s="106"/>
      <c r="N32" s="92">
        <f>I32+J32+K32+L32+M32</f>
        <v>7</v>
      </c>
      <c r="O32" s="42">
        <f>E32*N32</f>
        <v>22400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8">
        <v>21</v>
      </c>
      <c r="I33" s="104">
        <v>20</v>
      </c>
      <c r="J33" s="112">
        <v>20</v>
      </c>
      <c r="K33" s="112"/>
      <c r="L33" s="74">
        <v>20</v>
      </c>
      <c r="M33" s="75"/>
      <c r="N33" s="92">
        <f t="shared" si="0"/>
        <v>60</v>
      </c>
      <c r="O33" s="42">
        <f t="shared" si="1"/>
        <v>24600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8">
        <v>12</v>
      </c>
      <c r="I34" s="104">
        <v>6</v>
      </c>
      <c r="J34" s="112">
        <v>12</v>
      </c>
      <c r="K34" s="112">
        <v>24</v>
      </c>
      <c r="L34" s="74">
        <v>12</v>
      </c>
      <c r="M34" s="75"/>
      <c r="N34" s="92">
        <f t="shared" si="0"/>
        <v>54</v>
      </c>
      <c r="O34" s="42">
        <f t="shared" si="1"/>
        <v>388800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8">
        <v>9</v>
      </c>
      <c r="I35" s="104">
        <v>3</v>
      </c>
      <c r="J35" s="112">
        <v>5</v>
      </c>
      <c r="K35" s="112">
        <v>4</v>
      </c>
      <c r="L35" s="74">
        <v>5</v>
      </c>
      <c r="M35" s="75"/>
      <c r="N35" s="92">
        <f t="shared" si="0"/>
        <v>17</v>
      </c>
      <c r="O35" s="42">
        <f t="shared" si="1"/>
        <v>22950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6">
        <v>7</v>
      </c>
      <c r="I36" s="104"/>
      <c r="J36" s="105">
        <v>5</v>
      </c>
      <c r="K36" s="105">
        <v>5</v>
      </c>
      <c r="L36" s="40">
        <v>6</v>
      </c>
      <c r="M36" s="41"/>
      <c r="N36" s="92">
        <f t="shared" si="0"/>
        <v>16</v>
      </c>
      <c r="O36" s="42">
        <f t="shared" si="1"/>
        <v>109920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7">
        <v>3</v>
      </c>
      <c r="I37" s="101"/>
      <c r="J37" s="102"/>
      <c r="K37" s="102">
        <v>1</v>
      </c>
      <c r="L37" s="30">
        <v>1</v>
      </c>
      <c r="M37" s="31"/>
      <c r="N37" s="93">
        <f t="shared" si="0"/>
        <v>2</v>
      </c>
      <c r="O37" s="32">
        <f t="shared" si="1"/>
        <v>13740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17"/>
      <c r="I40" s="98"/>
      <c r="J40" s="99">
        <v>300</v>
      </c>
      <c r="K40" s="99">
        <v>200</v>
      </c>
      <c r="L40" s="20">
        <v>200</v>
      </c>
      <c r="M40" s="21"/>
      <c r="N40" s="91">
        <f t="shared" si="0"/>
        <v>700</v>
      </c>
      <c r="O40" s="22">
        <f t="shared" si="1"/>
        <v>4480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7"/>
      <c r="I41" s="101"/>
      <c r="J41" s="102"/>
      <c r="K41" s="102"/>
      <c r="L41" s="30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17">
        <v>2</v>
      </c>
      <c r="I42" s="98"/>
      <c r="J42" s="99"/>
      <c r="K42" s="99">
        <v>1</v>
      </c>
      <c r="L42" s="20"/>
      <c r="M42" s="21"/>
      <c r="N42" s="95">
        <f t="shared" si="0"/>
        <v>1</v>
      </c>
      <c r="O42" s="22">
        <f t="shared" si="1"/>
        <v>7700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6">
        <v>2</v>
      </c>
      <c r="I43" s="104">
        <v>3</v>
      </c>
      <c r="J43" s="105">
        <v>2</v>
      </c>
      <c r="K43" s="105"/>
      <c r="L43" s="40">
        <v>4</v>
      </c>
      <c r="M43" s="41"/>
      <c r="N43" s="92">
        <f t="shared" si="0"/>
        <v>9</v>
      </c>
      <c r="O43" s="42">
        <f t="shared" si="1"/>
        <v>55800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6">
        <v>4</v>
      </c>
      <c r="I44" s="104"/>
      <c r="J44" s="105"/>
      <c r="K44" s="105">
        <v>2</v>
      </c>
      <c r="L44" s="40">
        <v>2</v>
      </c>
      <c r="M44" s="41"/>
      <c r="N44" s="92">
        <f t="shared" si="0"/>
        <v>4</v>
      </c>
      <c r="O44" s="42">
        <f t="shared" si="1"/>
        <v>26800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6">
        <v>5</v>
      </c>
      <c r="I45" s="104"/>
      <c r="J45" s="105"/>
      <c r="K45" s="105">
        <v>3</v>
      </c>
      <c r="L45" s="40">
        <v>2</v>
      </c>
      <c r="M45" s="41"/>
      <c r="N45" s="92">
        <f t="shared" si="0"/>
        <v>5</v>
      </c>
      <c r="O45" s="42">
        <f t="shared" si="1"/>
        <v>36250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6">
        <v>0</v>
      </c>
      <c r="I46" s="104"/>
      <c r="J46" s="105">
        <v>1</v>
      </c>
      <c r="K46" s="105"/>
      <c r="L46" s="40"/>
      <c r="M46" s="41"/>
      <c r="N46" s="92">
        <f t="shared" si="0"/>
        <v>1</v>
      </c>
      <c r="O46" s="42">
        <f t="shared" si="1"/>
        <v>5300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6">
        <v>2</v>
      </c>
      <c r="I47" s="104"/>
      <c r="J47" s="105"/>
      <c r="K47" s="105"/>
      <c r="L47" s="40">
        <v>1</v>
      </c>
      <c r="M47" s="41"/>
      <c r="N47" s="92">
        <f t="shared" si="0"/>
        <v>1</v>
      </c>
      <c r="O47" s="42">
        <f t="shared" si="1"/>
        <v>6600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6">
        <v>1</v>
      </c>
      <c r="I48" s="104"/>
      <c r="J48" s="105">
        <v>2</v>
      </c>
      <c r="K48" s="105"/>
      <c r="L48" s="40">
        <v>2</v>
      </c>
      <c r="M48" s="41"/>
      <c r="N48" s="92">
        <f t="shared" si="0"/>
        <v>4</v>
      </c>
      <c r="O48" s="42">
        <f t="shared" si="1"/>
        <v>58000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6">
        <v>1</v>
      </c>
      <c r="I49" s="104"/>
      <c r="J49" s="105"/>
      <c r="K49" s="105">
        <v>1</v>
      </c>
      <c r="L49" s="40"/>
      <c r="M49" s="41"/>
      <c r="N49" s="92">
        <f t="shared" si="0"/>
        <v>1</v>
      </c>
      <c r="O49" s="42">
        <f t="shared" si="1"/>
        <v>11000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6">
        <v>4</v>
      </c>
      <c r="I50" s="104"/>
      <c r="J50" s="105"/>
      <c r="K50" s="105"/>
      <c r="L50" s="40">
        <v>2</v>
      </c>
      <c r="M50" s="41"/>
      <c r="N50" s="92">
        <f t="shared" si="0"/>
        <v>2</v>
      </c>
      <c r="O50" s="42">
        <f t="shared" si="1"/>
        <v>9000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7">
        <v>2</v>
      </c>
      <c r="I51" s="104"/>
      <c r="J51" s="102"/>
      <c r="K51" s="102">
        <v>2</v>
      </c>
      <c r="L51" s="30">
        <v>1</v>
      </c>
      <c r="M51" s="31"/>
      <c r="N51" s="93">
        <f t="shared" si="0"/>
        <v>3</v>
      </c>
      <c r="O51" s="49">
        <f t="shared" si="1"/>
        <v>20100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17">
        <v>4</v>
      </c>
      <c r="I52" s="107"/>
      <c r="J52" s="99">
        <v>2</v>
      </c>
      <c r="K52" s="99">
        <v>1</v>
      </c>
      <c r="L52" s="20">
        <v>3</v>
      </c>
      <c r="M52" s="21"/>
      <c r="N52" s="91">
        <f t="shared" si="0"/>
        <v>6</v>
      </c>
      <c r="O52" s="97">
        <f t="shared" si="1"/>
        <v>41400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6">
        <v>3</v>
      </c>
      <c r="I53" s="104"/>
      <c r="J53" s="105"/>
      <c r="K53" s="105"/>
      <c r="L53" s="40">
        <v>1</v>
      </c>
      <c r="M53" s="41"/>
      <c r="N53" s="92">
        <f t="shared" si="0"/>
        <v>1</v>
      </c>
      <c r="O53" s="42">
        <f t="shared" si="1"/>
        <v>6900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6">
        <v>3</v>
      </c>
      <c r="I54" s="104"/>
      <c r="J54" s="105"/>
      <c r="K54" s="105"/>
      <c r="L54" s="40">
        <v>2</v>
      </c>
      <c r="M54" s="41"/>
      <c r="N54" s="92">
        <f t="shared" si="0"/>
        <v>2</v>
      </c>
      <c r="O54" s="42">
        <f t="shared" si="1"/>
        <v>13600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6">
        <v>3</v>
      </c>
      <c r="I55" s="104">
        <v>2</v>
      </c>
      <c r="J55" s="105"/>
      <c r="K55" s="105">
        <v>3</v>
      </c>
      <c r="L55" s="40">
        <v>3</v>
      </c>
      <c r="M55" s="41"/>
      <c r="N55" s="92">
        <f t="shared" si="0"/>
        <v>8</v>
      </c>
      <c r="O55" s="42">
        <f t="shared" si="1"/>
        <v>120000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6">
        <v>5</v>
      </c>
      <c r="I56" s="104"/>
      <c r="J56" s="105">
        <v>3</v>
      </c>
      <c r="K56" s="105">
        <v>2</v>
      </c>
      <c r="L56" s="40">
        <v>4</v>
      </c>
      <c r="M56" s="41"/>
      <c r="N56" s="92">
        <f t="shared" si="0"/>
        <v>9</v>
      </c>
      <c r="O56" s="42">
        <f t="shared" si="1"/>
        <v>47700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6">
        <v>4</v>
      </c>
      <c r="I57" s="104"/>
      <c r="J57" s="105">
        <v>1</v>
      </c>
      <c r="K57" s="105">
        <v>5</v>
      </c>
      <c r="L57" s="40">
        <v>4</v>
      </c>
      <c r="M57" s="41"/>
      <c r="N57" s="92">
        <f t="shared" si="0"/>
        <v>10</v>
      </c>
      <c r="O57" s="42">
        <f t="shared" si="1"/>
        <v>66000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6">
        <v>4</v>
      </c>
      <c r="I58" s="104"/>
      <c r="J58" s="105">
        <v>3</v>
      </c>
      <c r="K58" s="105"/>
      <c r="L58" s="40">
        <v>3</v>
      </c>
      <c r="M58" s="41"/>
      <c r="N58" s="92">
        <f t="shared" si="0"/>
        <v>6</v>
      </c>
      <c r="O58" s="42">
        <f t="shared" si="1"/>
        <v>33600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6">
        <v>1</v>
      </c>
      <c r="I59" s="104"/>
      <c r="J59" s="105"/>
      <c r="K59" s="105"/>
      <c r="L59" s="40">
        <v>1</v>
      </c>
      <c r="M59" s="41"/>
      <c r="N59" s="92">
        <f t="shared" si="0"/>
        <v>1</v>
      </c>
      <c r="O59" s="42">
        <f t="shared" si="1"/>
        <v>14100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6">
        <v>1</v>
      </c>
      <c r="I60" s="104"/>
      <c r="J60" s="105"/>
      <c r="K60" s="105"/>
      <c r="L60" s="40">
        <v>1</v>
      </c>
      <c r="M60" s="41"/>
      <c r="N60" s="92">
        <f t="shared" si="0"/>
        <v>1</v>
      </c>
      <c r="O60" s="42">
        <f t="shared" si="1"/>
        <v>15100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7">
        <v>3</v>
      </c>
      <c r="I61" s="104"/>
      <c r="J61" s="102">
        <v>2</v>
      </c>
      <c r="K61" s="102"/>
      <c r="L61" s="30">
        <v>2</v>
      </c>
      <c r="M61" s="31"/>
      <c r="N61" s="94">
        <f t="shared" si="0"/>
        <v>4</v>
      </c>
      <c r="O61" s="32">
        <f t="shared" si="1"/>
        <v>61200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17">
        <v>21</v>
      </c>
      <c r="I62" s="107">
        <v>5</v>
      </c>
      <c r="J62" s="99">
        <f>20+15</f>
        <v>35</v>
      </c>
      <c r="K62" s="99">
        <v>25</v>
      </c>
      <c r="L62" s="20">
        <v>20</v>
      </c>
      <c r="M62" s="21"/>
      <c r="N62" s="91">
        <f t="shared" si="0"/>
        <v>85</v>
      </c>
      <c r="O62" s="22">
        <f t="shared" si="1"/>
        <v>935000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18">
        <v>1</v>
      </c>
      <c r="I63" s="114"/>
      <c r="J63" s="109"/>
      <c r="K63" s="109"/>
      <c r="L63" s="60"/>
      <c r="M63" s="61"/>
      <c r="N63" s="94">
        <f t="shared" si="0"/>
        <v>0</v>
      </c>
      <c r="O63" s="49">
        <f t="shared" si="1"/>
        <v>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17">
        <v>2</v>
      </c>
      <c r="I64" s="98"/>
      <c r="J64" s="99">
        <v>1</v>
      </c>
      <c r="K64" s="99">
        <v>1</v>
      </c>
      <c r="L64" s="20">
        <v>1</v>
      </c>
      <c r="M64" s="21"/>
      <c r="N64" s="95">
        <f t="shared" si="0"/>
        <v>3</v>
      </c>
      <c r="O64" s="97">
        <f t="shared" si="1"/>
        <v>12000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6">
        <v>1</v>
      </c>
      <c r="I65" s="104"/>
      <c r="J65" s="105">
        <v>1</v>
      </c>
      <c r="K65" s="105">
        <v>1</v>
      </c>
      <c r="L65" s="40"/>
      <c r="M65" s="41"/>
      <c r="N65" s="92">
        <f t="shared" si="0"/>
        <v>2</v>
      </c>
      <c r="O65" s="42">
        <f t="shared" si="1"/>
        <v>8000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6">
        <v>1</v>
      </c>
      <c r="I66" s="104"/>
      <c r="J66" s="105">
        <v>1</v>
      </c>
      <c r="K66" s="105">
        <v>1</v>
      </c>
      <c r="L66" s="40"/>
      <c r="M66" s="41"/>
      <c r="N66" s="92">
        <f t="shared" si="0"/>
        <v>2</v>
      </c>
      <c r="O66" s="42">
        <f t="shared" si="1"/>
        <v>8000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18">
        <v>1</v>
      </c>
      <c r="I67" s="108"/>
      <c r="J67" s="109">
        <v>1</v>
      </c>
      <c r="K67" s="109">
        <v>1</v>
      </c>
      <c r="L67" s="60"/>
      <c r="M67" s="61"/>
      <c r="N67" s="94">
        <f t="shared" si="0"/>
        <v>2</v>
      </c>
      <c r="O67" s="49">
        <f t="shared" si="1"/>
        <v>8600</v>
      </c>
    </row>
    <row r="68" spans="1:15" ht="17.25" thickBot="1">
      <c r="A68" s="63"/>
      <c r="B68" s="63"/>
      <c r="C68" s="63"/>
      <c r="D68" s="63"/>
      <c r="E68" s="63">
        <f>SUM(E5:E67)</f>
        <v>282692.21499999997</v>
      </c>
      <c r="F68" s="111">
        <f t="shared" ref="F68:O68" si="2">SUM(F5:F67)</f>
        <v>76613</v>
      </c>
      <c r="G68" s="111">
        <f t="shared" si="2"/>
        <v>3062970</v>
      </c>
      <c r="H68" s="111">
        <f t="shared" si="2"/>
        <v>15117</v>
      </c>
      <c r="I68" s="111">
        <f t="shared" si="2"/>
        <v>3049</v>
      </c>
      <c r="J68" s="111">
        <f t="shared" si="2"/>
        <v>4600</v>
      </c>
      <c r="K68" s="111">
        <f t="shared" si="2"/>
        <v>5985</v>
      </c>
      <c r="L68" s="111">
        <f t="shared" si="2"/>
        <v>6017</v>
      </c>
      <c r="M68" s="111">
        <f t="shared" si="2"/>
        <v>0</v>
      </c>
      <c r="N68" s="198">
        <f t="shared" si="2"/>
        <v>19651</v>
      </c>
      <c r="O68" s="198">
        <f t="shared" si="2"/>
        <v>2752065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68"/>
  <sheetViews>
    <sheetView topLeftCell="A34" zoomScale="70" zoomScaleNormal="70" workbookViewId="0">
      <selection activeCell="O68" sqref="O6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8" width="11.625" style="141" customWidth="1"/>
    <col min="9" max="15" width="11.625" customWidth="1"/>
  </cols>
  <sheetData>
    <row r="1" spans="1:15">
      <c r="A1" s="229" t="s">
        <v>156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spans="1:15" ht="17.25" thickBot="1">
      <c r="A3" s="1"/>
      <c r="B3" s="1"/>
      <c r="C3" s="1"/>
      <c r="D3" s="1"/>
      <c r="E3" s="1"/>
      <c r="F3" s="1"/>
      <c r="G3" s="1"/>
      <c r="H3" s="128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30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259" t="s">
        <v>7</v>
      </c>
      <c r="B5" s="67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21"/>
      <c r="I5" s="98"/>
      <c r="J5" s="99"/>
      <c r="K5" s="99"/>
      <c r="L5" s="99"/>
      <c r="M5" s="21"/>
      <c r="N5" s="91">
        <f>I5+J5+K5+L5+M5</f>
        <v>0</v>
      </c>
      <c r="O5" s="22">
        <f>E5*N5</f>
        <v>0</v>
      </c>
    </row>
    <row r="6" spans="1:15" ht="16.5" customHeight="1">
      <c r="A6" s="260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9">
        <v>300</v>
      </c>
      <c r="I6" s="104"/>
      <c r="J6" s="105"/>
      <c r="K6" s="105"/>
      <c r="L6" s="105">
        <v>1000</v>
      </c>
      <c r="M6" s="41"/>
      <c r="N6" s="92">
        <f t="shared" ref="N6:N67" si="0">I6+J6+K6+L6+M6</f>
        <v>1000</v>
      </c>
      <c r="O6" s="42">
        <f t="shared" ref="O6:O67" si="1">E6*N6</f>
        <v>43000</v>
      </c>
    </row>
    <row r="7" spans="1:15" ht="16.5" customHeight="1">
      <c r="A7" s="260"/>
      <c r="B7" s="66" t="s">
        <v>11</v>
      </c>
      <c r="C7" s="66" t="s">
        <v>9</v>
      </c>
      <c r="D7" s="66" t="s">
        <v>6</v>
      </c>
      <c r="E7" s="36">
        <v>20</v>
      </c>
      <c r="F7" s="36">
        <v>1000</v>
      </c>
      <c r="G7" s="37">
        <v>20000</v>
      </c>
      <c r="H7" s="119">
        <v>1100</v>
      </c>
      <c r="I7" s="104"/>
      <c r="J7" s="105"/>
      <c r="K7" s="105"/>
      <c r="L7" s="105"/>
      <c r="M7" s="41"/>
      <c r="N7" s="92">
        <f t="shared" si="0"/>
        <v>0</v>
      </c>
      <c r="O7" s="42">
        <f t="shared" si="1"/>
        <v>0</v>
      </c>
    </row>
    <row r="8" spans="1:15" ht="16.5" customHeight="1">
      <c r="A8" s="260"/>
      <c r="B8" s="68" t="s">
        <v>12</v>
      </c>
      <c r="C8" s="69" t="s">
        <v>9</v>
      </c>
      <c r="D8" s="69" t="s">
        <v>6</v>
      </c>
      <c r="E8" s="70">
        <v>42</v>
      </c>
      <c r="F8" s="71">
        <v>1000</v>
      </c>
      <c r="G8" s="72">
        <v>42000</v>
      </c>
      <c r="H8" s="144"/>
      <c r="I8" s="104"/>
      <c r="J8" s="112"/>
      <c r="K8" s="112"/>
      <c r="L8" s="112"/>
      <c r="M8" s="75"/>
      <c r="N8" s="92">
        <f t="shared" si="0"/>
        <v>0</v>
      </c>
      <c r="O8" s="42">
        <f t="shared" si="1"/>
        <v>0</v>
      </c>
    </row>
    <row r="9" spans="1:15" ht="16.5" customHeight="1">
      <c r="A9" s="260"/>
      <c r="B9" s="66" t="s">
        <v>13</v>
      </c>
      <c r="C9" s="34" t="s">
        <v>9</v>
      </c>
      <c r="D9" s="34" t="s">
        <v>6</v>
      </c>
      <c r="E9" s="64">
        <v>53</v>
      </c>
      <c r="F9" s="36">
        <v>1000</v>
      </c>
      <c r="G9" s="37">
        <v>53000</v>
      </c>
      <c r="H9" s="119">
        <v>800</v>
      </c>
      <c r="I9" s="104"/>
      <c r="J9" s="105">
        <v>1000</v>
      </c>
      <c r="K9" s="105"/>
      <c r="L9" s="105">
        <v>1000</v>
      </c>
      <c r="M9" s="41"/>
      <c r="N9" s="92">
        <f t="shared" si="0"/>
        <v>2000</v>
      </c>
      <c r="O9" s="42">
        <f t="shared" si="1"/>
        <v>106000</v>
      </c>
    </row>
    <row r="10" spans="1:15" ht="16.5" customHeight="1">
      <c r="A10" s="260"/>
      <c r="B10" s="66" t="s">
        <v>14</v>
      </c>
      <c r="C10" s="66" t="s">
        <v>9</v>
      </c>
      <c r="D10" s="66" t="s">
        <v>6</v>
      </c>
      <c r="E10" s="83">
        <v>65</v>
      </c>
      <c r="F10" s="36">
        <v>1000</v>
      </c>
      <c r="G10" s="37">
        <v>65000</v>
      </c>
      <c r="H10" s="119">
        <v>500</v>
      </c>
      <c r="I10" s="104"/>
      <c r="J10" s="105"/>
      <c r="K10" s="105">
        <v>1000</v>
      </c>
      <c r="L10" s="105"/>
      <c r="M10" s="41"/>
      <c r="N10" s="92">
        <f t="shared" si="0"/>
        <v>1000</v>
      </c>
      <c r="O10" s="42">
        <f t="shared" si="1"/>
        <v>65000</v>
      </c>
    </row>
    <row r="11" spans="1:15" ht="16.5" customHeight="1">
      <c r="A11" s="260"/>
      <c r="B11" s="68" t="s">
        <v>15</v>
      </c>
      <c r="C11" s="69" t="s">
        <v>9</v>
      </c>
      <c r="D11" s="69" t="s">
        <v>6</v>
      </c>
      <c r="E11" s="82">
        <v>18.5</v>
      </c>
      <c r="F11" s="71">
        <v>1000</v>
      </c>
      <c r="G11" s="72">
        <v>18500</v>
      </c>
      <c r="H11" s="144">
        <v>550</v>
      </c>
      <c r="I11" s="104"/>
      <c r="J11" s="112">
        <v>1000</v>
      </c>
      <c r="K11" s="112"/>
      <c r="L11" s="112">
        <v>1000</v>
      </c>
      <c r="M11" s="75"/>
      <c r="N11" s="92">
        <f t="shared" si="0"/>
        <v>2000</v>
      </c>
      <c r="O11" s="42">
        <f t="shared" si="1"/>
        <v>37000</v>
      </c>
    </row>
    <row r="12" spans="1:15" ht="16.5" customHeight="1">
      <c r="A12" s="260"/>
      <c r="B12" s="66" t="s">
        <v>16</v>
      </c>
      <c r="C12" s="34" t="s">
        <v>9</v>
      </c>
      <c r="D12" s="34" t="s">
        <v>6</v>
      </c>
      <c r="E12" s="64">
        <v>20</v>
      </c>
      <c r="F12" s="36">
        <v>1000</v>
      </c>
      <c r="G12" s="37">
        <v>20000</v>
      </c>
      <c r="H12" s="119">
        <v>1050</v>
      </c>
      <c r="I12" s="104"/>
      <c r="J12" s="105"/>
      <c r="K12" s="105"/>
      <c r="L12" s="105"/>
      <c r="M12" s="41"/>
      <c r="N12" s="92">
        <f t="shared" si="0"/>
        <v>0</v>
      </c>
      <c r="O12" s="42">
        <f t="shared" si="1"/>
        <v>0</v>
      </c>
    </row>
    <row r="13" spans="1:15" ht="16.5" customHeight="1">
      <c r="A13" s="260"/>
      <c r="B13" s="66" t="s">
        <v>17</v>
      </c>
      <c r="C13" s="34" t="s">
        <v>9</v>
      </c>
      <c r="D13" s="34" t="s">
        <v>6</v>
      </c>
      <c r="E13" s="64">
        <v>19</v>
      </c>
      <c r="F13" s="36">
        <v>1000</v>
      </c>
      <c r="G13" s="37">
        <v>19000</v>
      </c>
      <c r="H13" s="119"/>
      <c r="I13" s="104"/>
      <c r="J13" s="105"/>
      <c r="K13" s="105"/>
      <c r="L13" s="105"/>
      <c r="M13" s="41"/>
      <c r="N13" s="92">
        <f t="shared" si="0"/>
        <v>0</v>
      </c>
      <c r="O13" s="42">
        <f t="shared" si="1"/>
        <v>0</v>
      </c>
    </row>
    <row r="14" spans="1:15" ht="16.5" customHeight="1">
      <c r="A14" s="260"/>
      <c r="B14" s="66" t="s">
        <v>18</v>
      </c>
      <c r="C14" s="34" t="s">
        <v>9</v>
      </c>
      <c r="D14" s="34" t="s">
        <v>6</v>
      </c>
      <c r="E14" s="64">
        <v>17.5</v>
      </c>
      <c r="F14" s="36">
        <v>1000</v>
      </c>
      <c r="G14" s="37">
        <v>17500</v>
      </c>
      <c r="H14" s="119"/>
      <c r="I14" s="104"/>
      <c r="J14" s="105"/>
      <c r="K14" s="105"/>
      <c r="L14" s="105"/>
      <c r="M14" s="41"/>
      <c r="N14" s="92">
        <f t="shared" si="0"/>
        <v>0</v>
      </c>
      <c r="O14" s="42">
        <f t="shared" si="1"/>
        <v>0</v>
      </c>
    </row>
    <row r="15" spans="1:15" ht="16.5" customHeight="1">
      <c r="A15" s="260"/>
      <c r="B15" s="66" t="s">
        <v>19</v>
      </c>
      <c r="C15" s="34" t="s">
        <v>9</v>
      </c>
      <c r="D15" s="34" t="s">
        <v>6</v>
      </c>
      <c r="E15" s="64">
        <v>18</v>
      </c>
      <c r="F15" s="36">
        <v>1000</v>
      </c>
      <c r="G15" s="37">
        <v>18000</v>
      </c>
      <c r="H15" s="119">
        <v>1000</v>
      </c>
      <c r="I15" s="104"/>
      <c r="J15" s="105">
        <v>1000</v>
      </c>
      <c r="K15" s="105">
        <v>1000</v>
      </c>
      <c r="L15" s="105"/>
      <c r="M15" s="41"/>
      <c r="N15" s="92">
        <f t="shared" si="0"/>
        <v>2000</v>
      </c>
      <c r="O15" s="42">
        <f t="shared" si="1"/>
        <v>36000</v>
      </c>
    </row>
    <row r="16" spans="1:15" ht="16.5" customHeight="1">
      <c r="A16" s="260"/>
      <c r="B16" s="66" t="s">
        <v>20</v>
      </c>
      <c r="C16" s="66" t="s">
        <v>21</v>
      </c>
      <c r="D16" s="66" t="s">
        <v>6</v>
      </c>
      <c r="E16" s="83">
        <v>6.9</v>
      </c>
      <c r="F16" s="36">
        <v>10000</v>
      </c>
      <c r="G16" s="37">
        <v>69000</v>
      </c>
      <c r="H16" s="119">
        <v>1000</v>
      </c>
      <c r="I16" s="104"/>
      <c r="J16" s="105">
        <v>500</v>
      </c>
      <c r="K16" s="105"/>
      <c r="L16" s="105">
        <v>500</v>
      </c>
      <c r="M16" s="41"/>
      <c r="N16" s="92">
        <f t="shared" si="0"/>
        <v>1000</v>
      </c>
      <c r="O16" s="42">
        <f t="shared" si="1"/>
        <v>6900</v>
      </c>
    </row>
    <row r="17" spans="1:15" ht="16.5" customHeight="1">
      <c r="A17" s="260"/>
      <c r="B17" s="66" t="s">
        <v>22</v>
      </c>
      <c r="C17" s="69" t="s">
        <v>23</v>
      </c>
      <c r="D17" s="69" t="s">
        <v>6</v>
      </c>
      <c r="E17" s="82">
        <v>22.1875</v>
      </c>
      <c r="F17" s="71">
        <v>3200</v>
      </c>
      <c r="G17" s="72">
        <v>71000</v>
      </c>
      <c r="H17" s="144"/>
      <c r="I17" s="104"/>
      <c r="J17" s="112"/>
      <c r="K17" s="112"/>
      <c r="L17" s="112"/>
      <c r="M17" s="75"/>
      <c r="N17" s="92">
        <f t="shared" si="0"/>
        <v>0</v>
      </c>
      <c r="O17" s="42">
        <f t="shared" si="1"/>
        <v>0</v>
      </c>
    </row>
    <row r="18" spans="1:15" ht="16.5" customHeight="1">
      <c r="A18" s="260"/>
      <c r="B18" s="66" t="s">
        <v>24</v>
      </c>
      <c r="C18" s="34" t="s">
        <v>21</v>
      </c>
      <c r="D18" s="34" t="s">
        <v>6</v>
      </c>
      <c r="E18" s="64">
        <v>7.2</v>
      </c>
      <c r="F18" s="36">
        <v>10000</v>
      </c>
      <c r="G18" s="37">
        <v>72000</v>
      </c>
      <c r="H18" s="119">
        <v>500</v>
      </c>
      <c r="I18" s="104"/>
      <c r="J18" s="105"/>
      <c r="K18" s="105"/>
      <c r="L18" s="105"/>
      <c r="M18" s="41"/>
      <c r="N18" s="92">
        <f t="shared" si="0"/>
        <v>0</v>
      </c>
      <c r="O18" s="42">
        <f t="shared" si="1"/>
        <v>0</v>
      </c>
    </row>
    <row r="19" spans="1:15" ht="16.5" customHeight="1">
      <c r="A19" s="260"/>
      <c r="B19" s="66" t="s">
        <v>25</v>
      </c>
      <c r="C19" s="34" t="s">
        <v>26</v>
      </c>
      <c r="D19" s="34" t="s">
        <v>6</v>
      </c>
      <c r="E19" s="64">
        <v>18</v>
      </c>
      <c r="F19" s="36">
        <v>5000</v>
      </c>
      <c r="G19" s="37">
        <v>90000</v>
      </c>
      <c r="H19" s="119"/>
      <c r="I19" s="104"/>
      <c r="J19" s="105"/>
      <c r="K19" s="105"/>
      <c r="L19" s="105"/>
      <c r="M19" s="41"/>
      <c r="N19" s="92">
        <f t="shared" si="0"/>
        <v>0</v>
      </c>
      <c r="O19" s="42">
        <f t="shared" si="1"/>
        <v>0</v>
      </c>
    </row>
    <row r="20" spans="1:15" ht="16.5" customHeight="1">
      <c r="A20" s="260"/>
      <c r="B20" s="68" t="s">
        <v>27</v>
      </c>
      <c r="C20" s="69" t="s">
        <v>28</v>
      </c>
      <c r="D20" s="69" t="s">
        <v>6</v>
      </c>
      <c r="E20" s="82">
        <v>26.7</v>
      </c>
      <c r="F20" s="71">
        <v>4000</v>
      </c>
      <c r="G20" s="72">
        <v>106800</v>
      </c>
      <c r="H20" s="144"/>
      <c r="I20" s="104"/>
      <c r="J20" s="112"/>
      <c r="K20" s="112"/>
      <c r="L20" s="112"/>
      <c r="M20" s="75"/>
      <c r="N20" s="92">
        <f t="shared" si="0"/>
        <v>0</v>
      </c>
      <c r="O20" s="42">
        <f t="shared" si="1"/>
        <v>0</v>
      </c>
    </row>
    <row r="21" spans="1:15" ht="16.5" customHeight="1">
      <c r="A21" s="260"/>
      <c r="B21" s="66" t="s">
        <v>29</v>
      </c>
      <c r="C21" s="34" t="s">
        <v>23</v>
      </c>
      <c r="D21" s="34" t="s">
        <v>6</v>
      </c>
      <c r="E21" s="64">
        <v>22.8125</v>
      </c>
      <c r="F21" s="36">
        <v>3200</v>
      </c>
      <c r="G21" s="37">
        <v>73000</v>
      </c>
      <c r="H21" s="119">
        <v>200</v>
      </c>
      <c r="I21" s="104"/>
      <c r="J21" s="105"/>
      <c r="K21" s="105"/>
      <c r="L21" s="105"/>
      <c r="M21" s="41"/>
      <c r="N21" s="92">
        <f t="shared" si="0"/>
        <v>0</v>
      </c>
      <c r="O21" s="42">
        <f t="shared" si="1"/>
        <v>0</v>
      </c>
    </row>
    <row r="22" spans="1:15" ht="16.5" customHeight="1">
      <c r="A22" s="260"/>
      <c r="B22" s="66" t="s">
        <v>30</v>
      </c>
      <c r="C22" s="66" t="s">
        <v>31</v>
      </c>
      <c r="D22" s="66" t="s">
        <v>6</v>
      </c>
      <c r="E22" s="83">
        <v>112.5</v>
      </c>
      <c r="F22" s="36">
        <v>200</v>
      </c>
      <c r="G22" s="37">
        <v>22500</v>
      </c>
      <c r="H22" s="119">
        <v>225</v>
      </c>
      <c r="I22" s="104"/>
      <c r="J22" s="105"/>
      <c r="K22" s="105"/>
      <c r="L22" s="105"/>
      <c r="M22" s="41"/>
      <c r="N22" s="92">
        <f t="shared" si="0"/>
        <v>0</v>
      </c>
      <c r="O22" s="42">
        <f t="shared" si="1"/>
        <v>0</v>
      </c>
    </row>
    <row r="23" spans="1:15" ht="16.5" customHeight="1">
      <c r="A23" s="260"/>
      <c r="B23" s="66" t="s">
        <v>32</v>
      </c>
      <c r="C23" s="69" t="s">
        <v>33</v>
      </c>
      <c r="D23" s="69" t="s">
        <v>6</v>
      </c>
      <c r="E23" s="86">
        <v>3.625</v>
      </c>
      <c r="F23" s="71">
        <v>8000</v>
      </c>
      <c r="G23" s="72">
        <v>29000</v>
      </c>
      <c r="H23" s="144">
        <v>3600</v>
      </c>
      <c r="I23" s="104"/>
      <c r="J23" s="112"/>
      <c r="K23" s="112"/>
      <c r="L23" s="112"/>
      <c r="M23" s="75"/>
      <c r="N23" s="92">
        <f t="shared" si="0"/>
        <v>0</v>
      </c>
      <c r="O23" s="42">
        <f t="shared" si="1"/>
        <v>0</v>
      </c>
    </row>
    <row r="24" spans="1:15" ht="16.5" customHeight="1">
      <c r="A24" s="260"/>
      <c r="B24" s="66" t="s">
        <v>34</v>
      </c>
      <c r="C24" s="34" t="s">
        <v>35</v>
      </c>
      <c r="D24" s="34" t="s">
        <v>36</v>
      </c>
      <c r="E24" s="64">
        <v>12000</v>
      </c>
      <c r="F24" s="36">
        <v>1</v>
      </c>
      <c r="G24" s="37">
        <v>12000</v>
      </c>
      <c r="H24" s="119"/>
      <c r="I24" s="104"/>
      <c r="J24" s="105"/>
      <c r="K24" s="105"/>
      <c r="L24" s="105"/>
      <c r="M24" s="41"/>
      <c r="N24" s="92">
        <f t="shared" si="0"/>
        <v>0</v>
      </c>
      <c r="O24" s="42">
        <f t="shared" si="1"/>
        <v>0</v>
      </c>
    </row>
    <row r="25" spans="1:15" ht="16.5" customHeight="1">
      <c r="A25" s="260"/>
      <c r="B25" s="34" t="s">
        <v>37</v>
      </c>
      <c r="C25" s="34" t="s">
        <v>21</v>
      </c>
      <c r="D25" s="34" t="s">
        <v>6</v>
      </c>
      <c r="E25" s="64">
        <v>6.4</v>
      </c>
      <c r="F25" s="36">
        <v>10000</v>
      </c>
      <c r="G25" s="37">
        <v>64000</v>
      </c>
      <c r="H25" s="119"/>
      <c r="I25" s="104"/>
      <c r="J25" s="105"/>
      <c r="K25" s="105"/>
      <c r="L25" s="105"/>
      <c r="M25" s="41"/>
      <c r="N25" s="92">
        <f t="shared" si="0"/>
        <v>0</v>
      </c>
      <c r="O25" s="42">
        <f t="shared" si="1"/>
        <v>0</v>
      </c>
    </row>
    <row r="26" spans="1:15" ht="16.5" customHeight="1">
      <c r="A26" s="260"/>
      <c r="B26" s="34" t="s">
        <v>38</v>
      </c>
      <c r="C26" s="34" t="s">
        <v>21</v>
      </c>
      <c r="D26" s="34" t="s">
        <v>6</v>
      </c>
      <c r="E26" s="64">
        <v>6.8</v>
      </c>
      <c r="F26" s="36">
        <v>10000</v>
      </c>
      <c r="G26" s="37">
        <v>68000</v>
      </c>
      <c r="H26" s="119"/>
      <c r="I26" s="104"/>
      <c r="J26" s="105"/>
      <c r="K26" s="105"/>
      <c r="L26" s="105"/>
      <c r="M26" s="41"/>
      <c r="N26" s="92">
        <f t="shared" si="0"/>
        <v>0</v>
      </c>
      <c r="O26" s="42">
        <f t="shared" si="1"/>
        <v>0</v>
      </c>
    </row>
    <row r="27" spans="1:15" ht="16.5" customHeight="1">
      <c r="A27" s="260"/>
      <c r="B27" s="34" t="s">
        <v>39</v>
      </c>
      <c r="C27" s="34" t="s">
        <v>40</v>
      </c>
      <c r="D27" s="34" t="s">
        <v>6</v>
      </c>
      <c r="E27" s="64">
        <v>25</v>
      </c>
      <c r="F27" s="36">
        <v>200</v>
      </c>
      <c r="G27" s="37">
        <v>5000</v>
      </c>
      <c r="H27" s="119"/>
      <c r="I27" s="104"/>
      <c r="J27" s="105"/>
      <c r="K27" s="105"/>
      <c r="L27" s="105"/>
      <c r="M27" s="41"/>
      <c r="N27" s="92">
        <f t="shared" si="0"/>
        <v>0</v>
      </c>
      <c r="O27" s="42">
        <f t="shared" si="1"/>
        <v>0</v>
      </c>
    </row>
    <row r="28" spans="1:15" ht="16.5" customHeight="1">
      <c r="A28" s="260"/>
      <c r="B28" s="66" t="s">
        <v>41</v>
      </c>
      <c r="C28" s="69" t="s">
        <v>5</v>
      </c>
      <c r="D28" s="69" t="s">
        <v>6</v>
      </c>
      <c r="E28" s="82">
        <v>2100</v>
      </c>
      <c r="F28" s="71">
        <v>12</v>
      </c>
      <c r="G28" s="72">
        <v>25200</v>
      </c>
      <c r="H28" s="144"/>
      <c r="I28" s="104"/>
      <c r="J28" s="112"/>
      <c r="K28" s="112"/>
      <c r="L28" s="112"/>
      <c r="M28" s="75"/>
      <c r="N28" s="92">
        <f t="shared" si="0"/>
        <v>0</v>
      </c>
      <c r="O28" s="42">
        <f t="shared" si="1"/>
        <v>0</v>
      </c>
    </row>
    <row r="29" spans="1:15" ht="16.5" customHeight="1">
      <c r="A29" s="260"/>
      <c r="B29" s="66" t="s">
        <v>42</v>
      </c>
      <c r="C29" s="66" t="s">
        <v>5</v>
      </c>
      <c r="D29" s="66" t="s">
        <v>6</v>
      </c>
      <c r="E29" s="83">
        <v>2100</v>
      </c>
      <c r="F29" s="36">
        <v>12</v>
      </c>
      <c r="G29" s="37">
        <v>25200</v>
      </c>
      <c r="H29" s="119"/>
      <c r="I29" s="104"/>
      <c r="J29" s="105"/>
      <c r="K29" s="105"/>
      <c r="L29" s="105"/>
      <c r="M29" s="41"/>
      <c r="N29" s="92">
        <f t="shared" si="0"/>
        <v>0</v>
      </c>
      <c r="O29" s="42">
        <f t="shared" si="1"/>
        <v>0</v>
      </c>
    </row>
    <row r="30" spans="1:15" ht="16.5" customHeight="1">
      <c r="A30" s="260"/>
      <c r="B30" s="66" t="s">
        <v>43</v>
      </c>
      <c r="C30" s="34" t="s">
        <v>5</v>
      </c>
      <c r="D30" s="34" t="s">
        <v>6</v>
      </c>
      <c r="E30" s="64">
        <v>2100</v>
      </c>
      <c r="F30" s="36">
        <v>12</v>
      </c>
      <c r="G30" s="37">
        <v>25200</v>
      </c>
      <c r="H30" s="119"/>
      <c r="I30" s="104"/>
      <c r="J30" s="105"/>
      <c r="K30" s="105"/>
      <c r="L30" s="105"/>
      <c r="M30" s="41"/>
      <c r="N30" s="92">
        <f t="shared" si="0"/>
        <v>0</v>
      </c>
      <c r="O30" s="42">
        <f t="shared" si="1"/>
        <v>0</v>
      </c>
    </row>
    <row r="31" spans="1:15" ht="16.5" customHeight="1">
      <c r="A31" s="260"/>
      <c r="B31" s="66" t="s">
        <v>44</v>
      </c>
      <c r="C31" s="66" t="s">
        <v>45</v>
      </c>
      <c r="D31" s="66" t="s">
        <v>6</v>
      </c>
      <c r="E31" s="83">
        <v>2800</v>
      </c>
      <c r="F31" s="36">
        <v>6</v>
      </c>
      <c r="G31" s="37">
        <v>16800</v>
      </c>
      <c r="H31" s="119">
        <v>1</v>
      </c>
      <c r="I31" s="104"/>
      <c r="J31" s="105"/>
      <c r="K31" s="105"/>
      <c r="L31" s="105"/>
      <c r="M31" s="41"/>
      <c r="N31" s="92">
        <f t="shared" si="0"/>
        <v>0</v>
      </c>
      <c r="O31" s="42">
        <f t="shared" si="1"/>
        <v>0</v>
      </c>
    </row>
    <row r="32" spans="1:15" ht="16.5" customHeight="1">
      <c r="A32" s="260"/>
      <c r="B32" s="66" t="s">
        <v>122</v>
      </c>
      <c r="C32" s="66" t="s">
        <v>45</v>
      </c>
      <c r="D32" s="66" t="s">
        <v>6</v>
      </c>
      <c r="E32" s="83">
        <v>3200</v>
      </c>
      <c r="F32" s="36">
        <v>6</v>
      </c>
      <c r="G32" s="37">
        <v>19200</v>
      </c>
      <c r="H32" s="119"/>
      <c r="I32" s="104"/>
      <c r="J32" s="105"/>
      <c r="K32" s="105"/>
      <c r="L32" s="105">
        <v>1</v>
      </c>
      <c r="M32" s="106"/>
      <c r="N32" s="92">
        <f>I32+J32+K32+L32+M32</f>
        <v>1</v>
      </c>
      <c r="O32" s="42">
        <f>E32*N32</f>
        <v>3200</v>
      </c>
    </row>
    <row r="33" spans="1:15" ht="16.5" customHeight="1">
      <c r="A33" s="260"/>
      <c r="B33" s="25" t="s">
        <v>46</v>
      </c>
      <c r="C33" s="78" t="s">
        <v>47</v>
      </c>
      <c r="D33" s="78" t="s">
        <v>6</v>
      </c>
      <c r="E33" s="84">
        <v>410</v>
      </c>
      <c r="F33" s="79">
        <v>20</v>
      </c>
      <c r="G33" s="80">
        <v>8200</v>
      </c>
      <c r="H33" s="144"/>
      <c r="I33" s="104"/>
      <c r="J33" s="112"/>
      <c r="K33" s="112"/>
      <c r="L33" s="112"/>
      <c r="M33" s="75"/>
      <c r="N33" s="92">
        <f t="shared" si="0"/>
        <v>0</v>
      </c>
      <c r="O33" s="42">
        <f t="shared" si="1"/>
        <v>0</v>
      </c>
    </row>
    <row r="34" spans="1:15" ht="16.5" customHeight="1">
      <c r="A34" s="260"/>
      <c r="B34" s="34" t="s">
        <v>48</v>
      </c>
      <c r="C34" s="34" t="s">
        <v>5</v>
      </c>
      <c r="D34" s="34" t="s">
        <v>6</v>
      </c>
      <c r="E34" s="64">
        <v>7200</v>
      </c>
      <c r="F34" s="36">
        <v>12</v>
      </c>
      <c r="G34" s="81">
        <v>86400</v>
      </c>
      <c r="H34" s="144">
        <v>14</v>
      </c>
      <c r="I34" s="104"/>
      <c r="J34" s="112"/>
      <c r="K34" s="112">
        <v>12</v>
      </c>
      <c r="L34" s="112">
        <v>6</v>
      </c>
      <c r="M34" s="75"/>
      <c r="N34" s="92">
        <f t="shared" si="0"/>
        <v>18</v>
      </c>
      <c r="O34" s="42">
        <f t="shared" si="1"/>
        <v>129600</v>
      </c>
    </row>
    <row r="35" spans="1:15" ht="16.5" customHeight="1">
      <c r="A35" s="260"/>
      <c r="B35" s="34" t="s">
        <v>49</v>
      </c>
      <c r="C35" s="34" t="s">
        <v>5</v>
      </c>
      <c r="D35" s="34" t="s">
        <v>6</v>
      </c>
      <c r="E35" s="64">
        <v>1350</v>
      </c>
      <c r="F35" s="36">
        <v>12</v>
      </c>
      <c r="G35" s="37">
        <v>16200</v>
      </c>
      <c r="H35" s="144">
        <v>3</v>
      </c>
      <c r="I35" s="104">
        <v>1</v>
      </c>
      <c r="J35" s="112">
        <v>3</v>
      </c>
      <c r="K35" s="112">
        <v>3</v>
      </c>
      <c r="L35" s="112">
        <v>3</v>
      </c>
      <c r="M35" s="75"/>
      <c r="N35" s="92">
        <f t="shared" si="0"/>
        <v>10</v>
      </c>
      <c r="O35" s="42">
        <f t="shared" si="1"/>
        <v>13500</v>
      </c>
    </row>
    <row r="36" spans="1:15" ht="16.5" customHeight="1">
      <c r="A36" s="260"/>
      <c r="B36" s="34" t="s">
        <v>118</v>
      </c>
      <c r="C36" s="34" t="s">
        <v>50</v>
      </c>
      <c r="D36" s="34" t="s">
        <v>6</v>
      </c>
      <c r="E36" s="64">
        <v>6870</v>
      </c>
      <c r="F36" s="36">
        <v>8</v>
      </c>
      <c r="G36" s="37">
        <v>54960</v>
      </c>
      <c r="H36" s="119">
        <v>3</v>
      </c>
      <c r="I36" s="104"/>
      <c r="J36" s="105">
        <v>4</v>
      </c>
      <c r="K36" s="105">
        <v>3</v>
      </c>
      <c r="L36" s="105">
        <v>1</v>
      </c>
      <c r="M36" s="41"/>
      <c r="N36" s="92">
        <f t="shared" si="0"/>
        <v>8</v>
      </c>
      <c r="O36" s="42">
        <f t="shared" si="1"/>
        <v>54960</v>
      </c>
    </row>
    <row r="37" spans="1:15" ht="16.5" customHeight="1">
      <c r="A37" s="260"/>
      <c r="B37" s="25" t="s">
        <v>119</v>
      </c>
      <c r="C37" s="25" t="s">
        <v>50</v>
      </c>
      <c r="D37" s="25" t="s">
        <v>6</v>
      </c>
      <c r="E37" s="85">
        <v>6870</v>
      </c>
      <c r="F37" s="26">
        <v>8</v>
      </c>
      <c r="G37" s="27">
        <v>54960</v>
      </c>
      <c r="H37" s="143">
        <v>2</v>
      </c>
      <c r="I37" s="101"/>
      <c r="J37" s="102"/>
      <c r="K37" s="102">
        <v>1</v>
      </c>
      <c r="L37" s="102"/>
      <c r="M37" s="31"/>
      <c r="N37" s="93">
        <f t="shared" si="0"/>
        <v>1</v>
      </c>
      <c r="O37" s="32">
        <f t="shared" si="1"/>
        <v>6870</v>
      </c>
    </row>
    <row r="38" spans="1:15" ht="17.25" customHeight="1">
      <c r="A38" s="260"/>
      <c r="B38" s="34" t="s">
        <v>158</v>
      </c>
      <c r="C38" s="219" t="s">
        <v>50</v>
      </c>
      <c r="D38" s="219" t="s">
        <v>6</v>
      </c>
      <c r="E38" s="220">
        <v>7360</v>
      </c>
      <c r="F38" s="54">
        <v>8</v>
      </c>
      <c r="G38" s="37">
        <f>E38*F38</f>
        <v>58880</v>
      </c>
      <c r="H38" s="38"/>
      <c r="I38" s="104"/>
      <c r="J38" s="105"/>
      <c r="K38" s="105"/>
      <c r="L38" s="105"/>
      <c r="M38" s="106"/>
      <c r="N38" s="92">
        <f t="shared" si="0"/>
        <v>0</v>
      </c>
      <c r="O38" s="42">
        <f t="shared" si="1"/>
        <v>0</v>
      </c>
    </row>
    <row r="39" spans="1:15" ht="18" customHeight="1" thickBot="1">
      <c r="A39" s="261"/>
      <c r="B39" s="25" t="s">
        <v>159</v>
      </c>
      <c r="C39" s="48" t="s">
        <v>50</v>
      </c>
      <c r="D39" s="48" t="s">
        <v>6</v>
      </c>
      <c r="E39" s="194">
        <v>7360</v>
      </c>
      <c r="F39" s="56">
        <v>8</v>
      </c>
      <c r="G39" s="37">
        <f>E39*F39</f>
        <v>58880</v>
      </c>
      <c r="H39" s="28"/>
      <c r="I39" s="101"/>
      <c r="J39" s="102"/>
      <c r="K39" s="102"/>
      <c r="L39" s="102"/>
      <c r="M39" s="103"/>
      <c r="N39" s="93">
        <f t="shared" si="0"/>
        <v>0</v>
      </c>
      <c r="O39" s="32">
        <f t="shared" si="1"/>
        <v>0</v>
      </c>
    </row>
    <row r="40" spans="1:15">
      <c r="A40" s="233" t="s">
        <v>51</v>
      </c>
      <c r="B40" s="14" t="s">
        <v>52</v>
      </c>
      <c r="C40" s="14" t="s">
        <v>53</v>
      </c>
      <c r="D40" s="14" t="s">
        <v>6</v>
      </c>
      <c r="E40" s="65">
        <v>6.4</v>
      </c>
      <c r="F40" s="16">
        <v>500</v>
      </c>
      <c r="G40" s="17">
        <v>3200</v>
      </c>
      <c r="H40" s="121">
        <v>100</v>
      </c>
      <c r="I40" s="98"/>
      <c r="J40" s="99">
        <v>100</v>
      </c>
      <c r="K40" s="99">
        <v>200</v>
      </c>
      <c r="L40" s="99"/>
      <c r="M40" s="21"/>
      <c r="N40" s="91">
        <f t="shared" si="0"/>
        <v>300</v>
      </c>
      <c r="O40" s="22">
        <f t="shared" si="1"/>
        <v>1920</v>
      </c>
    </row>
    <row r="41" spans="1:15" ht="17.25" thickBot="1">
      <c r="A41" s="258"/>
      <c r="B41" s="25" t="s">
        <v>54</v>
      </c>
      <c r="C41" s="25" t="s">
        <v>55</v>
      </c>
      <c r="D41" s="25" t="s">
        <v>6</v>
      </c>
      <c r="E41" s="85">
        <v>4.6900000000000004</v>
      </c>
      <c r="F41" s="26">
        <v>1000</v>
      </c>
      <c r="G41" s="27">
        <v>4690</v>
      </c>
      <c r="H41" s="143"/>
      <c r="I41" s="101"/>
      <c r="J41" s="102"/>
      <c r="K41" s="102"/>
      <c r="L41" s="102"/>
      <c r="M41" s="31"/>
      <c r="N41" s="94">
        <f t="shared" si="0"/>
        <v>0</v>
      </c>
      <c r="O41" s="49">
        <f t="shared" si="1"/>
        <v>0</v>
      </c>
    </row>
    <row r="42" spans="1:15">
      <c r="A42" s="259" t="s">
        <v>56</v>
      </c>
      <c r="B42" s="14" t="s">
        <v>57</v>
      </c>
      <c r="C42" s="14" t="s">
        <v>58</v>
      </c>
      <c r="D42" s="14" t="s">
        <v>6</v>
      </c>
      <c r="E42" s="65">
        <v>7700</v>
      </c>
      <c r="F42" s="16">
        <v>12</v>
      </c>
      <c r="G42" s="17">
        <v>92400</v>
      </c>
      <c r="H42" s="121">
        <v>1</v>
      </c>
      <c r="I42" s="98"/>
      <c r="J42" s="99"/>
      <c r="K42" s="99"/>
      <c r="L42" s="99"/>
      <c r="M42" s="21"/>
      <c r="N42" s="95">
        <f t="shared" si="0"/>
        <v>0</v>
      </c>
      <c r="O42" s="22">
        <f t="shared" si="1"/>
        <v>0</v>
      </c>
    </row>
    <row r="43" spans="1:15">
      <c r="A43" s="260"/>
      <c r="B43" s="34" t="s">
        <v>59</v>
      </c>
      <c r="C43" s="34" t="s">
        <v>58</v>
      </c>
      <c r="D43" s="34" t="s">
        <v>6</v>
      </c>
      <c r="E43" s="64">
        <v>6200</v>
      </c>
      <c r="F43" s="36">
        <v>12</v>
      </c>
      <c r="G43" s="37">
        <v>74400</v>
      </c>
      <c r="H43" s="119">
        <v>1</v>
      </c>
      <c r="I43" s="104">
        <v>1</v>
      </c>
      <c r="J43" s="105"/>
      <c r="K43" s="105"/>
      <c r="L43" s="105">
        <v>2</v>
      </c>
      <c r="M43" s="41"/>
      <c r="N43" s="92">
        <f t="shared" si="0"/>
        <v>3</v>
      </c>
      <c r="O43" s="42">
        <f t="shared" si="1"/>
        <v>18600</v>
      </c>
    </row>
    <row r="44" spans="1:15">
      <c r="A44" s="260"/>
      <c r="B44" s="34" t="s">
        <v>60</v>
      </c>
      <c r="C44" s="34" t="s">
        <v>58</v>
      </c>
      <c r="D44" s="34" t="s">
        <v>6</v>
      </c>
      <c r="E44" s="64">
        <v>6700</v>
      </c>
      <c r="F44" s="36">
        <v>12</v>
      </c>
      <c r="G44" s="37">
        <v>80400</v>
      </c>
      <c r="H44" s="119">
        <v>1</v>
      </c>
      <c r="I44" s="104"/>
      <c r="J44" s="105"/>
      <c r="K44" s="105">
        <v>1</v>
      </c>
      <c r="L44" s="105"/>
      <c r="M44" s="41"/>
      <c r="N44" s="92">
        <f t="shared" si="0"/>
        <v>1</v>
      </c>
      <c r="O44" s="42">
        <f t="shared" si="1"/>
        <v>6700</v>
      </c>
    </row>
    <row r="45" spans="1:15">
      <c r="A45" s="260"/>
      <c r="B45" s="34" t="s">
        <v>61</v>
      </c>
      <c r="C45" s="34" t="s">
        <v>5</v>
      </c>
      <c r="D45" s="34" t="s">
        <v>6</v>
      </c>
      <c r="E45" s="64">
        <v>7250</v>
      </c>
      <c r="F45" s="36">
        <v>12</v>
      </c>
      <c r="G45" s="37">
        <v>87000</v>
      </c>
      <c r="H45" s="119">
        <v>1</v>
      </c>
      <c r="I45" s="104">
        <v>1</v>
      </c>
      <c r="J45" s="105"/>
      <c r="K45" s="105"/>
      <c r="L45" s="105">
        <v>1</v>
      </c>
      <c r="M45" s="41"/>
      <c r="N45" s="92">
        <f t="shared" si="0"/>
        <v>2</v>
      </c>
      <c r="O45" s="42">
        <f t="shared" si="1"/>
        <v>14500</v>
      </c>
    </row>
    <row r="46" spans="1:15">
      <c r="A46" s="260"/>
      <c r="B46" s="34" t="s">
        <v>62</v>
      </c>
      <c r="C46" s="34" t="s">
        <v>63</v>
      </c>
      <c r="D46" s="34" t="s">
        <v>6</v>
      </c>
      <c r="E46" s="64">
        <v>5300</v>
      </c>
      <c r="F46" s="36">
        <v>12</v>
      </c>
      <c r="G46" s="37">
        <v>63600</v>
      </c>
      <c r="H46" s="119">
        <v>1</v>
      </c>
      <c r="I46" s="104"/>
      <c r="J46" s="105"/>
      <c r="K46" s="105"/>
      <c r="L46" s="105"/>
      <c r="M46" s="41"/>
      <c r="N46" s="92">
        <f t="shared" si="0"/>
        <v>0</v>
      </c>
      <c r="O46" s="42">
        <f t="shared" si="1"/>
        <v>0</v>
      </c>
    </row>
    <row r="47" spans="1:15">
      <c r="A47" s="260"/>
      <c r="B47" s="34" t="s">
        <v>64</v>
      </c>
      <c r="C47" s="34" t="s">
        <v>63</v>
      </c>
      <c r="D47" s="34" t="s">
        <v>6</v>
      </c>
      <c r="E47" s="64">
        <v>6600</v>
      </c>
      <c r="F47" s="36">
        <v>12</v>
      </c>
      <c r="G47" s="37">
        <v>79200</v>
      </c>
      <c r="H47" s="119">
        <v>1</v>
      </c>
      <c r="I47" s="104">
        <v>1</v>
      </c>
      <c r="J47" s="105"/>
      <c r="K47" s="105"/>
      <c r="L47" s="105">
        <v>2</v>
      </c>
      <c r="M47" s="41"/>
      <c r="N47" s="92">
        <f t="shared" si="0"/>
        <v>3</v>
      </c>
      <c r="O47" s="42">
        <f t="shared" si="1"/>
        <v>19800</v>
      </c>
    </row>
    <row r="48" spans="1:15">
      <c r="A48" s="260"/>
      <c r="B48" s="34" t="s">
        <v>65</v>
      </c>
      <c r="C48" s="34" t="s">
        <v>66</v>
      </c>
      <c r="D48" s="34" t="s">
        <v>6</v>
      </c>
      <c r="E48" s="64">
        <v>14500</v>
      </c>
      <c r="F48" s="36">
        <v>6</v>
      </c>
      <c r="G48" s="37">
        <v>87000</v>
      </c>
      <c r="H48" s="119">
        <v>1</v>
      </c>
      <c r="I48" s="104"/>
      <c r="J48" s="105"/>
      <c r="K48" s="105"/>
      <c r="L48" s="105"/>
      <c r="M48" s="41"/>
      <c r="N48" s="92">
        <f t="shared" si="0"/>
        <v>0</v>
      </c>
      <c r="O48" s="42">
        <f t="shared" si="1"/>
        <v>0</v>
      </c>
    </row>
    <row r="49" spans="1:15">
      <c r="A49" s="260"/>
      <c r="B49" s="34" t="s">
        <v>67</v>
      </c>
      <c r="C49" s="34" t="s">
        <v>66</v>
      </c>
      <c r="D49" s="34" t="s">
        <v>6</v>
      </c>
      <c r="E49" s="64">
        <v>11000</v>
      </c>
      <c r="F49" s="36">
        <v>6</v>
      </c>
      <c r="G49" s="37">
        <v>66000</v>
      </c>
      <c r="H49" s="119">
        <v>1</v>
      </c>
      <c r="I49" s="104"/>
      <c r="J49" s="105"/>
      <c r="K49" s="105"/>
      <c r="L49" s="105"/>
      <c r="M49" s="41"/>
      <c r="N49" s="92">
        <f t="shared" si="0"/>
        <v>0</v>
      </c>
      <c r="O49" s="42">
        <f t="shared" si="1"/>
        <v>0</v>
      </c>
    </row>
    <row r="50" spans="1:15">
      <c r="A50" s="260"/>
      <c r="B50" s="34" t="s">
        <v>68</v>
      </c>
      <c r="C50" s="34" t="s">
        <v>63</v>
      </c>
      <c r="D50" s="34" t="s">
        <v>6</v>
      </c>
      <c r="E50" s="64">
        <v>4500</v>
      </c>
      <c r="F50" s="36">
        <v>12</v>
      </c>
      <c r="G50" s="37">
        <v>54000</v>
      </c>
      <c r="H50" s="119"/>
      <c r="I50" s="104"/>
      <c r="J50" s="105">
        <v>1</v>
      </c>
      <c r="K50" s="105"/>
      <c r="L50" s="105"/>
      <c r="M50" s="41"/>
      <c r="N50" s="92">
        <f t="shared" si="0"/>
        <v>1</v>
      </c>
      <c r="O50" s="42">
        <f t="shared" si="1"/>
        <v>4500</v>
      </c>
    </row>
    <row r="51" spans="1:15" ht="17.25" thickBot="1">
      <c r="A51" s="260"/>
      <c r="B51" s="25" t="s">
        <v>69</v>
      </c>
      <c r="C51" s="25" t="s">
        <v>5</v>
      </c>
      <c r="D51" s="25" t="s">
        <v>6</v>
      </c>
      <c r="E51" s="85">
        <v>6700</v>
      </c>
      <c r="F51" s="26">
        <v>12</v>
      </c>
      <c r="G51" s="27">
        <v>80400</v>
      </c>
      <c r="H51" s="143">
        <v>1</v>
      </c>
      <c r="I51" s="104"/>
      <c r="J51" s="102"/>
      <c r="K51" s="102">
        <v>1</v>
      </c>
      <c r="L51" s="102"/>
      <c r="M51" s="31"/>
      <c r="N51" s="93">
        <f t="shared" si="0"/>
        <v>1</v>
      </c>
      <c r="O51" s="49">
        <f t="shared" si="1"/>
        <v>6700</v>
      </c>
    </row>
    <row r="52" spans="1:15">
      <c r="A52" s="233" t="s">
        <v>70</v>
      </c>
      <c r="B52" s="14" t="s">
        <v>71</v>
      </c>
      <c r="C52" s="14" t="s">
        <v>66</v>
      </c>
      <c r="D52" s="14" t="s">
        <v>6</v>
      </c>
      <c r="E52" s="65">
        <v>6900</v>
      </c>
      <c r="F52" s="16">
        <v>6</v>
      </c>
      <c r="G52" s="17">
        <v>41400</v>
      </c>
      <c r="H52" s="121">
        <v>2</v>
      </c>
      <c r="I52" s="107"/>
      <c r="J52" s="99"/>
      <c r="K52" s="99">
        <v>1</v>
      </c>
      <c r="L52" s="99">
        <v>1</v>
      </c>
      <c r="M52" s="21"/>
      <c r="N52" s="91">
        <f t="shared" si="0"/>
        <v>2</v>
      </c>
      <c r="O52" s="97">
        <f t="shared" si="1"/>
        <v>13800</v>
      </c>
    </row>
    <row r="53" spans="1:15">
      <c r="A53" s="234"/>
      <c r="B53" s="34" t="s">
        <v>72</v>
      </c>
      <c r="C53" s="34" t="s">
        <v>66</v>
      </c>
      <c r="D53" s="34" t="s">
        <v>6</v>
      </c>
      <c r="E53" s="64">
        <v>6900</v>
      </c>
      <c r="F53" s="36">
        <v>6</v>
      </c>
      <c r="G53" s="37">
        <v>41400</v>
      </c>
      <c r="H53" s="119">
        <v>2</v>
      </c>
      <c r="I53" s="104"/>
      <c r="J53" s="105"/>
      <c r="K53" s="105"/>
      <c r="L53" s="105">
        <v>1</v>
      </c>
      <c r="M53" s="41"/>
      <c r="N53" s="92">
        <f t="shared" si="0"/>
        <v>1</v>
      </c>
      <c r="O53" s="42">
        <f t="shared" si="1"/>
        <v>6900</v>
      </c>
    </row>
    <row r="54" spans="1:15">
      <c r="A54" s="234"/>
      <c r="B54" s="34" t="s">
        <v>73</v>
      </c>
      <c r="C54" s="34" t="s">
        <v>66</v>
      </c>
      <c r="D54" s="34" t="s">
        <v>6</v>
      </c>
      <c r="E54" s="64">
        <v>6800</v>
      </c>
      <c r="F54" s="36">
        <v>6</v>
      </c>
      <c r="G54" s="37">
        <v>40800</v>
      </c>
      <c r="H54" s="119">
        <v>2</v>
      </c>
      <c r="I54" s="104"/>
      <c r="J54" s="105"/>
      <c r="K54" s="105">
        <v>1</v>
      </c>
      <c r="L54" s="105"/>
      <c r="M54" s="41"/>
      <c r="N54" s="92">
        <f t="shared" si="0"/>
        <v>1</v>
      </c>
      <c r="O54" s="42">
        <f t="shared" si="1"/>
        <v>6800</v>
      </c>
    </row>
    <row r="55" spans="1:15">
      <c r="A55" s="234"/>
      <c r="B55" s="34" t="s">
        <v>74</v>
      </c>
      <c r="C55" s="34" t="s">
        <v>75</v>
      </c>
      <c r="D55" s="34" t="s">
        <v>6</v>
      </c>
      <c r="E55" s="64">
        <v>15000</v>
      </c>
      <c r="F55" s="36">
        <v>4</v>
      </c>
      <c r="G55" s="37">
        <v>60000</v>
      </c>
      <c r="H55" s="119">
        <v>2</v>
      </c>
      <c r="I55" s="104"/>
      <c r="J55" s="105">
        <v>1</v>
      </c>
      <c r="K55" s="105">
        <v>1</v>
      </c>
      <c r="L55" s="105">
        <v>1</v>
      </c>
      <c r="M55" s="41"/>
      <c r="N55" s="92">
        <f t="shared" si="0"/>
        <v>3</v>
      </c>
      <c r="O55" s="42">
        <f t="shared" si="1"/>
        <v>45000</v>
      </c>
    </row>
    <row r="56" spans="1:15">
      <c r="A56" s="234"/>
      <c r="B56" s="34" t="s">
        <v>76</v>
      </c>
      <c r="C56" s="34" t="s">
        <v>77</v>
      </c>
      <c r="D56" s="34" t="s">
        <v>6</v>
      </c>
      <c r="E56" s="64">
        <v>5300</v>
      </c>
      <c r="F56" s="36">
        <v>6</v>
      </c>
      <c r="G56" s="37">
        <v>31800</v>
      </c>
      <c r="H56" s="119">
        <v>2</v>
      </c>
      <c r="I56" s="104"/>
      <c r="J56" s="105"/>
      <c r="K56" s="105">
        <v>1</v>
      </c>
      <c r="L56" s="105"/>
      <c r="M56" s="41"/>
      <c r="N56" s="92">
        <f t="shared" si="0"/>
        <v>1</v>
      </c>
      <c r="O56" s="42">
        <f t="shared" si="1"/>
        <v>5300</v>
      </c>
    </row>
    <row r="57" spans="1:15">
      <c r="A57" s="234"/>
      <c r="B57" s="34" t="s">
        <v>78</v>
      </c>
      <c r="C57" s="34" t="s">
        <v>77</v>
      </c>
      <c r="D57" s="34" t="s">
        <v>6</v>
      </c>
      <c r="E57" s="64">
        <v>6600</v>
      </c>
      <c r="F57" s="36">
        <v>6</v>
      </c>
      <c r="G57" s="37">
        <v>39600</v>
      </c>
      <c r="H57" s="119">
        <v>2</v>
      </c>
      <c r="I57" s="104"/>
      <c r="J57" s="105"/>
      <c r="K57" s="105"/>
      <c r="L57" s="105"/>
      <c r="M57" s="41"/>
      <c r="N57" s="92">
        <f t="shared" si="0"/>
        <v>0</v>
      </c>
      <c r="O57" s="42">
        <f t="shared" si="1"/>
        <v>0</v>
      </c>
    </row>
    <row r="58" spans="1:15">
      <c r="A58" s="234"/>
      <c r="B58" s="34" t="s">
        <v>79</v>
      </c>
      <c r="C58" s="34" t="s">
        <v>80</v>
      </c>
      <c r="D58" s="34" t="s">
        <v>6</v>
      </c>
      <c r="E58" s="64">
        <v>5600</v>
      </c>
      <c r="F58" s="36">
        <v>10</v>
      </c>
      <c r="G58" s="37">
        <v>56000</v>
      </c>
      <c r="H58" s="119">
        <v>1</v>
      </c>
      <c r="I58" s="104"/>
      <c r="J58" s="105"/>
      <c r="K58" s="105"/>
      <c r="L58" s="105"/>
      <c r="M58" s="41"/>
      <c r="N58" s="92">
        <f t="shared" si="0"/>
        <v>0</v>
      </c>
      <c r="O58" s="42">
        <f t="shared" si="1"/>
        <v>0</v>
      </c>
    </row>
    <row r="59" spans="1:15">
      <c r="A59" s="234"/>
      <c r="B59" s="34" t="s">
        <v>81</v>
      </c>
      <c r="C59" s="34" t="s">
        <v>82</v>
      </c>
      <c r="D59" s="34" t="s">
        <v>6</v>
      </c>
      <c r="E59" s="64">
        <v>14100</v>
      </c>
      <c r="F59" s="36">
        <v>4</v>
      </c>
      <c r="G59" s="37">
        <v>56400</v>
      </c>
      <c r="H59" s="119">
        <v>1</v>
      </c>
      <c r="I59" s="104"/>
      <c r="J59" s="105"/>
      <c r="K59" s="105"/>
      <c r="L59" s="105"/>
      <c r="M59" s="41"/>
      <c r="N59" s="92">
        <f t="shared" si="0"/>
        <v>0</v>
      </c>
      <c r="O59" s="42">
        <f t="shared" si="1"/>
        <v>0</v>
      </c>
    </row>
    <row r="60" spans="1:15">
      <c r="A60" s="234"/>
      <c r="B60" s="34" t="s">
        <v>83</v>
      </c>
      <c r="C60" s="34" t="s">
        <v>82</v>
      </c>
      <c r="D60" s="34" t="s">
        <v>6</v>
      </c>
      <c r="E60" s="64">
        <v>15100</v>
      </c>
      <c r="F60" s="36">
        <v>4</v>
      </c>
      <c r="G60" s="37">
        <v>60400</v>
      </c>
      <c r="H60" s="119">
        <v>1</v>
      </c>
      <c r="I60" s="104"/>
      <c r="J60" s="105"/>
      <c r="K60" s="105"/>
      <c r="L60" s="105"/>
      <c r="M60" s="41"/>
      <c r="N60" s="92">
        <f t="shared" si="0"/>
        <v>0</v>
      </c>
      <c r="O60" s="42">
        <f t="shared" si="1"/>
        <v>0</v>
      </c>
    </row>
    <row r="61" spans="1:15" ht="17.25" thickBot="1">
      <c r="A61" s="235"/>
      <c r="B61" s="48" t="s">
        <v>84</v>
      </c>
      <c r="C61" s="48" t="s">
        <v>75</v>
      </c>
      <c r="D61" s="48" t="s">
        <v>6</v>
      </c>
      <c r="E61" s="85">
        <v>15300</v>
      </c>
      <c r="F61" s="26">
        <v>4</v>
      </c>
      <c r="G61" s="37">
        <v>61200</v>
      </c>
      <c r="H61" s="143">
        <v>1</v>
      </c>
      <c r="I61" s="104"/>
      <c r="J61" s="102"/>
      <c r="K61" s="102"/>
      <c r="L61" s="102">
        <v>1</v>
      </c>
      <c r="M61" s="31"/>
      <c r="N61" s="94">
        <f t="shared" si="0"/>
        <v>1</v>
      </c>
      <c r="O61" s="32">
        <f t="shared" si="1"/>
        <v>15300</v>
      </c>
    </row>
    <row r="62" spans="1:15">
      <c r="A62" s="259" t="s">
        <v>85</v>
      </c>
      <c r="B62" s="14" t="s">
        <v>86</v>
      </c>
      <c r="C62" s="51" t="s">
        <v>87</v>
      </c>
      <c r="D62" s="14" t="s">
        <v>6</v>
      </c>
      <c r="E62" s="65">
        <v>11000</v>
      </c>
      <c r="F62" s="16">
        <v>10</v>
      </c>
      <c r="G62" s="53">
        <v>110000</v>
      </c>
      <c r="H62" s="121">
        <v>18</v>
      </c>
      <c r="I62" s="107">
        <v>2</v>
      </c>
      <c r="J62" s="99">
        <v>6</v>
      </c>
      <c r="K62" s="99">
        <v>16</v>
      </c>
      <c r="L62" s="99">
        <v>6</v>
      </c>
      <c r="M62" s="21"/>
      <c r="N62" s="91">
        <f t="shared" si="0"/>
        <v>30</v>
      </c>
      <c r="O62" s="22">
        <f t="shared" si="1"/>
        <v>330000</v>
      </c>
    </row>
    <row r="63" spans="1:15" ht="17.25" thickBot="1">
      <c r="A63" s="261"/>
      <c r="B63" s="48" t="s">
        <v>88</v>
      </c>
      <c r="C63" s="48" t="s">
        <v>87</v>
      </c>
      <c r="D63" s="48" t="s">
        <v>6</v>
      </c>
      <c r="E63" s="55">
        <v>19000</v>
      </c>
      <c r="F63" s="56">
        <v>10</v>
      </c>
      <c r="G63" s="76">
        <v>190000</v>
      </c>
      <c r="H63" s="142">
        <v>3</v>
      </c>
      <c r="I63" s="114"/>
      <c r="J63" s="109"/>
      <c r="K63" s="109"/>
      <c r="L63" s="109"/>
      <c r="M63" s="61"/>
      <c r="N63" s="94">
        <f t="shared" si="0"/>
        <v>0</v>
      </c>
      <c r="O63" s="49">
        <f t="shared" si="1"/>
        <v>0</v>
      </c>
    </row>
    <row r="64" spans="1:15">
      <c r="A64" s="233" t="s">
        <v>89</v>
      </c>
      <c r="B64" s="14" t="s">
        <v>90</v>
      </c>
      <c r="C64" s="14" t="s">
        <v>91</v>
      </c>
      <c r="D64" s="14" t="s">
        <v>92</v>
      </c>
      <c r="E64" s="15">
        <v>4000</v>
      </c>
      <c r="F64" s="16">
        <v>1</v>
      </c>
      <c r="G64" s="53">
        <v>4000</v>
      </c>
      <c r="H64" s="121">
        <v>1.08</v>
      </c>
      <c r="I64" s="98"/>
      <c r="J64" s="99"/>
      <c r="K64" s="99"/>
      <c r="L64" s="99"/>
      <c r="M64" s="21"/>
      <c r="N64" s="95">
        <f t="shared" si="0"/>
        <v>0</v>
      </c>
      <c r="O64" s="97">
        <f t="shared" si="1"/>
        <v>0</v>
      </c>
    </row>
    <row r="65" spans="1:15">
      <c r="A65" s="234"/>
      <c r="B65" s="34" t="s">
        <v>93</v>
      </c>
      <c r="C65" s="34" t="s">
        <v>91</v>
      </c>
      <c r="D65" s="34" t="s">
        <v>92</v>
      </c>
      <c r="E65" s="35">
        <v>4000</v>
      </c>
      <c r="F65" s="36">
        <v>1</v>
      </c>
      <c r="G65" s="37">
        <v>4000</v>
      </c>
      <c r="H65" s="119">
        <v>0.13</v>
      </c>
      <c r="I65" s="104"/>
      <c r="J65" s="105"/>
      <c r="K65" s="105"/>
      <c r="L65" s="105"/>
      <c r="M65" s="41"/>
      <c r="N65" s="92">
        <f t="shared" si="0"/>
        <v>0</v>
      </c>
      <c r="O65" s="42">
        <f t="shared" si="1"/>
        <v>0</v>
      </c>
    </row>
    <row r="66" spans="1:15">
      <c r="A66" s="234"/>
      <c r="B66" s="34" t="s">
        <v>94</v>
      </c>
      <c r="C66" s="34" t="s">
        <v>91</v>
      </c>
      <c r="D66" s="34" t="s">
        <v>92</v>
      </c>
      <c r="E66" s="35">
        <v>4000</v>
      </c>
      <c r="F66" s="36">
        <v>1</v>
      </c>
      <c r="G66" s="37">
        <v>4000</v>
      </c>
      <c r="H66" s="119">
        <v>0.13</v>
      </c>
      <c r="I66" s="104"/>
      <c r="J66" s="105"/>
      <c r="K66" s="105"/>
      <c r="L66" s="105"/>
      <c r="M66" s="41"/>
      <c r="N66" s="92">
        <f t="shared" si="0"/>
        <v>0</v>
      </c>
      <c r="O66" s="42">
        <f t="shared" si="1"/>
        <v>0</v>
      </c>
    </row>
    <row r="67" spans="1:15" ht="17.25" thickBot="1">
      <c r="A67" s="235"/>
      <c r="B67" s="48" t="s">
        <v>95</v>
      </c>
      <c r="C67" s="48" t="s">
        <v>91</v>
      </c>
      <c r="D67" s="48" t="s">
        <v>92</v>
      </c>
      <c r="E67" s="55">
        <v>4300</v>
      </c>
      <c r="F67" s="56">
        <v>1</v>
      </c>
      <c r="G67" s="57">
        <v>4300</v>
      </c>
      <c r="H67" s="142">
        <v>1.02</v>
      </c>
      <c r="I67" s="108"/>
      <c r="J67" s="109"/>
      <c r="K67" s="109"/>
      <c r="L67" s="109"/>
      <c r="M67" s="61"/>
      <c r="N67" s="94">
        <f t="shared" si="0"/>
        <v>0</v>
      </c>
      <c r="O67" s="49">
        <f t="shared" si="1"/>
        <v>0</v>
      </c>
    </row>
    <row r="68" spans="1:15" ht="17.25" thickBot="1">
      <c r="A68" s="63"/>
      <c r="B68" s="63"/>
      <c r="C68" s="63"/>
      <c r="D68" s="63"/>
      <c r="E68" s="63">
        <f>SUM(E5:E67)</f>
        <v>282692.21499999997</v>
      </c>
      <c r="F68" s="111">
        <f t="shared" ref="F68:O68" si="2">SUM(F5:F67)</f>
        <v>76613</v>
      </c>
      <c r="G68" s="111">
        <f t="shared" si="2"/>
        <v>3062970</v>
      </c>
      <c r="H68" s="111">
        <f t="shared" si="2"/>
        <v>10996.359999999999</v>
      </c>
      <c r="I68" s="111">
        <f t="shared" si="2"/>
        <v>6</v>
      </c>
      <c r="J68" s="111">
        <f t="shared" si="2"/>
        <v>3615</v>
      </c>
      <c r="K68" s="111"/>
      <c r="L68" s="111">
        <f t="shared" si="2"/>
        <v>3526</v>
      </c>
      <c r="M68" s="111">
        <f t="shared" si="2"/>
        <v>0</v>
      </c>
      <c r="N68" s="199">
        <f t="shared" si="2"/>
        <v>9388</v>
      </c>
      <c r="O68" s="198">
        <f t="shared" si="2"/>
        <v>997850</v>
      </c>
    </row>
  </sheetData>
  <mergeCells count="7">
    <mergeCell ref="A64:A67"/>
    <mergeCell ref="A1:O2"/>
    <mergeCell ref="A40:A41"/>
    <mergeCell ref="A42:A51"/>
    <mergeCell ref="A52:A61"/>
    <mergeCell ref="A62:A63"/>
    <mergeCell ref="A5:A39"/>
  </mergeCells>
  <phoneticPr fontId="18" type="noConversion"/>
  <pageMargins left="0.7" right="0.7" top="0.75" bottom="0.75" header="0.3" footer="0.3"/>
  <pageSetup paperSize="9" orientation="portrait" r:id="rId1"/>
  <ignoredErrors>
    <ignoredError sqref="N40:O67 N5:O31 N33:O37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"/>
  <sheetViews>
    <sheetView zoomScaleNormal="100" workbookViewId="0">
      <selection activeCell="R6" sqref="R6"/>
    </sheetView>
  </sheetViews>
  <sheetFormatPr defaultRowHeight="16.5"/>
  <sheetData>
    <row r="1" spans="1:1">
      <c r="A1" t="s">
        <v>162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2024-03-27T00:51:04Z</cp:lastPrinted>
  <dcterms:created xsi:type="dcterms:W3CDTF">2023-09-22T00:54:38Z</dcterms:created>
  <dcterms:modified xsi:type="dcterms:W3CDTF">2024-04-03T04:43:21Z</dcterms:modified>
</cp:coreProperties>
</file>