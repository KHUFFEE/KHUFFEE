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F:\카페쿠피\"/>
    </mc:Choice>
  </mc:AlternateContent>
  <xr:revisionPtr revIDLastSave="0" documentId="13_ncr:1_{40B82D0B-6789-473A-B93D-A199C7F7162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연간메뉴 판매 현황" sheetId="1" r:id="rId1"/>
    <sheet name="메뉴판매요약" sheetId="3" r:id="rId2"/>
    <sheet name="판매량 DATA" sheetId="2" r:id="rId3"/>
    <sheet name="인사이트" sheetId="4" r:id="rId4"/>
  </sheets>
  <definedNames>
    <definedName name="_xlnm._FilterDatabase" localSheetId="1" hidden="1">메뉴판매요약!$A$4:$F$4</definedName>
    <definedName name="_xlnm._FilterDatabase" localSheetId="0" hidden="1">'연간메뉴 판매 현황'!$A$3:$G$260</definedName>
  </definedNames>
  <calcPr calcId="191029"/>
</workbook>
</file>

<file path=xl/calcChain.xml><?xml version="1.0" encoding="utf-8"?>
<calcChain xmlns="http://schemas.openxmlformats.org/spreadsheetml/2006/main">
  <c r="E12" i="1" l="1"/>
  <c r="E14" i="3"/>
  <c r="F6" i="3" s="1"/>
  <c r="F15" i="1"/>
  <c r="E310" i="2"/>
  <c r="E309" i="2"/>
  <c r="E308" i="2"/>
  <c r="E307" i="2"/>
  <c r="E306" i="2"/>
  <c r="E305" i="2"/>
  <c r="E304" i="2"/>
  <c r="E303" i="2"/>
  <c r="F302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F278" i="2"/>
  <c r="E278" i="2"/>
  <c r="E277" i="2"/>
  <c r="E276" i="2"/>
  <c r="E275" i="2"/>
  <c r="E274" i="2"/>
  <c r="E273" i="2"/>
  <c r="E272" i="2"/>
  <c r="E271" i="2"/>
  <c r="E270" i="2"/>
  <c r="F269" i="2"/>
  <c r="E269" i="2"/>
  <c r="E268" i="2"/>
  <c r="E267" i="2"/>
  <c r="E266" i="2"/>
  <c r="E265" i="2"/>
  <c r="E264" i="2"/>
  <c r="F263" i="2"/>
  <c r="E263" i="2"/>
  <c r="E262" i="2"/>
  <c r="E261" i="2"/>
  <c r="E260" i="2"/>
  <c r="E259" i="2"/>
  <c r="E258" i="2"/>
  <c r="E257" i="2"/>
  <c r="E256" i="2"/>
  <c r="F255" i="2"/>
  <c r="E255" i="2"/>
  <c r="E254" i="2"/>
  <c r="E253" i="2"/>
  <c r="F252" i="2"/>
  <c r="E252" i="2"/>
  <c r="E251" i="2"/>
  <c r="E250" i="2"/>
  <c r="E249" i="2"/>
  <c r="E248" i="2"/>
  <c r="E247" i="2"/>
  <c r="E246" i="2"/>
  <c r="E245" i="2"/>
  <c r="E244" i="2"/>
  <c r="E243" i="2"/>
  <c r="E242" i="2"/>
  <c r="F241" i="2"/>
  <c r="E241" i="2"/>
  <c r="E240" i="2"/>
  <c r="E239" i="2"/>
  <c r="E238" i="2"/>
  <c r="E237" i="2"/>
  <c r="E236" i="2"/>
  <c r="E235" i="2"/>
  <c r="E234" i="2"/>
  <c r="E233" i="2"/>
  <c r="F232" i="2"/>
  <c r="E232" i="2"/>
  <c r="E231" i="2"/>
  <c r="F230" i="2"/>
  <c r="E230" i="2"/>
  <c r="E229" i="2"/>
  <c r="F228" i="2"/>
  <c r="E228" i="2"/>
  <c r="F227" i="2"/>
  <c r="E227" i="2"/>
  <c r="E226" i="2"/>
  <c r="E225" i="2"/>
  <c r="E224" i="2"/>
  <c r="E223" i="2"/>
  <c r="E222" i="2"/>
  <c r="E221" i="2"/>
  <c r="F220" i="2"/>
  <c r="E220" i="2"/>
  <c r="E219" i="2"/>
  <c r="E218" i="2"/>
  <c r="E217" i="2"/>
  <c r="F216" i="2"/>
  <c r="E216" i="2"/>
  <c r="E215" i="2"/>
  <c r="E214" i="2"/>
  <c r="F213" i="2"/>
  <c r="E213" i="2"/>
  <c r="E212" i="2"/>
  <c r="F211" i="2"/>
  <c r="E211" i="2"/>
  <c r="E210" i="2"/>
  <c r="E209" i="2"/>
  <c r="F208" i="2"/>
  <c r="E208" i="2"/>
  <c r="F207" i="2"/>
  <c r="E207" i="2"/>
  <c r="E206" i="2"/>
  <c r="E205" i="2"/>
  <c r="F204" i="2"/>
  <c r="E204" i="2"/>
  <c r="E203" i="2"/>
  <c r="E202" i="2"/>
  <c r="F201" i="2"/>
  <c r="E201" i="2"/>
  <c r="F200" i="2"/>
  <c r="E200" i="2"/>
  <c r="E199" i="2"/>
  <c r="E198" i="2"/>
  <c r="F197" i="2"/>
  <c r="E197" i="2"/>
  <c r="F196" i="2"/>
  <c r="E196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E188" i="2"/>
  <c r="E187" i="2"/>
  <c r="F186" i="2"/>
  <c r="E186" i="2"/>
  <c r="E185" i="2"/>
  <c r="E184" i="2"/>
  <c r="F183" i="2"/>
  <c r="E183" i="2"/>
  <c r="E182" i="2"/>
  <c r="F181" i="2"/>
  <c r="E181" i="2"/>
  <c r="E180" i="2"/>
  <c r="E179" i="2"/>
  <c r="F178" i="2"/>
  <c r="E178" i="2"/>
  <c r="F177" i="2"/>
  <c r="E177" i="2"/>
  <c r="F176" i="2"/>
  <c r="E176" i="2"/>
  <c r="F175" i="2"/>
  <c r="E175" i="2"/>
  <c r="E174" i="2"/>
  <c r="E173" i="2"/>
  <c r="F172" i="2"/>
  <c r="E172" i="2"/>
  <c r="F171" i="2"/>
  <c r="E171" i="2"/>
  <c r="F170" i="2"/>
  <c r="E170" i="2"/>
  <c r="F169" i="2"/>
  <c r="E169" i="2"/>
  <c r="E168" i="2"/>
  <c r="E167" i="2"/>
  <c r="F166" i="2"/>
  <c r="E166" i="2"/>
  <c r="E165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E153" i="2"/>
  <c r="F152" i="2"/>
  <c r="E152" i="2"/>
  <c r="F151" i="2"/>
  <c r="E151" i="2"/>
  <c r="F150" i="2"/>
  <c r="E150" i="2"/>
  <c r="F149" i="2"/>
  <c r="E149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E141" i="2"/>
  <c r="F140" i="2"/>
  <c r="E140" i="2"/>
  <c r="F139" i="2"/>
  <c r="E139" i="2"/>
  <c r="E138" i="2"/>
  <c r="E137" i="2"/>
  <c r="F136" i="2"/>
  <c r="E136" i="2"/>
  <c r="F135" i="2"/>
  <c r="E135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E126" i="2"/>
  <c r="F125" i="2"/>
  <c r="E125" i="2"/>
  <c r="F124" i="2"/>
  <c r="E124" i="2"/>
  <c r="F123" i="2"/>
  <c r="E123" i="2"/>
  <c r="E122" i="2"/>
  <c r="F121" i="2"/>
  <c r="E121" i="2"/>
  <c r="F120" i="2"/>
  <c r="E120" i="2"/>
  <c r="F119" i="2"/>
  <c r="E119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E109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E85" i="2"/>
  <c r="F84" i="2"/>
  <c r="E84" i="2"/>
  <c r="F83" i="2"/>
  <c r="E83" i="2"/>
  <c r="F82" i="2"/>
  <c r="E82" i="2"/>
  <c r="F81" i="2"/>
  <c r="E81" i="2"/>
  <c r="E80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E36" i="2"/>
  <c r="E35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F36" i="1"/>
  <c r="F24" i="1"/>
  <c r="F14" i="3" l="1"/>
  <c r="F8" i="3"/>
  <c r="F11" i="3"/>
  <c r="F5" i="3"/>
  <c r="F9" i="3"/>
  <c r="F12" i="3"/>
  <c r="F13" i="3"/>
  <c r="F10" i="3"/>
  <c r="F7" i="3"/>
  <c r="E61" i="1" l="1"/>
  <c r="E184" i="1"/>
  <c r="F184" i="1"/>
  <c r="E209" i="1"/>
  <c r="F209" i="1"/>
  <c r="E16" i="1"/>
  <c r="F16" i="1"/>
  <c r="E240" i="1"/>
  <c r="E173" i="1"/>
  <c r="E162" i="1"/>
  <c r="E256" i="1"/>
  <c r="F256" i="1"/>
  <c r="E220" i="1"/>
  <c r="E260" i="1"/>
  <c r="E257" i="1"/>
  <c r="E232" i="1"/>
  <c r="F232" i="1"/>
  <c r="E159" i="1"/>
  <c r="F159" i="1"/>
  <c r="E259" i="1"/>
  <c r="E163" i="1"/>
  <c r="F163" i="1"/>
  <c r="E38" i="1"/>
  <c r="F38" i="1"/>
  <c r="E65" i="1"/>
  <c r="F65" i="1"/>
  <c r="E135" i="1"/>
  <c r="E168" i="1"/>
  <c r="E41" i="1"/>
  <c r="F41" i="1"/>
  <c r="E14" i="1"/>
  <c r="F14" i="1"/>
  <c r="E123" i="1"/>
  <c r="F123" i="1"/>
  <c r="E55" i="1"/>
  <c r="F55" i="1"/>
  <c r="E6" i="1"/>
  <c r="F6" i="1"/>
  <c r="E47" i="1"/>
  <c r="F47" i="1"/>
  <c r="E45" i="1"/>
  <c r="F45" i="1"/>
  <c r="E202" i="1"/>
  <c r="E212" i="1"/>
  <c r="E31" i="1"/>
  <c r="F31" i="1"/>
  <c r="E17" i="1"/>
  <c r="F17" i="1"/>
  <c r="E203" i="1"/>
  <c r="E181" i="1"/>
  <c r="E92" i="1"/>
  <c r="F92" i="1"/>
  <c r="E70" i="1"/>
  <c r="F70" i="1"/>
  <c r="E35" i="1"/>
  <c r="F35" i="1"/>
  <c r="E170" i="1"/>
  <c r="E190" i="1"/>
  <c r="E68" i="1"/>
  <c r="F68" i="1"/>
  <c r="E39" i="1"/>
  <c r="F39" i="1"/>
  <c r="E108" i="1"/>
  <c r="F108" i="1"/>
  <c r="E60" i="1"/>
  <c r="F60" i="1"/>
  <c r="E252" i="1"/>
  <c r="E236" i="1"/>
  <c r="E248" i="1"/>
  <c r="E235" i="1"/>
  <c r="E183" i="1"/>
  <c r="E218" i="1"/>
  <c r="E249" i="1"/>
  <c r="E233" i="1"/>
  <c r="E200" i="1"/>
  <c r="E229" i="1"/>
  <c r="E228" i="1"/>
  <c r="E197" i="1"/>
  <c r="E250" i="1"/>
  <c r="E133" i="1"/>
  <c r="F133" i="1"/>
  <c r="E207" i="1"/>
  <c r="E88" i="1"/>
  <c r="F88" i="1"/>
  <c r="E121" i="1"/>
  <c r="F121" i="1"/>
  <c r="E13" i="1"/>
  <c r="F13" i="1"/>
  <c r="E125" i="1"/>
  <c r="F125" i="1"/>
  <c r="E84" i="1"/>
  <c r="F84" i="1"/>
  <c r="E216" i="1"/>
  <c r="E165" i="1"/>
  <c r="F165" i="1"/>
  <c r="E131" i="1"/>
  <c r="F131" i="1"/>
  <c r="E211" i="1"/>
  <c r="E122" i="1"/>
  <c r="F122" i="1"/>
  <c r="E140" i="1"/>
  <c r="F140" i="1"/>
  <c r="E93" i="1"/>
  <c r="F93" i="1"/>
  <c r="E56" i="1"/>
  <c r="F56" i="1"/>
  <c r="E57" i="1"/>
  <c r="F57" i="1"/>
  <c r="E19" i="1"/>
  <c r="F19" i="1"/>
  <c r="E185" i="1"/>
  <c r="F185" i="1"/>
  <c r="E72" i="1"/>
  <c r="F72" i="1"/>
  <c r="E15" i="1"/>
  <c r="E53" i="1"/>
  <c r="F53" i="1"/>
  <c r="E189" i="1"/>
  <c r="F189" i="1"/>
  <c r="E78" i="1"/>
  <c r="F78" i="1"/>
  <c r="E75" i="1"/>
  <c r="F75" i="1"/>
  <c r="E77" i="1"/>
  <c r="F77" i="1"/>
  <c r="E112" i="1"/>
  <c r="F112" i="1"/>
  <c r="E130" i="1"/>
  <c r="E217" i="1"/>
  <c r="F217" i="1"/>
  <c r="E206" i="1"/>
  <c r="F206" i="1"/>
  <c r="E124" i="1"/>
  <c r="F124" i="1"/>
  <c r="E98" i="1"/>
  <c r="F98" i="1"/>
  <c r="E90" i="1"/>
  <c r="F90" i="1"/>
  <c r="E95" i="1"/>
  <c r="F95" i="1"/>
  <c r="E116" i="1"/>
  <c r="F116" i="1"/>
  <c r="E102" i="1"/>
  <c r="F102" i="1"/>
  <c r="E20" i="1"/>
  <c r="F20" i="1"/>
  <c r="E33" i="1"/>
  <c r="F33" i="1"/>
  <c r="E214" i="1"/>
  <c r="E27" i="1"/>
  <c r="F27" i="1"/>
  <c r="E32" i="1"/>
  <c r="F32" i="1"/>
  <c r="E54" i="1"/>
  <c r="F54" i="1"/>
  <c r="E44" i="1"/>
  <c r="F44" i="1"/>
  <c r="E43" i="1"/>
  <c r="F43" i="1"/>
  <c r="E58" i="1"/>
  <c r="F58" i="1"/>
  <c r="E94" i="1"/>
  <c r="F94" i="1"/>
  <c r="E48" i="1"/>
  <c r="F48" i="1"/>
  <c r="E83" i="1"/>
  <c r="F83" i="1"/>
  <c r="E101" i="1"/>
  <c r="F101" i="1"/>
  <c r="E71" i="1"/>
  <c r="F71" i="1"/>
  <c r="E97" i="1"/>
  <c r="F97" i="1"/>
  <c r="E46" i="1"/>
  <c r="F46" i="1"/>
  <c r="E36" i="1"/>
  <c r="E69" i="1"/>
  <c r="F69" i="1"/>
  <c r="E51" i="1"/>
  <c r="F51" i="1"/>
  <c r="E238" i="1"/>
  <c r="E244" i="1"/>
  <c r="E230" i="1"/>
  <c r="E234" i="1"/>
  <c r="E237" i="1"/>
  <c r="E245" i="1"/>
  <c r="E221" i="1"/>
  <c r="E86" i="1"/>
  <c r="F86" i="1"/>
  <c r="E105" i="1"/>
  <c r="F105" i="1"/>
  <c r="E109" i="1"/>
  <c r="F109" i="1"/>
  <c r="E106" i="1"/>
  <c r="F106" i="1"/>
  <c r="E137" i="1"/>
  <c r="F137" i="1"/>
  <c r="E111" i="1"/>
  <c r="F111" i="1"/>
  <c r="E118" i="1"/>
  <c r="F118" i="1"/>
  <c r="E145" i="1"/>
  <c r="F145" i="1"/>
  <c r="E169" i="1"/>
  <c r="F169" i="1"/>
  <c r="E139" i="1"/>
  <c r="F139" i="1"/>
  <c r="E155" i="1"/>
  <c r="F155" i="1"/>
  <c r="E171" i="1"/>
  <c r="F171" i="1"/>
  <c r="E158" i="1"/>
  <c r="F158" i="1"/>
  <c r="E187" i="1"/>
  <c r="F187" i="1"/>
  <c r="E120" i="1"/>
  <c r="F120" i="1"/>
  <c r="E113" i="1"/>
  <c r="F113" i="1"/>
  <c r="E143" i="1"/>
  <c r="F143" i="1"/>
  <c r="E128" i="1"/>
  <c r="F128" i="1"/>
  <c r="E23" i="1"/>
  <c r="F23" i="1"/>
  <c r="E80" i="1"/>
  <c r="F80" i="1"/>
  <c r="E76" i="1"/>
  <c r="F76" i="1"/>
  <c r="E34" i="1"/>
  <c r="F34" i="1"/>
  <c r="E49" i="1"/>
  <c r="F49" i="1"/>
  <c r="E29" i="1"/>
  <c r="F29" i="1"/>
  <c r="E253" i="1"/>
  <c r="E246" i="1"/>
  <c r="E107" i="1"/>
  <c r="F107" i="1"/>
  <c r="E161" i="1"/>
  <c r="F161" i="1"/>
  <c r="E151" i="1"/>
  <c r="F151" i="1"/>
  <c r="E138" i="1"/>
  <c r="F138" i="1"/>
  <c r="E148" i="1"/>
  <c r="F148" i="1"/>
  <c r="E104" i="1"/>
  <c r="F104" i="1"/>
  <c r="E136" i="1"/>
  <c r="E96" i="1"/>
  <c r="E192" i="1"/>
  <c r="E73" i="1"/>
  <c r="E188" i="1"/>
  <c r="E241" i="1"/>
  <c r="E50" i="1"/>
  <c r="E142" i="1"/>
  <c r="E150" i="1"/>
  <c r="E179" i="1"/>
  <c r="E243" i="1"/>
  <c r="E239" i="1"/>
  <c r="E149" i="1"/>
  <c r="E242" i="1"/>
  <c r="E210" i="1"/>
  <c r="E144" i="1"/>
  <c r="E177" i="1"/>
  <c r="E129" i="1"/>
  <c r="E127" i="1"/>
  <c r="E146" i="1"/>
  <c r="E100" i="1"/>
  <c r="E193" i="1"/>
  <c r="E141" i="1"/>
  <c r="E110" i="1"/>
  <c r="E194" i="1"/>
  <c r="E103" i="1"/>
  <c r="E180" i="1"/>
  <c r="E167" i="1"/>
  <c r="E182" i="1"/>
  <c r="E157" i="1"/>
  <c r="E213" i="1"/>
  <c r="E176" i="1"/>
  <c r="E205" i="1"/>
  <c r="E126" i="1"/>
  <c r="E99" i="1"/>
  <c r="E198" i="1"/>
  <c r="E199" i="1"/>
  <c r="E258" i="1"/>
  <c r="E26" i="1"/>
  <c r="F26" i="1"/>
  <c r="E82" i="1"/>
  <c r="F82" i="1"/>
  <c r="E67" i="1"/>
  <c r="F67" i="1"/>
  <c r="E64" i="1"/>
  <c r="F64" i="1"/>
  <c r="E87" i="1"/>
  <c r="F87" i="1"/>
  <c r="E134" i="1"/>
  <c r="F134" i="1"/>
  <c r="E52" i="1"/>
  <c r="F52" i="1"/>
  <c r="E117" i="1"/>
  <c r="F117" i="1"/>
  <c r="E89" i="1"/>
  <c r="F89" i="1"/>
  <c r="E119" i="1"/>
  <c r="F119" i="1"/>
  <c r="E42" i="1"/>
  <c r="F42" i="1"/>
  <c r="E85" i="1"/>
  <c r="F85" i="1"/>
  <c r="E30" i="1"/>
  <c r="F30" i="1"/>
  <c r="E59" i="1"/>
  <c r="F59" i="1"/>
  <c r="E63" i="1"/>
  <c r="F63" i="1"/>
  <c r="E66" i="1"/>
  <c r="F66" i="1"/>
  <c r="E196" i="1"/>
  <c r="E254" i="1"/>
  <c r="E225" i="1"/>
  <c r="E226" i="1"/>
  <c r="E204" i="1"/>
  <c r="E201" i="1"/>
  <c r="E219" i="1"/>
  <c r="E178" i="1"/>
  <c r="F178" i="1"/>
  <c r="E156" i="1"/>
  <c r="F156" i="1"/>
  <c r="E153" i="1"/>
  <c r="F153" i="1"/>
  <c r="E174" i="1"/>
  <c r="F174" i="1"/>
  <c r="E195" i="1"/>
  <c r="F195" i="1"/>
  <c r="E166" i="1"/>
  <c r="F166" i="1"/>
  <c r="E154" i="1"/>
  <c r="F154" i="1"/>
  <c r="E160" i="1"/>
  <c r="F160" i="1"/>
  <c r="E152" i="1"/>
  <c r="F152" i="1"/>
  <c r="E91" i="1"/>
  <c r="F91" i="1"/>
  <c r="E227" i="1"/>
  <c r="E11" i="1"/>
  <c r="F11" i="1"/>
  <c r="E9" i="1"/>
  <c r="F9" i="1"/>
  <c r="E7" i="1"/>
  <c r="F7" i="1"/>
  <c r="E4" i="1"/>
  <c r="F4" i="1"/>
  <c r="E175" i="1"/>
  <c r="E223" i="1"/>
  <c r="F223" i="1"/>
  <c r="E74" i="1"/>
  <c r="E18" i="1"/>
  <c r="F18" i="1"/>
  <c r="E79" i="1"/>
  <c r="F79" i="1"/>
  <c r="E10" i="1"/>
  <c r="F10" i="1"/>
  <c r="E8" i="1"/>
  <c r="F8" i="1"/>
  <c r="E40" i="1"/>
  <c r="F40" i="1"/>
  <c r="E28" i="1"/>
  <c r="F28" i="1"/>
  <c r="E25" i="1"/>
  <c r="F25" i="1"/>
  <c r="E37" i="1"/>
  <c r="F37" i="1"/>
  <c r="E21" i="1"/>
  <c r="F21" i="1"/>
  <c r="E247" i="1"/>
  <c r="E172" i="1"/>
  <c r="E186" i="1"/>
  <c r="E115" i="1"/>
  <c r="E147" i="1"/>
  <c r="E231" i="1"/>
  <c r="E222" i="1"/>
  <c r="E255" i="1"/>
  <c r="E164" i="1"/>
  <c r="E191" i="1"/>
  <c r="E208" i="1"/>
  <c r="E215" i="1"/>
  <c r="E224" i="1"/>
  <c r="E251" i="1"/>
  <c r="E132" i="1"/>
  <c r="F132" i="1"/>
  <c r="E22" i="1"/>
  <c r="F22" i="1"/>
  <c r="E5" i="1"/>
  <c r="F5" i="1"/>
  <c r="E62" i="1"/>
  <c r="F62" i="1"/>
  <c r="E24" i="1"/>
  <c r="E114" i="1"/>
  <c r="F114" i="1"/>
  <c r="E81" i="1"/>
  <c r="F81" i="1"/>
  <c r="F263" i="1" l="1"/>
  <c r="G206" i="1" l="1"/>
  <c r="G4" i="1"/>
  <c r="G232" i="1"/>
  <c r="G58" i="1"/>
  <c r="G169" i="1"/>
  <c r="G138" i="1"/>
  <c r="G59" i="1"/>
  <c r="G152" i="1"/>
  <c r="G51" i="1"/>
  <c r="G65" i="1"/>
  <c r="G60" i="1"/>
  <c r="G56" i="1"/>
  <c r="G124" i="1"/>
  <c r="G69" i="1"/>
  <c r="G81" i="1"/>
  <c r="G68" i="1"/>
  <c r="G98" i="1"/>
  <c r="G223" i="1"/>
  <c r="G75" i="1"/>
  <c r="G43" i="1"/>
  <c r="G46" i="1"/>
  <c r="G145" i="1"/>
  <c r="G113" i="1"/>
  <c r="G29" i="1"/>
  <c r="G26" i="1"/>
  <c r="G89" i="1"/>
  <c r="G11" i="1"/>
  <c r="G40" i="1"/>
  <c r="G5" i="1"/>
  <c r="G13" i="1"/>
  <c r="G133" i="1"/>
  <c r="G77" i="1"/>
  <c r="G48" i="1"/>
  <c r="G109" i="1"/>
  <c r="G155" i="1"/>
  <c r="G76" i="1"/>
  <c r="G104" i="1"/>
  <c r="G117" i="1"/>
  <c r="G66" i="1"/>
  <c r="G79" i="1"/>
  <c r="G22" i="1"/>
  <c r="G209" i="1"/>
  <c r="G84" i="1"/>
  <c r="G174" i="1"/>
  <c r="G184" i="1"/>
  <c r="G41" i="1"/>
  <c r="G31" i="1"/>
  <c r="G121" i="1"/>
  <c r="G19" i="1"/>
  <c r="G90" i="1"/>
  <c r="G178" i="1"/>
  <c r="G256" i="1"/>
  <c r="G88" i="1"/>
  <c r="G33" i="1"/>
  <c r="G159" i="1"/>
  <c r="G112" i="1"/>
  <c r="G94" i="1"/>
  <c r="G105" i="1"/>
  <c r="G139" i="1"/>
  <c r="G128" i="1"/>
  <c r="G107" i="1"/>
  <c r="G67" i="1"/>
  <c r="G42" i="1"/>
  <c r="G7" i="1"/>
  <c r="G25" i="1"/>
  <c r="G38" i="1"/>
  <c r="G57" i="1"/>
  <c r="G78" i="1"/>
  <c r="G86" i="1"/>
  <c r="G143" i="1"/>
  <c r="G134" i="1"/>
  <c r="G37" i="1"/>
  <c r="G114" i="1"/>
  <c r="G131" i="1"/>
  <c r="G101" i="1"/>
  <c r="G158" i="1"/>
  <c r="G82" i="1"/>
  <c r="G9" i="1"/>
  <c r="G55" i="1"/>
  <c r="G160" i="1"/>
  <c r="G123" i="1"/>
  <c r="G72" i="1"/>
  <c r="G195" i="1"/>
  <c r="G156" i="1"/>
  <c r="G27" i="1"/>
  <c r="G171" i="1"/>
  <c r="G151" i="1"/>
  <c r="G30" i="1"/>
  <c r="G21" i="1"/>
  <c r="G23" i="1"/>
  <c r="G12" i="1"/>
  <c r="G225" i="1"/>
  <c r="G200" i="1"/>
  <c r="G172" i="1"/>
  <c r="G144" i="1"/>
  <c r="G237" i="1"/>
  <c r="G192" i="1"/>
  <c r="G149" i="1"/>
  <c r="G201" i="1"/>
  <c r="G136" i="1"/>
  <c r="G181" i="1"/>
  <c r="G252" i="1"/>
  <c r="G220" i="1"/>
  <c r="G191" i="1"/>
  <c r="G110" i="1"/>
  <c r="G202" i="1"/>
  <c r="G247" i="1"/>
  <c r="G231" i="1"/>
  <c r="G211" i="1"/>
  <c r="G199" i="1"/>
  <c r="G186" i="1"/>
  <c r="G127" i="1"/>
  <c r="G50" i="1"/>
  <c r="G74" i="1"/>
  <c r="G258" i="1"/>
  <c r="G242" i="1"/>
  <c r="G226" i="1"/>
  <c r="G210" i="1"/>
  <c r="G99" i="1"/>
  <c r="G227" i="1"/>
  <c r="G61" i="1"/>
  <c r="G224" i="1"/>
  <c r="G180" i="1"/>
  <c r="G214" i="1"/>
  <c r="G229" i="1"/>
  <c r="G197" i="1"/>
  <c r="G126" i="1"/>
  <c r="G249" i="1"/>
  <c r="G244" i="1"/>
  <c r="G175" i="1"/>
  <c r="G259" i="1"/>
  <c r="G243" i="1"/>
  <c r="G228" i="1"/>
  <c r="G194" i="1"/>
  <c r="G182" i="1"/>
  <c r="G183" i="1"/>
  <c r="G100" i="1"/>
  <c r="G15" i="1"/>
  <c r="G254" i="1"/>
  <c r="G238" i="1"/>
  <c r="G222" i="1"/>
  <c r="G150" i="1"/>
  <c r="G146" i="1"/>
  <c r="G216" i="1"/>
  <c r="G257" i="1"/>
  <c r="G248" i="1"/>
  <c r="G215" i="1"/>
  <c r="G36" i="1"/>
  <c r="G253" i="1"/>
  <c r="G221" i="1"/>
  <c r="G177" i="1"/>
  <c r="G162" i="1"/>
  <c r="G203" i="1"/>
  <c r="G233" i="1"/>
  <c r="G167" i="1"/>
  <c r="G96" i="1"/>
  <c r="G236" i="1"/>
  <c r="G204" i="1"/>
  <c r="G168" i="1"/>
  <c r="G255" i="1"/>
  <c r="G239" i="1"/>
  <c r="G213" i="1"/>
  <c r="G193" i="1"/>
  <c r="G179" i="1"/>
  <c r="G164" i="1"/>
  <c r="G212" i="1"/>
  <c r="G250" i="1"/>
  <c r="G234" i="1"/>
  <c r="G218" i="1"/>
  <c r="G157" i="1"/>
  <c r="G129" i="1"/>
  <c r="G130" i="1"/>
  <c r="G73" i="1"/>
  <c r="G241" i="1"/>
  <c r="G173" i="1"/>
  <c r="G240" i="1"/>
  <c r="G208" i="1"/>
  <c r="G245" i="1"/>
  <c r="G205" i="1"/>
  <c r="G103" i="1"/>
  <c r="G135" i="1"/>
  <c r="G260" i="1"/>
  <c r="G196" i="1"/>
  <c r="G188" i="1"/>
  <c r="G147" i="1"/>
  <c r="G207" i="1"/>
  <c r="G141" i="1"/>
  <c r="G170" i="1"/>
  <c r="G235" i="1"/>
  <c r="G219" i="1"/>
  <c r="G190" i="1"/>
  <c r="G230" i="1"/>
  <c r="G24" i="1"/>
  <c r="G251" i="1"/>
  <c r="G176" i="1"/>
  <c r="G198" i="1"/>
  <c r="G142" i="1"/>
  <c r="G115" i="1"/>
  <c r="G246" i="1"/>
  <c r="G108" i="1"/>
  <c r="G45" i="1"/>
  <c r="G32" i="1"/>
  <c r="G137" i="1"/>
  <c r="G49" i="1"/>
  <c r="G119" i="1"/>
  <c r="G8" i="1"/>
  <c r="G62" i="1"/>
  <c r="G93" i="1"/>
  <c r="G16" i="1"/>
  <c r="G70" i="1"/>
  <c r="G125" i="1"/>
  <c r="G116" i="1"/>
  <c r="G14" i="1"/>
  <c r="G122" i="1"/>
  <c r="G165" i="1"/>
  <c r="G83" i="1"/>
  <c r="G106" i="1"/>
  <c r="G80" i="1"/>
  <c r="G87" i="1"/>
  <c r="G18" i="1"/>
  <c r="G47" i="1"/>
  <c r="G53" i="1"/>
  <c r="G44" i="1"/>
  <c r="G97" i="1"/>
  <c r="G118" i="1"/>
  <c r="G120" i="1"/>
  <c r="G161" i="1"/>
  <c r="G64" i="1"/>
  <c r="G85" i="1"/>
  <c r="G28" i="1"/>
  <c r="G153" i="1"/>
  <c r="G17" i="1"/>
  <c r="G102" i="1"/>
  <c r="G91" i="1"/>
  <c r="G163" i="1"/>
  <c r="G6" i="1"/>
  <c r="G39" i="1"/>
  <c r="G140" i="1"/>
  <c r="G217" i="1"/>
  <c r="G20" i="1"/>
  <c r="G154" i="1"/>
  <c r="G92" i="1"/>
  <c r="G185" i="1"/>
  <c r="G166" i="1"/>
  <c r="G189" i="1"/>
  <c r="G54" i="1"/>
  <c r="G71" i="1"/>
  <c r="G111" i="1"/>
  <c r="G187" i="1"/>
  <c r="G34" i="1"/>
  <c r="G148" i="1"/>
  <c r="G52" i="1"/>
  <c r="G63" i="1"/>
  <c r="G10" i="1"/>
  <c r="G132" i="1"/>
  <c r="G35" i="1"/>
  <c r="G95" i="1"/>
  <c r="G263" i="1" l="1"/>
</calcChain>
</file>

<file path=xl/sharedStrings.xml><?xml version="1.0" encoding="utf-8"?>
<sst xmlns="http://schemas.openxmlformats.org/spreadsheetml/2006/main" count="1397" uniqueCount="390">
  <si>
    <t>M딸기요거트스무디</t>
  </si>
  <si>
    <t>L홍차라떼(HOT)</t>
  </si>
  <si>
    <t>L홍차라떼(ICE)</t>
  </si>
  <si>
    <t>L흑당밀크티(HOT)</t>
  </si>
  <si>
    <t>M고구마라떼(HOT)</t>
  </si>
  <si>
    <t>L흑당밀크티(ICE)</t>
  </si>
  <si>
    <t>12000원선불쿠폰</t>
  </si>
  <si>
    <t>L고구마라떼(HOT)</t>
  </si>
  <si>
    <t>L고구마라떼(ICE)</t>
  </si>
  <si>
    <t>7500원선불쿠폰</t>
  </si>
  <si>
    <t>L딸기요거트스무디</t>
  </si>
  <si>
    <t>L녹차라떼(HOT)</t>
  </si>
  <si>
    <t>L녹차라떼(ICE)</t>
  </si>
  <si>
    <t>L레몬요거트스무디</t>
  </si>
  <si>
    <t>L레몬차(HOT)</t>
  </si>
  <si>
    <t>L레몬차(ICE)</t>
  </si>
  <si>
    <t>L망고요거트스무디</t>
  </si>
  <si>
    <t>L민트모카(HOT)</t>
  </si>
  <si>
    <t>L바닐라라떼(HOT)</t>
  </si>
  <si>
    <t>L민트모카(ICE)</t>
  </si>
  <si>
    <t>L복숭아아이스티</t>
  </si>
  <si>
    <t>L바닐라라떼(ICE)</t>
  </si>
  <si>
    <t>L블루베리스무디</t>
  </si>
  <si>
    <t>L블루베리요거트스무디</t>
  </si>
  <si>
    <t>L아메리카노(ICE)</t>
  </si>
  <si>
    <t>L에스프레소(HOT)</t>
  </si>
  <si>
    <t>L아메리카노(HOT)</t>
  </si>
  <si>
    <t>L오곡라떼(HOT)</t>
  </si>
  <si>
    <t>L오곡라떼(ICE)</t>
  </si>
  <si>
    <t>L에스프레소(ICE)</t>
  </si>
  <si>
    <t>L우유(ICE)</t>
  </si>
  <si>
    <t>L우유(HOT)</t>
  </si>
  <si>
    <t>L자두요거트스무디</t>
  </si>
  <si>
    <t>L자몽차(HOT)</t>
  </si>
  <si>
    <t>L자몽차(ICE)</t>
  </si>
  <si>
    <t>L자몽홍차(HOT)</t>
  </si>
  <si>
    <t>L자몽홍차(ICE)</t>
  </si>
  <si>
    <t>L청귤차(HOT)</t>
  </si>
  <si>
    <t>L청귤차(ICE)</t>
  </si>
  <si>
    <t>L초코라떼(HOT)</t>
  </si>
  <si>
    <t>L초코라떼(ICE)</t>
  </si>
  <si>
    <t>L카페라떼(HOT)</t>
  </si>
  <si>
    <t>L카페라떼(ICE)</t>
  </si>
  <si>
    <t>L카모마일(HOT)</t>
  </si>
  <si>
    <t>L카모마일(ICE)</t>
  </si>
  <si>
    <t>L카페모카(ICE)</t>
  </si>
  <si>
    <t>L카페모카(HOT)</t>
  </si>
  <si>
    <t>L카푸치노(HOT)</t>
  </si>
  <si>
    <t>L쿠키앤크림프라페</t>
  </si>
  <si>
    <t>L토피넛라떼(HOT)</t>
  </si>
  <si>
    <t>L토피넛라떼(ICE)</t>
  </si>
  <si>
    <t>L크림소다스무디</t>
  </si>
  <si>
    <t>L플레인요거트스무디</t>
  </si>
  <si>
    <t>L페퍼민트(HOT)</t>
  </si>
  <si>
    <t>L페퍼민트(ICE)</t>
  </si>
  <si>
    <t>수량</t>
  </si>
  <si>
    <t>소분류</t>
  </si>
  <si>
    <t>판매가</t>
  </si>
  <si>
    <t>스무디</t>
  </si>
  <si>
    <t>에이드</t>
  </si>
  <si>
    <t>이벤트</t>
  </si>
  <si>
    <t>논커피</t>
  </si>
  <si>
    <t>차</t>
  </si>
  <si>
    <t>커피</t>
  </si>
  <si>
    <t>디저트</t>
  </si>
  <si>
    <t>달게</t>
  </si>
  <si>
    <t>뜨겁게</t>
  </si>
  <si>
    <t>물적게</t>
  </si>
  <si>
    <t>덜달게</t>
  </si>
  <si>
    <t>많이</t>
  </si>
  <si>
    <t>기타</t>
  </si>
  <si>
    <t>병음료</t>
  </si>
  <si>
    <t>삼다수</t>
  </si>
  <si>
    <t>샷추가</t>
  </si>
  <si>
    <t>선결제</t>
  </si>
  <si>
    <t>소금빵</t>
  </si>
  <si>
    <t>얼음컵</t>
  </si>
  <si>
    <t>연하게</t>
  </si>
  <si>
    <t>포장</t>
  </si>
  <si>
    <t>진하게</t>
  </si>
  <si>
    <t>캐리어</t>
  </si>
  <si>
    <t>L루이보스오렌지(HOT)</t>
  </si>
  <si>
    <t>L루이보스오렌지(ICE)</t>
  </si>
  <si>
    <t>L민트초코라떼(ICE)</t>
  </si>
  <si>
    <t>L민트초코라떼(HOT)</t>
  </si>
  <si>
    <t>L잉글리쉬블랙퍼스트(HOT)</t>
  </si>
  <si>
    <t>L잉글리쉬블랙퍼스트(ICE)</t>
  </si>
  <si>
    <t>L카라멜마끼야또(HOT)</t>
  </si>
  <si>
    <t>L카라멜마끼아또(HOT)</t>
  </si>
  <si>
    <t>L카라멜마끼아또(ICE)</t>
  </si>
  <si>
    <t>L헤이즐넛라떼(HOT)</t>
  </si>
  <si>
    <t>L헤이즐넛라떼(ICE)</t>
  </si>
  <si>
    <t>L쿠키앤크림라떼(ICE)</t>
  </si>
  <si>
    <t>L쿠키앤크림라떼(HOT)</t>
  </si>
  <si>
    <t>XL바닐라라떼(ICE)</t>
  </si>
  <si>
    <t>M루이보스오렌지(HOT)</t>
  </si>
  <si>
    <t>M민트초코라떼(ICE)</t>
  </si>
  <si>
    <t>M카라멜마끼아또(HOT)</t>
  </si>
  <si>
    <t>M카라멜마끼아또(ICE)</t>
  </si>
  <si>
    <t>M카라멜마끼야또(HOT)</t>
  </si>
  <si>
    <t>M헤이즐넛라떼(HOT)</t>
  </si>
  <si>
    <t>M헤이즐넛라떼(ICE)</t>
  </si>
  <si>
    <t>M잉글리쉬블랙퍼스트(HOT)</t>
  </si>
  <si>
    <t>XL블루베리요거트스무디</t>
  </si>
  <si>
    <t>XL루이보스오렌지(ICE)</t>
  </si>
  <si>
    <t>XL고구마라떼(ICE)</t>
  </si>
  <si>
    <t>XL민트초코라떼(ICE)</t>
  </si>
  <si>
    <t>XL카라멜마끼아또(ICE)</t>
  </si>
  <si>
    <t>XL아메리카노(ICE)</t>
  </si>
  <si>
    <t>XL쿠키앤크림라떼(ICE)</t>
  </si>
  <si>
    <t>XL헤이즐넛라떼(ICE)</t>
  </si>
  <si>
    <t>XL크림소다라떼(ICE)</t>
  </si>
  <si>
    <t>XL토피넛라떼(ICE)</t>
  </si>
  <si>
    <t>금액권(10,000원권)</t>
  </si>
  <si>
    <t>다크크랜베리미니쿠키(이벤트)</t>
  </si>
  <si>
    <t>경희고)5000원후불쿠폰</t>
  </si>
  <si>
    <t>XL흑당밀크티(ICE)</t>
  </si>
  <si>
    <t>경희고)10000원선불쿠폰</t>
  </si>
  <si>
    <t>블루베리베이글&amp;크림치즈</t>
  </si>
  <si>
    <t>사르르버터미니쿠키(이벤트)</t>
  </si>
  <si>
    <t>이벤트다크크랜베리미니쿠키</t>
  </si>
  <si>
    <t>이벤트L카페라떼(ICE)</t>
  </si>
  <si>
    <t>이벤트L복숭아아이스티행사</t>
  </si>
  <si>
    <t>이벤트L아메리카노(HOT)</t>
  </si>
  <si>
    <t>이벤트L아메리카노(ICE)</t>
  </si>
  <si>
    <t>이벤트L아이스아메리카노</t>
  </si>
  <si>
    <t>이벤트(HOT)아메리카노</t>
  </si>
  <si>
    <t>이벤트L카페라떼(HOT)</t>
  </si>
  <si>
    <t>이벤트(ICE)아메리카노</t>
  </si>
  <si>
    <t>이벤트사르르버터미니쿠키</t>
  </si>
  <si>
    <t>M녹차라떼(HOT)</t>
  </si>
  <si>
    <t>M녹차라떼(ICE)</t>
  </si>
  <si>
    <t>아이스컵(2,700)</t>
  </si>
  <si>
    <t>아이스컵(3,300)</t>
  </si>
  <si>
    <t>아이스컵(3,500)</t>
  </si>
  <si>
    <t>어니언베이글&amp;크림치즈</t>
  </si>
  <si>
    <t>M레몬차(HOT)</t>
  </si>
  <si>
    <t>M망고요거트스무디</t>
  </si>
  <si>
    <t>M레몬차(ICE)</t>
  </si>
  <si>
    <t>M바닐라라떼(HOT)</t>
  </si>
  <si>
    <t>M민트모카(ICE)</t>
  </si>
  <si>
    <t>M민트모카(HOT)</t>
  </si>
  <si>
    <t>M아메리카노(HOT)</t>
  </si>
  <si>
    <t>M바닐라라떼(ICE)</t>
  </si>
  <si>
    <t>M복숭아아이스티</t>
  </si>
  <si>
    <t>M블루베리스무디</t>
  </si>
  <si>
    <t>M블루베리요거트스무디</t>
  </si>
  <si>
    <t>M아메리카노(ICE)</t>
  </si>
  <si>
    <t>M오곡라떼(HOT)</t>
  </si>
  <si>
    <t>M오곡라떼(ICE)</t>
  </si>
  <si>
    <t>M우유(HOT)</t>
  </si>
  <si>
    <t>M초코라떼(ICE)</t>
  </si>
  <si>
    <t>M초코라떼(HOT)</t>
  </si>
  <si>
    <t>M청귤차(HOT)</t>
  </si>
  <si>
    <t>M카모마일(HOT)</t>
  </si>
  <si>
    <t>M카페라떼(HOT)</t>
  </si>
  <si>
    <t>M카페라떼(ICE)</t>
  </si>
  <si>
    <t>M페퍼민트(HOT)</t>
  </si>
  <si>
    <t>M카푸치노(HOT)</t>
  </si>
  <si>
    <t>M토피넛라떼(HOT)</t>
  </si>
  <si>
    <t>M카페모카(HOT)</t>
  </si>
  <si>
    <t>M플레인요거트스무디</t>
  </si>
  <si>
    <t>M홍차라떼(HOT)</t>
  </si>
  <si>
    <t>M홍차라떼(ICE)</t>
  </si>
  <si>
    <t>XL녹차라떼(ICE)</t>
  </si>
  <si>
    <t>XL딸기요거트스무디</t>
  </si>
  <si>
    <t>XL레몬요거트스무디</t>
  </si>
  <si>
    <t>XL망고요거트스무디</t>
  </si>
  <si>
    <t>XL민트모카(ICE)</t>
  </si>
  <si>
    <t>XL복숭아아이스티</t>
  </si>
  <si>
    <t>XL블루베리스무디</t>
  </si>
  <si>
    <t>XL오곡라떼(ICE)</t>
  </si>
  <si>
    <t>XL자두요거트스무디</t>
  </si>
  <si>
    <t>XL자몽차(ICE)</t>
  </si>
  <si>
    <t>XL자몽홍차(ICE)</t>
  </si>
  <si>
    <t>XL초코라떼(ICE)</t>
  </si>
  <si>
    <t>XL청포도스무디</t>
  </si>
  <si>
    <t>XL청포도에이드</t>
  </si>
  <si>
    <t>XL카페라떼(ICE)</t>
  </si>
  <si>
    <t>XL카모마일(ICE)</t>
  </si>
  <si>
    <t>XL쿠키앤크림프라페</t>
  </si>
  <si>
    <t>XL카페모카(ICE)</t>
  </si>
  <si>
    <t>XL페퍼민트(ICE)</t>
  </si>
  <si>
    <t>XL크림소다스무디</t>
  </si>
  <si>
    <t>XL플레인요거트스무디</t>
  </si>
  <si>
    <t>XL홍차라떼(ICE)</t>
  </si>
  <si>
    <t>경희고)체육대회후결제</t>
  </si>
  <si>
    <t>경희고)스승의날후결제</t>
  </si>
  <si>
    <t>대만샌드위치(햄치즈)</t>
  </si>
  <si>
    <t>다크크랜베리미니쿠키</t>
  </si>
  <si>
    <t>베이커리+음료같이준비</t>
  </si>
  <si>
    <t>브라우니미니쿠키</t>
  </si>
  <si>
    <t>사르르버터미니쿠키</t>
  </si>
  <si>
    <t>L망고스무디</t>
  </si>
  <si>
    <t>L딸기스무디</t>
  </si>
  <si>
    <t>L레몬에이드</t>
  </si>
  <si>
    <t>L레몬스무디</t>
  </si>
  <si>
    <t>NET매출</t>
  </si>
  <si>
    <t>XL자두에이드</t>
  </si>
  <si>
    <t>XL초코프라페</t>
  </si>
  <si>
    <t>L수박에이드</t>
  </si>
  <si>
    <t>L오곡프라페</t>
  </si>
  <si>
    <t>L청귤스무디</t>
  </si>
  <si>
    <t>M레몬에이드</t>
  </si>
  <si>
    <t>L청귤에이드</t>
  </si>
  <si>
    <t>L청포도스무디</t>
  </si>
  <si>
    <t>L자몽에이드</t>
  </si>
  <si>
    <t>XL자몽에이드</t>
  </si>
  <si>
    <t>XL수박스무디</t>
  </si>
  <si>
    <t>XL자몽스무디</t>
  </si>
  <si>
    <t>XL수박에이드</t>
  </si>
  <si>
    <t>XL청귤스무디</t>
  </si>
  <si>
    <t>L자몽스무디</t>
  </si>
  <si>
    <t>M청포도에이드</t>
  </si>
  <si>
    <t>L자두스무디</t>
  </si>
  <si>
    <t>XL망고스무디</t>
  </si>
  <si>
    <t>M망고스무디</t>
  </si>
  <si>
    <t>L초코프라페</t>
  </si>
  <si>
    <t>XL자두스무디</t>
  </si>
  <si>
    <t>M딸기스무디</t>
  </si>
  <si>
    <t>XL딸기스무디</t>
  </si>
  <si>
    <t>XL레몬에이드</t>
  </si>
  <si>
    <t>XL청귤에이드</t>
  </si>
  <si>
    <t>XL오곡프라페</t>
  </si>
  <si>
    <t>L자두에이드</t>
  </si>
  <si>
    <t>L청포도에이드</t>
  </si>
  <si>
    <t>크로크무슈</t>
  </si>
  <si>
    <t>콤부차(석류)</t>
  </si>
  <si>
    <t>시나몬파우더X</t>
  </si>
  <si>
    <t>슈가시럽</t>
  </si>
  <si>
    <t>선불쿠폰</t>
  </si>
  <si>
    <t>시나몬파우더O</t>
  </si>
  <si>
    <t>매장용잔</t>
  </si>
  <si>
    <t>디카페인변경</t>
  </si>
  <si>
    <t>드리즐많이</t>
  </si>
  <si>
    <t>경희중추가결제</t>
  </si>
  <si>
    <t>블루베리베이글</t>
  </si>
  <si>
    <t>얼음많이</t>
  </si>
  <si>
    <t>이벤트+샷추가</t>
  </si>
  <si>
    <t>얼음적게</t>
  </si>
  <si>
    <t>크림치즈</t>
  </si>
  <si>
    <t>텀블러할인</t>
  </si>
  <si>
    <t>어니언베이글</t>
  </si>
  <si>
    <t>현금영수증</t>
  </si>
  <si>
    <t>플레인베이글</t>
  </si>
  <si>
    <t>바닐라시럽추가</t>
  </si>
  <si>
    <t>얼음없이</t>
  </si>
  <si>
    <t>덜뜨겁게</t>
  </si>
  <si>
    <t>디카페인샷추가</t>
  </si>
  <si>
    <t>시나몬추가</t>
  </si>
  <si>
    <t>검은깨미니쿠키</t>
  </si>
  <si>
    <t>이벤트할인</t>
  </si>
  <si>
    <t>우유적게</t>
  </si>
  <si>
    <t>음료먼저</t>
  </si>
  <si>
    <t>일회용잔</t>
  </si>
  <si>
    <t>얼음컵(300)</t>
  </si>
  <si>
    <t>얼음컵(500)</t>
  </si>
  <si>
    <t>오트밀레이즌미니쿠키</t>
  </si>
  <si>
    <t>옥수수크런치미니쿠키</t>
  </si>
  <si>
    <t>유자브라우니미니쿠키</t>
  </si>
  <si>
    <t>음료+디저트할인</t>
  </si>
  <si>
    <t>이벤트L레몬에이드</t>
  </si>
  <si>
    <t>이벤트L복숭아아이스티</t>
  </si>
  <si>
    <t>이벤트L수박스무디</t>
  </si>
  <si>
    <t>이벤트L자두스무디</t>
  </si>
  <si>
    <t>이벤트L수박에이드</t>
  </si>
  <si>
    <t>이벤트L자몽에이드</t>
  </si>
  <si>
    <t>이벤트L자두에이드</t>
  </si>
  <si>
    <t>이벤트L자몽스무디</t>
  </si>
  <si>
    <t>이벤트L청포도스무디</t>
  </si>
  <si>
    <t>이벤트XL아샷추</t>
  </si>
  <si>
    <t>이벤트L청포도에이드</t>
  </si>
  <si>
    <t>이벤트L핫아메리카노</t>
  </si>
  <si>
    <t>이벤트XL아샷추행사</t>
  </si>
  <si>
    <t>일회용잔(300)</t>
  </si>
  <si>
    <t>카페쿠피블랜드원두</t>
  </si>
  <si>
    <t>종이컵(300)</t>
  </si>
  <si>
    <t>콤부차(오리지날)</t>
  </si>
  <si>
    <t>콤부차(진저레몬)</t>
  </si>
  <si>
    <t>플레인베이글&amp;크림치즈</t>
  </si>
  <si>
    <t>헤이즐넛시럽추가</t>
  </si>
  <si>
    <t>피넛버터미니쿠키</t>
  </si>
  <si>
    <t>상품명</t>
    <phoneticPr fontId="3" type="noConversion"/>
  </si>
  <si>
    <t>L공주밤라떼(HOT)</t>
    <phoneticPr fontId="3" type="noConversion"/>
  </si>
  <si>
    <t>L공주밤라떼(ICE)</t>
    <phoneticPr fontId="3" type="noConversion"/>
  </si>
  <si>
    <t>논커피</t>
    <phoneticPr fontId="3" type="noConversion"/>
  </si>
  <si>
    <t>L크림소다라떼(ICE)</t>
    <phoneticPr fontId="3" type="noConversion"/>
  </si>
  <si>
    <t>L피스타치오라떼(HOT)</t>
  </si>
  <si>
    <t>L피스타치오라떼(ICE)</t>
  </si>
  <si>
    <t>XL공주밤라떼(ICE)</t>
    <phoneticPr fontId="3" type="noConversion"/>
  </si>
  <si>
    <t>논커피</t>
    <phoneticPr fontId="3" type="noConversion"/>
  </si>
  <si>
    <t>XL피스타치오라떼(ICE)</t>
    <phoneticPr fontId="3" type="noConversion"/>
  </si>
  <si>
    <t>논커피</t>
    <phoneticPr fontId="3" type="noConversion"/>
  </si>
  <si>
    <t>L수박스무디</t>
    <phoneticPr fontId="3" type="noConversion"/>
  </si>
  <si>
    <t>(이벤트)L복숭아아이스티</t>
  </si>
  <si>
    <t>(이벤트)L아메리카노(HOT)</t>
  </si>
  <si>
    <t>(이벤트)L아메리카노(ICE)</t>
  </si>
  <si>
    <t>(이벤트)XL복숭아아이스티</t>
  </si>
  <si>
    <t>(이벤트)XL아메리카노(ICE)</t>
  </si>
  <si>
    <t>상품권10000</t>
  </si>
  <si>
    <t>상품권5000</t>
  </si>
  <si>
    <t>선불결제</t>
  </si>
  <si>
    <t>XL레몬차(ICE)</t>
    <phoneticPr fontId="3" type="noConversion"/>
  </si>
  <si>
    <t>XL청귤차(ICE)</t>
    <phoneticPr fontId="3" type="noConversion"/>
  </si>
  <si>
    <t>XL잉글리쉬블랙퍼스트(ICE)</t>
    <phoneticPr fontId="3" type="noConversion"/>
  </si>
  <si>
    <t>-</t>
  </si>
  <si>
    <t>*2024년 초 M사이즈 판매 종료(의대, 선승, 기숙사)</t>
    <phoneticPr fontId="3" type="noConversion"/>
  </si>
  <si>
    <t>순위</t>
    <phoneticPr fontId="3" type="noConversion"/>
  </si>
  <si>
    <t>점유율</t>
    <phoneticPr fontId="3" type="noConversion"/>
  </si>
  <si>
    <t>2024년 카페쿠피 ITEM별 (사이즈 구분) 판매 순위</t>
    <phoneticPr fontId="3" type="noConversion"/>
  </si>
  <si>
    <t>M 음료</t>
    <phoneticPr fontId="3" type="noConversion"/>
  </si>
  <si>
    <t>L 음료</t>
    <phoneticPr fontId="3" type="noConversion"/>
  </si>
  <si>
    <t>XL 음료</t>
    <phoneticPr fontId="3" type="noConversion"/>
  </si>
  <si>
    <t xml:space="preserve">병음료, 디저트,기타 </t>
    <phoneticPr fontId="3" type="noConversion"/>
  </si>
  <si>
    <t>이벤트</t>
    <phoneticPr fontId="3" type="noConversion"/>
  </si>
  <si>
    <t>판매량</t>
    <phoneticPr fontId="3" type="noConversion"/>
  </si>
  <si>
    <t>2024년 카페쿠피 카테고리별 ITEM 판매 순위 요약</t>
    <phoneticPr fontId="3" type="noConversion"/>
  </si>
  <si>
    <t>1) 소분류별 점유 요약</t>
    <phoneticPr fontId="3" type="noConversion"/>
  </si>
  <si>
    <t>소분류</t>
    <phoneticPr fontId="3" type="noConversion"/>
  </si>
  <si>
    <t>매출액</t>
    <phoneticPr fontId="3" type="noConversion"/>
  </si>
  <si>
    <t>점유율</t>
    <phoneticPr fontId="3" type="noConversion"/>
  </si>
  <si>
    <t>디저트 합계</t>
    <phoneticPr fontId="3" type="noConversion"/>
  </si>
  <si>
    <t>논커피 합계</t>
    <phoneticPr fontId="3" type="noConversion"/>
  </si>
  <si>
    <t>커피 합계</t>
    <phoneticPr fontId="3" type="noConversion"/>
  </si>
  <si>
    <t>스무디 합계</t>
    <phoneticPr fontId="3" type="noConversion"/>
  </si>
  <si>
    <t>병음료 합계</t>
    <phoneticPr fontId="3" type="noConversion"/>
  </si>
  <si>
    <t>에이드 합계</t>
    <phoneticPr fontId="3" type="noConversion"/>
  </si>
  <si>
    <t>차 합계</t>
    <phoneticPr fontId="3" type="noConversion"/>
  </si>
  <si>
    <t>이벤트 합계</t>
    <phoneticPr fontId="3" type="noConversion"/>
  </si>
  <si>
    <t>기타 합계</t>
    <phoneticPr fontId="3" type="noConversion"/>
  </si>
  <si>
    <t>커피</t>
    <phoneticPr fontId="3" type="noConversion"/>
  </si>
  <si>
    <t>기타</t>
    <phoneticPr fontId="3" type="noConversion"/>
  </si>
  <si>
    <t>병음료</t>
    <phoneticPr fontId="3" type="noConversion"/>
  </si>
  <si>
    <t>디저트</t>
    <phoneticPr fontId="3" type="noConversion"/>
  </si>
  <si>
    <t>에이드</t>
    <phoneticPr fontId="3" type="noConversion"/>
  </si>
  <si>
    <t>스무디</t>
    <phoneticPr fontId="3" type="noConversion"/>
  </si>
  <si>
    <t>이벤트</t>
    <phoneticPr fontId="3" type="noConversion"/>
  </si>
  <si>
    <t>차</t>
    <phoneticPr fontId="3" type="noConversion"/>
  </si>
  <si>
    <t>전체 합계</t>
    <phoneticPr fontId="3" type="noConversion"/>
  </si>
  <si>
    <t>전체순위</t>
    <phoneticPr fontId="3" type="noConversion"/>
  </si>
  <si>
    <t>메뉴명</t>
    <phoneticPr fontId="3" type="noConversion"/>
  </si>
  <si>
    <t>판매가</t>
    <phoneticPr fontId="3" type="noConversion"/>
  </si>
  <si>
    <t>판매량</t>
    <phoneticPr fontId="3" type="noConversion"/>
  </si>
  <si>
    <t>판매 매출</t>
    <phoneticPr fontId="3" type="noConversion"/>
  </si>
  <si>
    <t>전체 점유율</t>
    <phoneticPr fontId="3" type="noConversion"/>
  </si>
  <si>
    <t>2) 소분류별 TOP10  아이템(순위 기재는 전체 순위)</t>
    <phoneticPr fontId="3" type="noConversion"/>
  </si>
  <si>
    <t>-</t>
    <phoneticPr fontId="3" type="noConversion"/>
  </si>
  <si>
    <t>이벤트L복숭아아이스티행사</t>
    <phoneticPr fontId="3" type="noConversion"/>
  </si>
  <si>
    <t>카페쿠피 음료 판매량 분석을 통한 인사이트</t>
  </si>
  <si>
    <t>1. 판매량과 매출 분석</t>
  </si>
  <si>
    <t>1. 주력 제품과 매출 비중</t>
  </si>
  <si>
    <t>**L아메리카노(ICE)**는 전체 매출의 약 28%를 차지하며, 매출과 판매량에서 압도적인 주력 제품임.</t>
  </si>
  <si>
    <r>
      <t>L사이즈</t>
    </r>
    <r>
      <rPr>
        <sz val="11"/>
        <color rgb="FF000000"/>
        <rFont val="맑은 고딕"/>
        <family val="3"/>
        <charset val="129"/>
      </rPr>
      <t xml:space="preserve"> 음료가 대부분의 매출에서 중요한 역할을 차지하고 있어, 고객의 기본 선택이 L사이즈임을 알 수 있음.</t>
    </r>
  </si>
  <si>
    <t>2. XL사이즈 음료의 매출 기여도</t>
  </si>
  <si>
    <t>XL사이즈 음료의 매출 기여도는 낮으나, **XL아메리카노(ICE)**와 같은 몇몇 제품은 고정적인 고객층을 확보하고 있음.</t>
  </si>
  <si>
    <r>
      <t xml:space="preserve">하지만 XL사이즈의 판매 비중(7.34%)이 L사이즈에 비해 매우 낮아, </t>
    </r>
    <r>
      <rPr>
        <b/>
        <sz val="11"/>
        <color rgb="FF000000"/>
        <rFont val="맑은 고딕"/>
        <family val="3"/>
        <charset val="129"/>
      </rPr>
      <t>대용량 음료에 대한 프로모션</t>
    </r>
    <r>
      <rPr>
        <sz val="11"/>
        <color rgb="FF000000"/>
        <rFont val="맑은 고딕"/>
        <family val="3"/>
        <charset val="129"/>
      </rPr>
      <t>이 필요함.</t>
    </r>
  </si>
  <si>
    <t>2. 카테고리별 트렌드</t>
  </si>
  <si>
    <t>1. 커피</t>
  </si>
  <si>
    <t>커피 음료가 전체 매출의 61.8%로, 핵심 매출 동력임.</t>
  </si>
  <si>
    <r>
      <t xml:space="preserve">특히 </t>
    </r>
    <r>
      <rPr>
        <b/>
        <sz val="11"/>
        <color rgb="FF000000"/>
        <rFont val="맑은 고딕"/>
        <family val="3"/>
        <charset val="129"/>
      </rPr>
      <t>아메리카노</t>
    </r>
    <r>
      <rPr>
        <sz val="11"/>
        <color rgb="FF000000"/>
        <rFont val="맑은 고딕"/>
        <family val="3"/>
        <charset val="129"/>
      </rPr>
      <t xml:space="preserve"> 계열의 강세가 두드러지며, **L아메리카노(HOT)**와 **L카페라떼(ICE)**가 그 뒤를 이어 높은 판매량을 기록.</t>
    </r>
  </si>
  <si>
    <t>2. 논커피</t>
  </si>
  <si>
    <r>
      <t xml:space="preserve">논커피 음료의 매출 비중은 15.5%로, 커피 음료에 비해 낮지만, </t>
    </r>
    <r>
      <rPr>
        <b/>
        <sz val="11"/>
        <color rgb="FF000000"/>
        <rFont val="맑은 고딕"/>
        <family val="3"/>
        <charset val="129"/>
      </rPr>
      <t>L복숭아아이스티</t>
    </r>
    <r>
      <rPr>
        <sz val="11"/>
        <color rgb="FF000000"/>
        <rFont val="맑은 고딕"/>
        <family val="3"/>
        <charset val="129"/>
      </rPr>
      <t>와 **L녹차라떼(ICE)**가 꾸준한 인기를 보임.</t>
    </r>
  </si>
  <si>
    <r>
      <t xml:space="preserve">논커피 음료는 여름철 계절 메뉴로 활용 가능성이 높아, </t>
    </r>
    <r>
      <rPr>
        <b/>
        <sz val="11"/>
        <color rgb="FF000000"/>
        <rFont val="맑은 고딕"/>
        <family val="3"/>
        <charset val="129"/>
      </rPr>
      <t>계절적 수요에 맞춘 전략</t>
    </r>
    <r>
      <rPr>
        <sz val="11"/>
        <color rgb="FF000000"/>
        <rFont val="맑은 고딕"/>
        <family val="3"/>
        <charset val="129"/>
      </rPr>
      <t>이 필요.</t>
    </r>
  </si>
  <si>
    <t>3. 스무디</t>
  </si>
  <si>
    <r>
      <t xml:space="preserve">스무디 음료는 매출 비중이 7.4%로, </t>
    </r>
    <r>
      <rPr>
        <b/>
        <sz val="11"/>
        <color rgb="FF000000"/>
        <rFont val="맑은 고딕"/>
        <family val="3"/>
        <charset val="129"/>
      </rPr>
      <t>L딸기스무디</t>
    </r>
    <r>
      <rPr>
        <sz val="11"/>
        <color rgb="FF000000"/>
        <rFont val="맑은 고딕"/>
        <family val="3"/>
        <charset val="129"/>
      </rPr>
      <t xml:space="preserve">와 </t>
    </r>
    <r>
      <rPr>
        <b/>
        <sz val="11"/>
        <color rgb="FF000000"/>
        <rFont val="맑은 고딕"/>
        <family val="3"/>
        <charset val="129"/>
      </rPr>
      <t>L레몬요거트스무디</t>
    </r>
    <r>
      <rPr>
        <sz val="11"/>
        <color rgb="FF000000"/>
        <rFont val="맑은 고딕"/>
        <family val="3"/>
        <charset val="129"/>
      </rPr>
      <t>가 상위권에 자리함.</t>
    </r>
  </si>
  <si>
    <t>스무디는 상대적으로 가격이 높아, 디저트와 함께 세트 프로모션으로 객단가를 높이는 전략이 효과적일 것.</t>
  </si>
  <si>
    <t>4. 차</t>
  </si>
  <si>
    <t>차 음료의 매출 비중은 4.1%로 낮지만, **L레몬차(HOT)**와 **L카모마일(HOT)**이 주요 제품으로 자리잡음.</t>
  </si>
  <si>
    <r>
      <t xml:space="preserve">차 음료는 겨울철 매출 증가가 예상되므로, </t>
    </r>
    <r>
      <rPr>
        <b/>
        <sz val="11"/>
        <color rgb="FF000000"/>
        <rFont val="맑은 고딕"/>
        <family val="3"/>
        <charset val="129"/>
      </rPr>
      <t>겨울철 차 음료 프로모션</t>
    </r>
    <r>
      <rPr>
        <sz val="11"/>
        <color rgb="FF000000"/>
        <rFont val="맑은 고딕"/>
        <family val="3"/>
        <charset val="129"/>
      </rPr>
      <t>을 강화할 필요가 있음.</t>
    </r>
  </si>
  <si>
    <t>5. 디저트</t>
  </si>
  <si>
    <r>
      <t xml:space="preserve">디저트는 전체 매출의 3.9%를 차지하며, </t>
    </r>
    <r>
      <rPr>
        <b/>
        <sz val="11"/>
        <color rgb="FF000000"/>
        <rFont val="맑은 고딕"/>
        <family val="3"/>
        <charset val="129"/>
      </rPr>
      <t>미니쿠키</t>
    </r>
    <r>
      <rPr>
        <sz val="11"/>
        <color rgb="FF000000"/>
        <rFont val="맑은 고딕"/>
        <family val="3"/>
        <charset val="129"/>
      </rPr>
      <t xml:space="preserve"> 제품군이 강세를 보임.</t>
    </r>
  </si>
  <si>
    <r>
      <t xml:space="preserve">음료와의 </t>
    </r>
    <r>
      <rPr>
        <b/>
        <sz val="11"/>
        <color rgb="FF000000"/>
        <rFont val="맑은 고딕"/>
        <family val="3"/>
        <charset val="129"/>
      </rPr>
      <t>세트 프로모션</t>
    </r>
    <r>
      <rPr>
        <sz val="11"/>
        <color rgb="FF000000"/>
        <rFont val="맑은 고딕"/>
        <family val="3"/>
        <charset val="129"/>
      </rPr>
      <t>을 통해 디저트 판매를 활성화할 여지가 있음.</t>
    </r>
  </si>
  <si>
    <t>3. 프로모션 및 개선점</t>
  </si>
  <si>
    <t>1. L사이즈 음료의 지속적인 주력화</t>
  </si>
  <si>
    <r>
      <t xml:space="preserve">현재 고객들은 L사이즈를 기본으로 선호하므로, </t>
    </r>
    <r>
      <rPr>
        <b/>
        <sz val="11"/>
        <color rgb="FF000000"/>
        <rFont val="맑은 고딕"/>
        <family val="3"/>
        <charset val="129"/>
      </rPr>
      <t>L사이즈 중심의 할인 프로모션</t>
    </r>
    <r>
      <rPr>
        <sz val="11"/>
        <color rgb="FF000000"/>
        <rFont val="맑은 고딕"/>
        <family val="3"/>
        <charset val="129"/>
      </rPr>
      <t>을 기획하여 고객 충성도를 유지.</t>
    </r>
  </si>
  <si>
    <t>2. XL사이즈 판매 촉진</t>
  </si>
  <si>
    <t>XL사이즈 음료는 대용량 음료를 선호하는 특정 고객층을 공략해야 함.</t>
  </si>
  <si>
    <t>3. 논커피와 스무디 활성화</t>
  </si>
  <si>
    <t>4. 차 음료의 겨울철 매출 강화</t>
  </si>
  <si>
    <r>
      <t xml:space="preserve">차 음료는 겨울철 선호도가 높을 가능성이 크므로, </t>
    </r>
    <r>
      <rPr>
        <b/>
        <sz val="11"/>
        <color rgb="FF000000"/>
        <rFont val="맑은 고딕"/>
        <family val="3"/>
        <charset val="129"/>
      </rPr>
      <t>따뜻한 차 음료 프로모션</t>
    </r>
    <r>
      <rPr>
        <sz val="11"/>
        <color rgb="FF000000"/>
        <rFont val="맑은 고딕"/>
        <family val="3"/>
        <charset val="129"/>
      </rPr>
      <t>을 통해 매출을 증대.</t>
    </r>
  </si>
  <si>
    <t>5. 디저트와의 연계 판매 강화</t>
  </si>
  <si>
    <t>4. 결론</t>
  </si>
  <si>
    <r>
      <t>L사이즈 음료와 미니쿠키 디저트</t>
    </r>
    <r>
      <rPr>
        <sz val="11"/>
        <color rgb="FF000000"/>
        <rFont val="맑은 고딕"/>
        <family val="3"/>
        <charset val="129"/>
      </rPr>
      <t xml:space="preserve">는 현재의 매출 주력 상품으로, 이를 중심으로 한 </t>
    </r>
    <r>
      <rPr>
        <b/>
        <sz val="11"/>
        <color rgb="FF000000"/>
        <rFont val="맑은 고딕"/>
        <family val="3"/>
        <charset val="129"/>
      </rPr>
      <t>기존 고객 충성도 강화</t>
    </r>
    <r>
      <rPr>
        <sz val="11"/>
        <color rgb="FF000000"/>
        <rFont val="맑은 고딕"/>
        <family val="3"/>
        <charset val="129"/>
      </rPr>
      <t>가 중요.</t>
    </r>
  </si>
  <si>
    <t>**XL사이즈 음료와 계절 메뉴(논커피, 스무디, 차)**는 프로모션을 통해 매출을 확대할 가능성이 큼.</t>
  </si>
  <si>
    <r>
      <t>고객 데이터를 기반으로 한 차별화된 프로모션</t>
    </r>
    <r>
      <rPr>
        <sz val="11"/>
        <color rgb="FF000000"/>
        <rFont val="맑은 고딕"/>
        <family val="3"/>
        <charset val="129"/>
      </rPr>
      <t xml:space="preserve">과 </t>
    </r>
    <r>
      <rPr>
        <b/>
        <sz val="11"/>
        <color rgb="FF000000"/>
        <rFont val="맑은 고딕"/>
        <family val="3"/>
        <charset val="129"/>
      </rPr>
      <t>세트 판매 전략</t>
    </r>
    <r>
      <rPr>
        <sz val="11"/>
        <color rgb="FF000000"/>
        <rFont val="맑은 고딕"/>
        <family val="3"/>
        <charset val="129"/>
      </rPr>
      <t>으로 전체 매출을 더욱 증대시킬 수 있음.</t>
    </r>
  </si>
  <si>
    <t>여름철에 맞춰 **논커피 음료(복숭아아이스티, 녹차라떼 등)**와 스무디를 중심으로 한 계절 한정 프로모션을 기획.</t>
    <phoneticPr fontId="3" type="noConversion"/>
  </si>
  <si>
    <r>
      <t xml:space="preserve">예: </t>
    </r>
    <r>
      <rPr>
        <b/>
        <sz val="11"/>
        <color rgb="FF000000"/>
        <rFont val="맑은 고딕"/>
        <family val="3"/>
        <charset val="129"/>
      </rPr>
      <t>"차 음료 구매 시 샷 추가 무료"</t>
    </r>
    <r>
      <rPr>
        <sz val="11"/>
        <color rgb="FF000000"/>
        <rFont val="맑은 고딕"/>
        <family val="3"/>
        <charset val="129"/>
      </rPr>
      <t>.</t>
    </r>
    <phoneticPr fontId="3" type="noConversion"/>
  </si>
  <si>
    <t>음료와 디저트의 세트 할인 프로모션은 이미 시행 중이므로, 이를 **베이커리 디저트(소금빵, 샌드위치 등)**와 연계하는 전략 필요.</t>
    <phoneticPr fontId="3" type="noConversion"/>
  </si>
  <si>
    <r>
      <t xml:space="preserve">예: </t>
    </r>
    <r>
      <rPr>
        <b/>
        <sz val="11"/>
        <color rgb="FF000000"/>
        <rFont val="맑은 고딕"/>
        <family val="3"/>
        <charset val="129"/>
      </rPr>
      <t>"베이커리 디저트 구매 시 음료 무료 사이즈 업"</t>
    </r>
    <r>
      <rPr>
        <sz val="11"/>
        <color rgb="FF000000"/>
        <rFont val="맑은 고딕"/>
        <family val="3"/>
        <charset val="129"/>
      </rPr>
      <t>.</t>
    </r>
    <phoneticPr fontId="3" type="noConversion"/>
  </si>
  <si>
    <r>
      <t xml:space="preserve">예: </t>
    </r>
    <r>
      <rPr>
        <b/>
        <sz val="11"/>
        <color rgb="FF000000"/>
        <rFont val="맑은 고딕"/>
        <family val="3"/>
        <charset val="129"/>
      </rPr>
      <t>"L사이즈 와 XL사이즈 가격차이를 줄여 XL사이즈 주문을 유도하는</t>
    </r>
    <r>
      <rPr>
        <sz val="11"/>
        <color rgb="FF000000"/>
        <rFont val="맑은 고딕"/>
        <family val="3"/>
        <charset val="129"/>
      </rPr>
      <t xml:space="preserve"> 프로모션.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</si>
</sst>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00%"/>
  </numFmts>
  <fonts count="13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8.25"/>
      <color indexed="8"/>
      <name val="Tahoma"/>
      <family val="2"/>
    </font>
    <font>
      <sz val="8.25"/>
      <color indexed="8"/>
      <name val="Tahoma"/>
      <family val="2"/>
    </font>
    <font>
      <sz val="8.25"/>
      <color rgb="FF000000"/>
      <name val="맑은 고딕"/>
      <family val="3"/>
      <charset val="129"/>
    </font>
    <font>
      <sz val="8.25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3.5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41" fontId="1" fillId="0" borderId="1" xfId="1" applyNumberFormat="1" applyFont="1" applyBorder="1" applyAlignment="1">
      <alignment horizontal="center" vertical="top"/>
    </xf>
    <xf numFmtId="41" fontId="0" fillId="0" borderId="0" xfId="1" applyNumberFormat="1" applyFont="1" applyAlignment="1"/>
    <xf numFmtId="41" fontId="0" fillId="0" borderId="0" xfId="1" applyNumberFormat="1" applyFont="1">
      <alignment vertical="center"/>
    </xf>
    <xf numFmtId="41" fontId="1" fillId="0" borderId="1" xfId="0" applyNumberFormat="1" applyFont="1" applyBorder="1" applyAlignment="1">
      <alignment horizontal="center" vertical="top"/>
    </xf>
    <xf numFmtId="41" fontId="0" fillId="0" borderId="0" xfId="0" applyNumberFormat="1" applyAlignment="1"/>
    <xf numFmtId="41" fontId="0" fillId="0" borderId="0" xfId="0" applyNumberFormat="1">
      <alignment vertical="center"/>
    </xf>
    <xf numFmtId="41" fontId="2" fillId="0" borderId="0" xfId="0" applyNumberFormat="1" applyFont="1" applyAlignment="1"/>
    <xf numFmtId="41" fontId="2" fillId="0" borderId="0" xfId="1" applyNumberFormat="1" applyFont="1" applyAlignme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2" fillId="0" borderId="0" xfId="0" applyFont="1" applyAlignment="1"/>
    <xf numFmtId="3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3" xfId="0" applyBorder="1" applyAlignment="1"/>
    <xf numFmtId="0" fontId="9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4" xfId="0" applyFont="1" applyBorder="1">
      <alignment vertical="center"/>
    </xf>
    <xf numFmtId="41" fontId="1" fillId="0" borderId="1" xfId="1" applyNumberFormat="1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/>
    <xf numFmtId="0" fontId="0" fillId="0" borderId="2" xfId="0" applyBorder="1" applyAlignment="1"/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5" borderId="0" xfId="0" applyFont="1" applyFill="1">
      <alignment vertical="center"/>
    </xf>
    <xf numFmtId="176" fontId="0" fillId="0" borderId="0" xfId="2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41" fontId="0" fillId="0" borderId="0" xfId="1" applyNumberFormat="1" applyFont="1" applyBorder="1">
      <alignment vertical="center"/>
    </xf>
    <xf numFmtId="176" fontId="0" fillId="0" borderId="8" xfId="2" applyNumberFormat="1" applyFont="1" applyBorder="1">
      <alignment vertical="center"/>
    </xf>
    <xf numFmtId="0" fontId="0" fillId="0" borderId="9" xfId="0" applyBorder="1" applyAlignment="1"/>
    <xf numFmtId="0" fontId="0" fillId="0" borderId="6" xfId="0" applyBorder="1" applyAlignment="1"/>
    <xf numFmtId="0" fontId="1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center"/>
    </xf>
    <xf numFmtId="41" fontId="1" fillId="0" borderId="14" xfId="0" applyNumberFormat="1" applyFont="1" applyBorder="1" applyAlignment="1">
      <alignment horizontal="center" vertical="top"/>
    </xf>
    <xf numFmtId="41" fontId="0" fillId="0" borderId="15" xfId="0" applyNumberFormat="1" applyBorder="1" applyAlignment="1"/>
    <xf numFmtId="41" fontId="0" fillId="0" borderId="16" xfId="0" applyNumberFormat="1" applyBorder="1" applyAlignment="1"/>
    <xf numFmtId="3" fontId="0" fillId="0" borderId="16" xfId="0" applyNumberFormat="1" applyBorder="1">
      <alignment vertical="center"/>
    </xf>
    <xf numFmtId="41" fontId="0" fillId="0" borderId="17" xfId="0" applyNumberFormat="1" applyBorder="1" applyAlignment="1"/>
    <xf numFmtId="0" fontId="1" fillId="0" borderId="5" xfId="0" applyFont="1" applyBorder="1" applyAlignment="1">
      <alignment horizontal="center" vertical="top"/>
    </xf>
    <xf numFmtId="41" fontId="1" fillId="0" borderId="21" xfId="0" applyNumberFormat="1" applyFont="1" applyBorder="1" applyAlignment="1">
      <alignment horizontal="center" vertical="top"/>
    </xf>
    <xf numFmtId="41" fontId="2" fillId="0" borderId="22" xfId="0" applyNumberFormat="1" applyFont="1" applyBorder="1" applyAlignment="1"/>
    <xf numFmtId="41" fontId="2" fillId="0" borderId="23" xfId="0" applyNumberFormat="1" applyFont="1" applyBorder="1" applyAlignment="1"/>
    <xf numFmtId="176" fontId="1" fillId="0" borderId="13" xfId="2" applyNumberFormat="1" applyFont="1" applyFill="1" applyBorder="1" applyAlignment="1">
      <alignment horizontal="center" vertical="top"/>
    </xf>
    <xf numFmtId="176" fontId="0" fillId="0" borderId="24" xfId="2" applyNumberFormat="1" applyFont="1" applyBorder="1">
      <alignment vertical="center"/>
    </xf>
    <xf numFmtId="176" fontId="0" fillId="0" borderId="25" xfId="2" applyNumberFormat="1" applyFont="1" applyBorder="1">
      <alignment vertical="center"/>
    </xf>
    <xf numFmtId="41" fontId="1" fillId="0" borderId="5" xfId="1" applyNumberFormat="1" applyFont="1" applyBorder="1" applyAlignment="1">
      <alignment horizontal="center" vertical="top"/>
    </xf>
    <xf numFmtId="41" fontId="2" fillId="0" borderId="19" xfId="1" applyNumberFormat="1" applyFont="1" applyBorder="1" applyAlignment="1"/>
    <xf numFmtId="41" fontId="0" fillId="0" borderId="20" xfId="1" applyNumberFormat="1" applyFont="1" applyBorder="1" applyAlignment="1"/>
    <xf numFmtId="0" fontId="0" fillId="5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0" fillId="0" borderId="0" xfId="2" applyNumberFormat="1" applyFont="1">
      <alignment vertical="center"/>
    </xf>
    <xf numFmtId="10" fontId="0" fillId="0" borderId="24" xfId="2" applyNumberFormat="1" applyFont="1" applyBorder="1">
      <alignment vertical="center"/>
    </xf>
    <xf numFmtId="10" fontId="0" fillId="0" borderId="27" xfId="2" applyNumberFormat="1" applyFont="1" applyBorder="1">
      <alignment vertical="center"/>
    </xf>
    <xf numFmtId="10" fontId="0" fillId="0" borderId="28" xfId="2" applyNumberFormat="1" applyFont="1" applyBorder="1">
      <alignment vertical="center"/>
    </xf>
    <xf numFmtId="41" fontId="0" fillId="0" borderId="19" xfId="1" applyNumberFormat="1" applyFont="1" applyBorder="1">
      <alignment vertical="center"/>
    </xf>
    <xf numFmtId="41" fontId="0" fillId="0" borderId="29" xfId="0" applyNumberFormat="1" applyBorder="1">
      <alignment vertical="center"/>
    </xf>
    <xf numFmtId="41" fontId="0" fillId="0" borderId="30" xfId="0" applyNumberFormat="1" applyBorder="1">
      <alignment vertical="center"/>
    </xf>
    <xf numFmtId="0" fontId="0" fillId="0" borderId="0" xfId="0" applyAlignment="1">
      <alignment horizontal="center"/>
    </xf>
    <xf numFmtId="41" fontId="2" fillId="0" borderId="0" xfId="1" applyNumberFormat="1" applyFont="1" applyBorder="1" applyAlignment="1"/>
    <xf numFmtId="10" fontId="0" fillId="0" borderId="0" xfId="2" applyNumberFormat="1" applyFont="1" applyBorder="1">
      <alignment vertical="center"/>
    </xf>
    <xf numFmtId="41" fontId="0" fillId="0" borderId="0" xfId="1" applyNumberFormat="1" applyFont="1" applyBorder="1" applyAlignment="1"/>
    <xf numFmtId="41" fontId="0" fillId="0" borderId="0" xfId="1" applyNumberFormat="1" applyFont="1" applyFill="1" applyBorder="1" applyAlignment="1"/>
    <xf numFmtId="176" fontId="0" fillId="0" borderId="0" xfId="2" applyNumberFormat="1" applyFont="1" applyFill="1" applyBorder="1">
      <alignment vertical="center"/>
    </xf>
    <xf numFmtId="3" fontId="2" fillId="0" borderId="16" xfId="0" applyNumberFormat="1" applyFont="1" applyBorder="1" applyAlignment="1">
      <alignment horizontal="right" vertical="center"/>
    </xf>
    <xf numFmtId="41" fontId="0" fillId="0" borderId="31" xfId="2" applyNumberFormat="1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10" fontId="1" fillId="0" borderId="13" xfId="2" applyNumberFormat="1" applyFont="1" applyBorder="1" applyAlignment="1">
      <alignment horizontal="center" vertical="center"/>
    </xf>
    <xf numFmtId="41" fontId="1" fillId="0" borderId="5" xfId="0" applyNumberFormat="1" applyFont="1" applyBorder="1">
      <alignment vertical="center"/>
    </xf>
    <xf numFmtId="9" fontId="1" fillId="0" borderId="13" xfId="2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41" fontId="0" fillId="0" borderId="0" xfId="0" applyNumberFormat="1" applyBorder="1" applyAlignment="1"/>
    <xf numFmtId="41" fontId="2" fillId="0" borderId="0" xfId="0" applyNumberFormat="1" applyFont="1" applyBorder="1" applyAlignment="1"/>
    <xf numFmtId="0" fontId="0" fillId="0" borderId="39" xfId="0" applyBorder="1" applyAlignment="1">
      <alignment horizontal="center" vertical="center"/>
    </xf>
    <xf numFmtId="176" fontId="0" fillId="0" borderId="40" xfId="2" applyNumberFormat="1" applyFont="1" applyBorder="1">
      <alignment vertical="center"/>
    </xf>
    <xf numFmtId="10" fontId="2" fillId="0" borderId="13" xfId="2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41" xfId="0" applyBorder="1" applyAlignment="1">
      <alignment horizontal="center"/>
    </xf>
    <xf numFmtId="41" fontId="0" fillId="0" borderId="31" xfId="0" applyNumberFormat="1" applyBorder="1" applyAlignment="1"/>
    <xf numFmtId="41" fontId="0" fillId="0" borderId="41" xfId="0" applyNumberFormat="1" applyBorder="1" applyAlignment="1"/>
    <xf numFmtId="41" fontId="2" fillId="0" borderId="31" xfId="0" applyNumberFormat="1" applyFont="1" applyBorder="1" applyAlignment="1"/>
    <xf numFmtId="41" fontId="2" fillId="0" borderId="41" xfId="0" applyNumberFormat="1" applyFont="1" applyBorder="1" applyAlignment="1"/>
    <xf numFmtId="41" fontId="2" fillId="0" borderId="31" xfId="1" applyNumberFormat="1" applyFont="1" applyBorder="1" applyAlignment="1"/>
    <xf numFmtId="41" fontId="2" fillId="0" borderId="41" xfId="1" applyNumberFormat="1" applyFont="1" applyBorder="1" applyAlignment="1"/>
    <xf numFmtId="0" fontId="8" fillId="0" borderId="31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>
      <alignment vertical="center"/>
    </xf>
    <xf numFmtId="0" fontId="2" fillId="0" borderId="41" xfId="0" applyFont="1" applyBorder="1" applyAlignment="1">
      <alignment horizontal="center"/>
    </xf>
    <xf numFmtId="3" fontId="2" fillId="0" borderId="31" xfId="0" applyNumberFormat="1" applyFont="1" applyBorder="1" applyAlignment="1">
      <alignment horizontal="right" vertical="center"/>
    </xf>
    <xf numFmtId="3" fontId="0" fillId="0" borderId="31" xfId="0" applyNumberFormat="1" applyBorder="1">
      <alignment vertical="center"/>
    </xf>
    <xf numFmtId="41" fontId="0" fillId="0" borderId="31" xfId="0" applyNumberFormat="1" applyBorder="1">
      <alignment vertical="center"/>
    </xf>
    <xf numFmtId="41" fontId="0" fillId="0" borderId="31" xfId="1" applyNumberFormat="1" applyFont="1" applyBorder="1">
      <alignment vertical="center"/>
    </xf>
    <xf numFmtId="41" fontId="0" fillId="0" borderId="31" xfId="1" applyNumberFormat="1" applyFont="1" applyBorder="1" applyAlignment="1"/>
    <xf numFmtId="41" fontId="0" fillId="0" borderId="41" xfId="1" applyNumberFormat="1" applyFont="1" applyBorder="1" applyAlignment="1"/>
    <xf numFmtId="0" fontId="1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3" fontId="0" fillId="0" borderId="0" xfId="0" applyNumberFormat="1" applyFill="1" applyBorder="1">
      <alignment vertical="center"/>
    </xf>
    <xf numFmtId="41" fontId="0" fillId="0" borderId="0" xfId="0" applyNumberFormat="1" applyFill="1" applyBorder="1">
      <alignment vertical="center"/>
    </xf>
    <xf numFmtId="41" fontId="0" fillId="0" borderId="0" xfId="1" applyNumberFormat="1" applyFont="1" applyFill="1" applyBorder="1">
      <alignment vertical="center"/>
    </xf>
    <xf numFmtId="41" fontId="0" fillId="0" borderId="0" xfId="0" applyNumberFormat="1" applyFill="1" applyBorder="1" applyAlignment="1"/>
    <xf numFmtId="0" fontId="0" fillId="0" borderId="0" xfId="0" applyFill="1" applyBorder="1" applyAlignment="1"/>
    <xf numFmtId="176" fontId="0" fillId="0" borderId="0" xfId="0" applyNumberFormat="1" applyFill="1" applyBorder="1">
      <alignment vertical="center"/>
    </xf>
    <xf numFmtId="0" fontId="0" fillId="0" borderId="0" xfId="0" applyBorder="1">
      <alignment vertical="center"/>
    </xf>
    <xf numFmtId="9" fontId="2" fillId="0" borderId="0" xfId="2" applyFont="1" applyBorder="1">
      <alignment vertical="center"/>
    </xf>
    <xf numFmtId="0" fontId="0" fillId="0" borderId="0" xfId="0" applyBorder="1" applyAlignment="1"/>
    <xf numFmtId="0" fontId="0" fillId="0" borderId="36" xfId="0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41" fontId="2" fillId="0" borderId="42" xfId="0" applyNumberFormat="1" applyFont="1" applyBorder="1" applyAlignment="1"/>
    <xf numFmtId="41" fontId="2" fillId="0" borderId="29" xfId="1" applyNumberFormat="1" applyFont="1" applyBorder="1" applyAlignment="1"/>
    <xf numFmtId="176" fontId="0" fillId="0" borderId="27" xfId="2" applyNumberFormat="1" applyFont="1" applyBorder="1">
      <alignment vertical="center"/>
    </xf>
    <xf numFmtId="0" fontId="0" fillId="5" borderId="29" xfId="0" applyFill="1" applyBorder="1" applyAlignment="1">
      <alignment horizontal="center"/>
    </xf>
    <xf numFmtId="0" fontId="0" fillId="3" borderId="29" xfId="0" applyFill="1" applyBorder="1" applyAlignment="1">
      <alignment horizontal="center" vertical="center"/>
    </xf>
    <xf numFmtId="41" fontId="0" fillId="0" borderId="42" xfId="0" applyNumberFormat="1" applyBorder="1">
      <alignment vertical="center"/>
    </xf>
    <xf numFmtId="41" fontId="0" fillId="0" borderId="29" xfId="1" applyNumberFormat="1" applyFont="1" applyBorder="1">
      <alignment vertical="center"/>
    </xf>
    <xf numFmtId="0" fontId="0" fillId="6" borderId="29" xfId="0" applyFill="1" applyBorder="1" applyAlignment="1">
      <alignment horizontal="center"/>
    </xf>
    <xf numFmtId="0" fontId="8" fillId="5" borderId="29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41" fontId="0" fillId="0" borderId="29" xfId="1" applyNumberFormat="1" applyFont="1" applyBorder="1" applyAlignment="1"/>
    <xf numFmtId="41" fontId="0" fillId="0" borderId="42" xfId="0" applyNumberFormat="1" applyBorder="1" applyAlignment="1"/>
    <xf numFmtId="0" fontId="0" fillId="3" borderId="29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8" fillId="5" borderId="29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</cellXfs>
  <cellStyles count="3">
    <cellStyle name="백분율" xfId="2" builtinId="5"/>
    <cellStyle name="통화 [0]" xfId="1" builtinId="7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79"/>
  <sheetViews>
    <sheetView tabSelected="1" zoomScale="85" zoomScaleNormal="85" zoomScaleSheetLayoutView="75" workbookViewId="0">
      <selection sqref="A1:G1"/>
    </sheetView>
  </sheetViews>
  <sheetFormatPr defaultColWidth="9.125" defaultRowHeight="16.5" x14ac:dyDescent="0.3"/>
  <cols>
    <col min="1" max="1" width="6.5" style="26" customWidth="1"/>
    <col min="2" max="2" width="23.5" style="26" customWidth="1"/>
    <col min="3" max="3" width="9.375" style="8" bestFit="1" customWidth="1"/>
    <col min="5" max="5" width="8.75" style="8" customWidth="1"/>
    <col min="6" max="6" width="21.5" style="5" customWidth="1"/>
    <col min="7" max="7" width="9.125" style="36" customWidth="1"/>
    <col min="9" max="9" width="23.5" customWidth="1"/>
    <col min="11" max="11" width="9.125" customWidth="1"/>
    <col min="13" max="13" width="11.375" customWidth="1"/>
    <col min="14" max="14" width="9.125" customWidth="1"/>
    <col min="15" max="15" width="16.875" customWidth="1"/>
    <col min="18" max="19" width="9.125" customWidth="1"/>
    <col min="21" max="23" width="9.125" customWidth="1"/>
  </cols>
  <sheetData>
    <row r="1" spans="1:23" ht="21" thickBot="1" x14ac:dyDescent="0.35">
      <c r="A1" s="164" t="s">
        <v>309</v>
      </c>
      <c r="B1" s="165"/>
      <c r="C1" s="165"/>
      <c r="D1" s="165"/>
      <c r="E1" s="165"/>
      <c r="F1" s="165"/>
      <c r="G1" s="166"/>
    </row>
    <row r="2" spans="1:23" ht="17.25" thickBot="1" x14ac:dyDescent="0.35">
      <c r="A2" s="62"/>
      <c r="F2" s="39"/>
      <c r="G2" s="40"/>
    </row>
    <row r="3" spans="1:23" ht="17.25" thickBot="1" x14ac:dyDescent="0.35">
      <c r="A3" s="44" t="s">
        <v>307</v>
      </c>
      <c r="B3" s="50" t="s">
        <v>282</v>
      </c>
      <c r="C3" s="45" t="s">
        <v>57</v>
      </c>
      <c r="D3" s="43" t="s">
        <v>56</v>
      </c>
      <c r="E3" s="51" t="s">
        <v>315</v>
      </c>
      <c r="F3" s="57" t="s">
        <v>197</v>
      </c>
      <c r="G3" s="54" t="s">
        <v>308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</row>
    <row r="4" spans="1:23" x14ac:dyDescent="0.3">
      <c r="A4" s="63">
        <v>1</v>
      </c>
      <c r="B4" s="60" t="s">
        <v>24</v>
      </c>
      <c r="C4" s="46">
        <v>3000</v>
      </c>
      <c r="D4" s="42" t="s">
        <v>63</v>
      </c>
      <c r="E4" s="52">
        <f>44734+273+220+21088</f>
        <v>66315</v>
      </c>
      <c r="F4" s="58">
        <f>117192034+727272+580851+55171331</f>
        <v>173671488</v>
      </c>
      <c r="G4" s="55">
        <f t="shared" ref="G4:G67" si="0">F4/$F$263</f>
        <v>0.27994962362016823</v>
      </c>
      <c r="I4" s="23" t="s">
        <v>306</v>
      </c>
      <c r="J4" s="11"/>
      <c r="K4" s="11"/>
      <c r="L4" s="11"/>
      <c r="M4" s="13"/>
      <c r="N4" s="12"/>
      <c r="O4" s="14"/>
      <c r="P4" s="14"/>
      <c r="Q4" s="14"/>
      <c r="R4" s="14"/>
      <c r="S4" s="14"/>
      <c r="T4" s="14"/>
      <c r="U4" s="14"/>
      <c r="V4" s="14"/>
      <c r="W4" s="15"/>
    </row>
    <row r="5" spans="1:23" x14ac:dyDescent="0.3">
      <c r="A5" s="145">
        <v>2</v>
      </c>
      <c r="B5" s="146" t="s">
        <v>108</v>
      </c>
      <c r="C5" s="47">
        <v>3700</v>
      </c>
      <c r="D5" s="38" t="s">
        <v>63</v>
      </c>
      <c r="E5" s="147">
        <f>9348+18+9+4264</f>
        <v>13639</v>
      </c>
      <c r="F5" s="148">
        <f>31220124+60552+26912+14216900</f>
        <v>45524488</v>
      </c>
      <c r="G5" s="149">
        <f t="shared" si="0"/>
        <v>7.3383163971629389E-2</v>
      </c>
      <c r="J5" s="12"/>
      <c r="K5" s="13"/>
      <c r="L5" s="13"/>
      <c r="M5" s="13"/>
      <c r="N5" s="12"/>
      <c r="O5" s="14"/>
      <c r="P5" s="14"/>
      <c r="Q5" s="14"/>
      <c r="R5" s="14"/>
      <c r="S5" s="14"/>
      <c r="T5" s="14"/>
      <c r="U5" s="14"/>
      <c r="V5" s="14"/>
      <c r="W5" s="15"/>
    </row>
    <row r="6" spans="1:23" x14ac:dyDescent="0.3">
      <c r="A6" s="145">
        <v>3</v>
      </c>
      <c r="B6" s="150" t="s">
        <v>20</v>
      </c>
      <c r="C6" s="47">
        <v>3000</v>
      </c>
      <c r="D6" s="38" t="s">
        <v>61</v>
      </c>
      <c r="E6" s="147">
        <f>10822+5428</f>
        <v>16250</v>
      </c>
      <c r="F6" s="148">
        <f>28749372+14362386</f>
        <v>43111758</v>
      </c>
      <c r="G6" s="149">
        <f t="shared" si="0"/>
        <v>6.9493965674456454E-2</v>
      </c>
      <c r="I6" s="33" t="s">
        <v>310</v>
      </c>
      <c r="J6" s="12"/>
      <c r="K6" s="16"/>
      <c r="L6" s="13"/>
      <c r="M6" s="13"/>
      <c r="N6" s="12"/>
      <c r="O6" s="14"/>
      <c r="P6" s="14"/>
      <c r="Q6" s="14"/>
      <c r="R6" s="14"/>
      <c r="S6" s="14"/>
      <c r="T6" s="14"/>
      <c r="U6" s="14"/>
      <c r="V6" s="14"/>
      <c r="W6" s="15"/>
    </row>
    <row r="7" spans="1:23" x14ac:dyDescent="0.3">
      <c r="A7" s="145">
        <v>4</v>
      </c>
      <c r="B7" s="150" t="s">
        <v>26</v>
      </c>
      <c r="C7" s="47">
        <v>3000</v>
      </c>
      <c r="D7" s="38" t="s">
        <v>63</v>
      </c>
      <c r="E7" s="147">
        <f>8085+34+6145</f>
        <v>14264</v>
      </c>
      <c r="F7" s="148">
        <f>21250790+89991+16067808</f>
        <v>37408589</v>
      </c>
      <c r="G7" s="149">
        <f t="shared" si="0"/>
        <v>6.030074672194647E-2</v>
      </c>
      <c r="I7" s="35" t="s">
        <v>311</v>
      </c>
      <c r="J7" s="12"/>
      <c r="K7" s="13"/>
      <c r="L7" s="13"/>
      <c r="M7" s="13"/>
      <c r="N7" s="12"/>
      <c r="O7" s="14"/>
      <c r="P7" s="14"/>
      <c r="Q7" s="14"/>
      <c r="R7" s="14"/>
      <c r="S7" s="14"/>
      <c r="T7" s="14"/>
      <c r="U7" s="14"/>
      <c r="V7" s="14"/>
      <c r="W7" s="15"/>
    </row>
    <row r="8" spans="1:23" x14ac:dyDescent="0.3">
      <c r="A8" s="63">
        <v>5</v>
      </c>
      <c r="B8" s="150" t="s">
        <v>42</v>
      </c>
      <c r="C8" s="47">
        <v>3300</v>
      </c>
      <c r="D8" s="38" t="s">
        <v>63</v>
      </c>
      <c r="E8" s="147">
        <f>7901+28+56+3851</f>
        <v>11836</v>
      </c>
      <c r="F8" s="148">
        <f>22437273+73182+165000+10983000</f>
        <v>33658455</v>
      </c>
      <c r="G8" s="149">
        <f t="shared" si="0"/>
        <v>5.4255721059327647E-2</v>
      </c>
      <c r="I8" s="32" t="s">
        <v>312</v>
      </c>
      <c r="J8" s="12"/>
      <c r="K8" s="16"/>
      <c r="L8" s="13"/>
      <c r="M8" s="16"/>
      <c r="N8" s="12"/>
      <c r="O8" s="14"/>
      <c r="P8" s="14"/>
      <c r="Q8" s="14"/>
      <c r="R8" s="14"/>
      <c r="S8" s="14"/>
      <c r="T8" s="14"/>
      <c r="U8" s="14"/>
      <c r="V8" s="14"/>
      <c r="W8" s="15"/>
    </row>
    <row r="9" spans="1:23" x14ac:dyDescent="0.3">
      <c r="A9" s="145">
        <v>6</v>
      </c>
      <c r="B9" s="150" t="s">
        <v>21</v>
      </c>
      <c r="C9" s="47">
        <v>3500</v>
      </c>
      <c r="D9" s="38" t="s">
        <v>63</v>
      </c>
      <c r="E9" s="147">
        <f>5350+54+11+2573</f>
        <v>7988</v>
      </c>
      <c r="F9" s="148">
        <f>15887279+154728+31820+7741806</f>
        <v>23815633</v>
      </c>
      <c r="G9" s="149">
        <f t="shared" si="0"/>
        <v>3.8389591586997042E-2</v>
      </c>
      <c r="I9" s="34" t="s">
        <v>313</v>
      </c>
      <c r="J9" s="28"/>
      <c r="K9" s="13"/>
      <c r="L9" s="13"/>
      <c r="M9" s="13"/>
      <c r="N9" s="12"/>
      <c r="O9" s="14"/>
      <c r="P9" s="14"/>
      <c r="Q9" s="14"/>
      <c r="R9" s="14"/>
      <c r="S9" s="14"/>
      <c r="T9" s="14"/>
      <c r="U9" s="14"/>
      <c r="V9" s="14"/>
      <c r="W9" s="15"/>
    </row>
    <row r="10" spans="1:23" x14ac:dyDescent="0.3">
      <c r="A10" s="145">
        <v>7</v>
      </c>
      <c r="B10" s="150" t="s">
        <v>41</v>
      </c>
      <c r="C10" s="47">
        <v>3300</v>
      </c>
      <c r="D10" s="38" t="s">
        <v>63</v>
      </c>
      <c r="E10" s="147">
        <f>4127+15+3591</f>
        <v>7733</v>
      </c>
      <c r="F10" s="148">
        <f>11615091+39000+10017000</f>
        <v>21671091</v>
      </c>
      <c r="G10" s="149">
        <f t="shared" si="0"/>
        <v>3.4932698733417977E-2</v>
      </c>
      <c r="I10" s="31" t="s">
        <v>314</v>
      </c>
      <c r="K10" s="12"/>
      <c r="L10" s="16"/>
      <c r="M10" s="13"/>
      <c r="N10" s="12"/>
      <c r="O10" s="14"/>
      <c r="P10" s="14"/>
      <c r="Q10" s="14"/>
      <c r="R10" s="14"/>
      <c r="S10" s="14"/>
      <c r="T10" s="14"/>
      <c r="U10" s="14"/>
      <c r="V10" s="14"/>
      <c r="W10" s="15"/>
    </row>
    <row r="11" spans="1:23" x14ac:dyDescent="0.3">
      <c r="A11" s="145">
        <v>8</v>
      </c>
      <c r="B11" s="150" t="s">
        <v>18</v>
      </c>
      <c r="C11" s="47">
        <v>3500</v>
      </c>
      <c r="D11" s="38" t="s">
        <v>63</v>
      </c>
      <c r="E11" s="147">
        <f>1482+1322</f>
        <v>2804</v>
      </c>
      <c r="F11" s="148">
        <f>4450462+3917042</f>
        <v>8367504</v>
      </c>
      <c r="G11" s="149">
        <f t="shared" si="0"/>
        <v>1.3487991738979355E-2</v>
      </c>
      <c r="K11" s="12"/>
      <c r="L11" s="16"/>
      <c r="M11" s="13"/>
      <c r="N11" s="12"/>
      <c r="O11" s="14"/>
      <c r="P11" s="14"/>
      <c r="Q11" s="14"/>
      <c r="R11" s="14"/>
      <c r="S11" s="14"/>
      <c r="T11" s="14"/>
      <c r="U11" s="14"/>
      <c r="V11" s="14"/>
      <c r="W11" s="15"/>
    </row>
    <row r="12" spans="1:23" x14ac:dyDescent="0.3">
      <c r="A12" s="63">
        <v>9</v>
      </c>
      <c r="B12" s="151" t="s">
        <v>301</v>
      </c>
      <c r="C12" s="77" t="s">
        <v>346</v>
      </c>
      <c r="D12" s="37" t="s">
        <v>60</v>
      </c>
      <c r="E12" s="152">
        <f>113</f>
        <v>113</v>
      </c>
      <c r="F12" s="153">
        <v>8314238</v>
      </c>
      <c r="G12" s="149">
        <f t="shared" si="0"/>
        <v>1.3402129650599299E-2</v>
      </c>
      <c r="K12" s="12"/>
      <c r="L12" s="16"/>
      <c r="M12" s="13"/>
      <c r="N12" s="12"/>
      <c r="O12" s="14"/>
      <c r="P12" s="14"/>
      <c r="Q12" s="14"/>
      <c r="R12" s="14"/>
      <c r="S12" s="14"/>
      <c r="T12" s="14"/>
      <c r="U12" s="14"/>
      <c r="V12" s="14"/>
      <c r="W12" s="15"/>
    </row>
    <row r="13" spans="1:23" x14ac:dyDescent="0.3">
      <c r="A13" s="145">
        <v>10</v>
      </c>
      <c r="B13" s="146" t="s">
        <v>169</v>
      </c>
      <c r="C13" s="47">
        <v>3500</v>
      </c>
      <c r="D13" s="38" t="s">
        <v>61</v>
      </c>
      <c r="E13" s="147">
        <f>1477+2+2+786+96</f>
        <v>2363</v>
      </c>
      <c r="F13" s="148">
        <f>4633524+6364+6364+2419670+305455</f>
        <v>7371377</v>
      </c>
      <c r="G13" s="149">
        <f t="shared" si="0"/>
        <v>1.188228557535227E-2</v>
      </c>
      <c r="K13" s="12"/>
      <c r="L13" s="13"/>
      <c r="M13" s="13"/>
      <c r="N13" s="12"/>
      <c r="O13" s="14"/>
      <c r="P13" s="14"/>
      <c r="Q13" s="14"/>
      <c r="R13" s="14"/>
      <c r="S13" s="14"/>
      <c r="T13" s="14"/>
      <c r="U13" s="14"/>
      <c r="V13" s="14"/>
      <c r="W13" s="15"/>
    </row>
    <row r="14" spans="1:23" x14ac:dyDescent="0.3">
      <c r="A14" s="145">
        <v>11</v>
      </c>
      <c r="B14" s="150" t="s">
        <v>12</v>
      </c>
      <c r="C14" s="47">
        <v>3500</v>
      </c>
      <c r="D14" s="38" t="s">
        <v>61</v>
      </c>
      <c r="E14" s="147">
        <f>1323+1+743</f>
        <v>2067</v>
      </c>
      <c r="F14" s="148">
        <f>3990335+3364+2259220</f>
        <v>6252919</v>
      </c>
      <c r="G14" s="149">
        <f t="shared" si="0"/>
        <v>1.0079388048874198E-2</v>
      </c>
      <c r="K14" s="12"/>
      <c r="L14" s="13"/>
      <c r="M14" s="13"/>
      <c r="N14" s="12"/>
      <c r="O14" s="14"/>
      <c r="P14" s="14"/>
      <c r="Q14" s="14"/>
      <c r="R14" s="14"/>
      <c r="S14" s="14"/>
      <c r="T14" s="14"/>
      <c r="U14" s="14"/>
      <c r="V14" s="14"/>
      <c r="W14" s="15"/>
    </row>
    <row r="15" spans="1:23" x14ac:dyDescent="0.3">
      <c r="A15" s="145">
        <v>12</v>
      </c>
      <c r="B15" s="154" t="s">
        <v>192</v>
      </c>
      <c r="C15" s="47">
        <v>2800</v>
      </c>
      <c r="D15" s="38" t="s">
        <v>64</v>
      </c>
      <c r="E15" s="147">
        <f>1514+4+833</f>
        <v>2351</v>
      </c>
      <c r="F15" s="148">
        <f>3830901+10180+2083578</f>
        <v>5924659</v>
      </c>
      <c r="G15" s="149">
        <f t="shared" si="0"/>
        <v>9.5502495903521147E-3</v>
      </c>
      <c r="K15" s="12"/>
      <c r="L15" s="13"/>
      <c r="M15" s="13"/>
      <c r="N15" s="12"/>
      <c r="O15" s="14"/>
      <c r="P15" s="14"/>
      <c r="Q15" s="14"/>
      <c r="R15" s="14"/>
      <c r="S15" s="14"/>
      <c r="T15" s="14"/>
      <c r="U15" s="14"/>
      <c r="V15" s="14"/>
      <c r="W15" s="15"/>
    </row>
    <row r="16" spans="1:23" x14ac:dyDescent="0.3">
      <c r="A16" s="63">
        <v>13</v>
      </c>
      <c r="B16" s="154" t="s">
        <v>73</v>
      </c>
      <c r="C16" s="47">
        <v>500</v>
      </c>
      <c r="D16" s="38" t="s">
        <v>70</v>
      </c>
      <c r="E16" s="147">
        <f>8429+4423</f>
        <v>12852</v>
      </c>
      <c r="F16" s="148">
        <f>3768453+1972312</f>
        <v>5740765</v>
      </c>
      <c r="G16" s="149">
        <f t="shared" si="0"/>
        <v>9.2538217962515237E-3</v>
      </c>
      <c r="K16" s="12"/>
      <c r="L16" s="13"/>
      <c r="M16" s="13"/>
      <c r="N16" s="12"/>
      <c r="O16" s="14"/>
      <c r="P16" s="14"/>
      <c r="Q16" s="14"/>
      <c r="R16" s="14"/>
      <c r="S16" s="14"/>
      <c r="T16" s="14"/>
      <c r="U16" s="14"/>
      <c r="V16" s="14"/>
      <c r="W16" s="15"/>
    </row>
    <row r="17" spans="1:23" x14ac:dyDescent="0.3">
      <c r="A17" s="145">
        <v>14</v>
      </c>
      <c r="B17" s="150" t="s">
        <v>40</v>
      </c>
      <c r="C17" s="47">
        <v>3500</v>
      </c>
      <c r="D17" s="38" t="s">
        <v>61</v>
      </c>
      <c r="E17" s="147">
        <f>1218+6+634+16</f>
        <v>1874</v>
      </c>
      <c r="F17" s="148">
        <f>3665457+16818+1896472+50909</f>
        <v>5629656</v>
      </c>
      <c r="G17" s="149">
        <f t="shared" si="0"/>
        <v>9.0747197278059927E-3</v>
      </c>
      <c r="K17" s="12"/>
      <c r="L17" s="17"/>
      <c r="M17" s="17"/>
      <c r="N17" s="12"/>
      <c r="O17" s="14"/>
      <c r="P17" s="14"/>
      <c r="Q17" s="14"/>
      <c r="R17" s="14"/>
      <c r="S17" s="14"/>
      <c r="T17" s="14"/>
      <c r="U17" s="14"/>
      <c r="V17" s="14"/>
      <c r="W17" s="15"/>
    </row>
    <row r="18" spans="1:23" x14ac:dyDescent="0.3">
      <c r="A18" s="145">
        <v>15</v>
      </c>
      <c r="B18" s="150" t="s">
        <v>89</v>
      </c>
      <c r="C18" s="47">
        <v>3500</v>
      </c>
      <c r="D18" s="38" t="s">
        <v>63</v>
      </c>
      <c r="E18" s="147">
        <f>1255+10+22+1+4+456</f>
        <v>1748</v>
      </c>
      <c r="F18" s="148">
        <f>3771047+26909+66818+3182+12728+1361896</f>
        <v>5242580</v>
      </c>
      <c r="G18" s="149">
        <f t="shared" si="0"/>
        <v>8.4507728626049515E-3</v>
      </c>
      <c r="K18" s="12"/>
      <c r="L18" s="13"/>
      <c r="M18" s="16"/>
      <c r="N18" s="12"/>
      <c r="O18" s="14"/>
      <c r="P18" s="14"/>
      <c r="Q18" s="14"/>
      <c r="R18" s="14"/>
      <c r="S18" s="14"/>
      <c r="T18" s="14"/>
      <c r="U18" s="14"/>
      <c r="V18" s="14"/>
      <c r="W18" s="15"/>
    </row>
    <row r="19" spans="1:23" x14ac:dyDescent="0.3">
      <c r="A19" s="145">
        <v>16</v>
      </c>
      <c r="B19" s="154" t="s">
        <v>191</v>
      </c>
      <c r="C19" s="47">
        <v>2700</v>
      </c>
      <c r="D19" s="38" t="s">
        <v>64</v>
      </c>
      <c r="E19" s="147">
        <f>1227+6+941</f>
        <v>2174</v>
      </c>
      <c r="F19" s="148">
        <f>2988918+14730+2216841</f>
        <v>5220489</v>
      </c>
      <c r="G19" s="149">
        <f t="shared" si="0"/>
        <v>8.415163291876835E-3</v>
      </c>
      <c r="K19" s="12"/>
      <c r="L19" s="13"/>
      <c r="M19" s="16"/>
      <c r="N19" s="12"/>
      <c r="O19" s="14"/>
      <c r="P19" s="14"/>
      <c r="Q19" s="14"/>
      <c r="R19" s="14"/>
      <c r="S19" s="14"/>
      <c r="T19" s="14"/>
      <c r="U19" s="14"/>
      <c r="V19" s="14"/>
      <c r="W19" s="15"/>
    </row>
    <row r="20" spans="1:23" x14ac:dyDescent="0.3">
      <c r="A20" s="63">
        <v>17</v>
      </c>
      <c r="B20" s="150" t="s">
        <v>194</v>
      </c>
      <c r="C20" s="47">
        <v>3500</v>
      </c>
      <c r="D20" s="38" t="s">
        <v>58</v>
      </c>
      <c r="E20" s="147">
        <f>1220+4+1+409</f>
        <v>1634</v>
      </c>
      <c r="F20" s="148">
        <f>3683638+12728+3182+1244703</f>
        <v>4944251</v>
      </c>
      <c r="G20" s="149">
        <f t="shared" si="0"/>
        <v>7.9698816568764611E-3</v>
      </c>
      <c r="K20" s="12"/>
      <c r="L20" s="13"/>
      <c r="M20" s="17"/>
      <c r="N20" s="12"/>
      <c r="O20" s="14"/>
      <c r="P20" s="14"/>
      <c r="Q20" s="14"/>
      <c r="R20" s="14"/>
      <c r="S20" s="14"/>
      <c r="T20" s="14"/>
      <c r="U20" s="14"/>
      <c r="V20" s="14"/>
      <c r="W20" s="15"/>
    </row>
    <row r="21" spans="1:23" x14ac:dyDescent="0.3">
      <c r="A21" s="145">
        <v>18</v>
      </c>
      <c r="B21" s="150" t="s">
        <v>91</v>
      </c>
      <c r="C21" s="47">
        <v>3500</v>
      </c>
      <c r="D21" s="38" t="s">
        <v>63</v>
      </c>
      <c r="E21" s="147">
        <f>992+7+11+588</f>
        <v>1598</v>
      </c>
      <c r="F21" s="148">
        <f>2917729+20182+31820+1721462</f>
        <v>4691193</v>
      </c>
      <c r="G21" s="149">
        <f t="shared" si="0"/>
        <v>7.5619650053298775E-3</v>
      </c>
      <c r="K21" s="12"/>
      <c r="L21" s="13"/>
      <c r="M21" s="17"/>
      <c r="N21" s="12"/>
      <c r="O21" s="14"/>
      <c r="P21" s="14"/>
      <c r="Q21" s="14"/>
      <c r="R21" s="14"/>
      <c r="S21" s="14"/>
      <c r="T21" s="14"/>
      <c r="U21" s="14"/>
      <c r="V21" s="14"/>
      <c r="W21" s="15"/>
    </row>
    <row r="22" spans="1:23" x14ac:dyDescent="0.3">
      <c r="A22" s="145">
        <v>19</v>
      </c>
      <c r="B22" s="146" t="s">
        <v>94</v>
      </c>
      <c r="C22" s="47">
        <v>4200</v>
      </c>
      <c r="D22" s="38" t="s">
        <v>63</v>
      </c>
      <c r="E22" s="147">
        <f>718+2+1+410</f>
        <v>1131</v>
      </c>
      <c r="F22" s="148">
        <f>2684544+7636+3818+1551424</f>
        <v>4247422</v>
      </c>
      <c r="G22" s="149">
        <f t="shared" si="0"/>
        <v>6.8466286777943775E-3</v>
      </c>
      <c r="K22" s="12"/>
      <c r="L22" s="13"/>
      <c r="M22" s="17"/>
      <c r="N22" s="12"/>
      <c r="O22" s="14"/>
      <c r="P22" s="14"/>
      <c r="Q22" s="14"/>
      <c r="R22" s="14"/>
      <c r="S22" s="14"/>
      <c r="T22" s="14"/>
      <c r="U22" s="14"/>
      <c r="V22" s="14"/>
      <c r="W22" s="15"/>
    </row>
    <row r="23" spans="1:23" x14ac:dyDescent="0.3">
      <c r="A23" s="145">
        <v>20</v>
      </c>
      <c r="B23" s="150" t="s">
        <v>195</v>
      </c>
      <c r="C23" s="47">
        <v>3500</v>
      </c>
      <c r="D23" s="38" t="s">
        <v>59</v>
      </c>
      <c r="E23" s="147">
        <f>872+4+389</f>
        <v>1265</v>
      </c>
      <c r="F23" s="148">
        <f>2707729+12728+1184159</f>
        <v>3904616</v>
      </c>
      <c r="G23" s="149">
        <f t="shared" si="0"/>
        <v>6.2940428055829568E-3</v>
      </c>
      <c r="K23" s="12"/>
      <c r="L23" s="13"/>
      <c r="M23" s="16"/>
      <c r="N23" s="12"/>
      <c r="O23" s="14"/>
      <c r="P23" s="14"/>
      <c r="Q23" s="14"/>
      <c r="R23" s="14"/>
      <c r="S23" s="14"/>
      <c r="T23" s="14"/>
      <c r="U23" s="14"/>
      <c r="V23" s="14"/>
      <c r="W23" s="15"/>
    </row>
    <row r="24" spans="1:23" x14ac:dyDescent="0.3">
      <c r="A24" s="63">
        <v>21</v>
      </c>
      <c r="B24" s="146" t="s">
        <v>178</v>
      </c>
      <c r="C24" s="47">
        <v>4000</v>
      </c>
      <c r="D24" s="38" t="s">
        <v>63</v>
      </c>
      <c r="E24" s="147">
        <f>746+3+3+336</f>
        <v>1088</v>
      </c>
      <c r="F24" s="148">
        <f>2659090+10909+10908+1203516</f>
        <v>3884423</v>
      </c>
      <c r="G24" s="149">
        <f t="shared" si="0"/>
        <v>6.2614927145181404E-3</v>
      </c>
      <c r="K24" s="12"/>
      <c r="L24" s="13"/>
      <c r="M24" s="16"/>
      <c r="N24" s="12"/>
      <c r="O24" s="14"/>
      <c r="P24" s="14"/>
      <c r="Q24" s="14"/>
      <c r="R24" s="14"/>
      <c r="S24" s="14"/>
      <c r="T24" s="14"/>
      <c r="U24" s="14"/>
      <c r="V24" s="14"/>
      <c r="W24" s="15"/>
    </row>
    <row r="25" spans="1:23" x14ac:dyDescent="0.3">
      <c r="A25" s="145">
        <v>22</v>
      </c>
      <c r="B25" s="150" t="s">
        <v>47</v>
      </c>
      <c r="C25" s="47">
        <v>3300</v>
      </c>
      <c r="D25" s="38" t="s">
        <v>63</v>
      </c>
      <c r="E25" s="147">
        <f>747+566</f>
        <v>1313</v>
      </c>
      <c r="F25" s="148">
        <f>2170182+1650000</f>
        <v>3820182</v>
      </c>
      <c r="G25" s="149">
        <f t="shared" si="0"/>
        <v>6.1579394831956609E-3</v>
      </c>
      <c r="K25" s="12"/>
      <c r="L25" s="13"/>
      <c r="M25" s="16"/>
      <c r="N25" s="12"/>
      <c r="O25" s="14"/>
      <c r="P25" s="14"/>
      <c r="Q25" s="14"/>
      <c r="R25" s="14"/>
      <c r="S25" s="14"/>
      <c r="T25" s="14"/>
      <c r="U25" s="14"/>
      <c r="V25" s="14"/>
      <c r="W25" s="15"/>
    </row>
    <row r="26" spans="1:23" x14ac:dyDescent="0.3">
      <c r="A26" s="145">
        <v>23</v>
      </c>
      <c r="B26" s="150" t="s">
        <v>14</v>
      </c>
      <c r="C26" s="47">
        <v>3500</v>
      </c>
      <c r="D26" s="38" t="s">
        <v>62</v>
      </c>
      <c r="E26" s="147">
        <f>639+602</f>
        <v>1241</v>
      </c>
      <c r="F26" s="148">
        <f>1935718+1839196</f>
        <v>3774914</v>
      </c>
      <c r="G26" s="149">
        <f t="shared" si="0"/>
        <v>6.0849697648614823E-3</v>
      </c>
      <c r="K26" s="12"/>
      <c r="L26" s="16"/>
      <c r="M26" s="16"/>
      <c r="N26" s="12"/>
      <c r="O26" s="14"/>
      <c r="P26" s="14"/>
      <c r="Q26" s="14"/>
      <c r="R26" s="14"/>
      <c r="S26" s="14"/>
      <c r="T26" s="14"/>
      <c r="U26" s="14"/>
      <c r="V26" s="14"/>
      <c r="W26" s="15"/>
    </row>
    <row r="27" spans="1:23" x14ac:dyDescent="0.3">
      <c r="A27" s="145">
        <v>24</v>
      </c>
      <c r="B27" s="150" t="s">
        <v>13</v>
      </c>
      <c r="C27" s="47">
        <v>3800</v>
      </c>
      <c r="D27" s="38" t="s">
        <v>58</v>
      </c>
      <c r="E27" s="147">
        <f>829+6+326+1</f>
        <v>1162</v>
      </c>
      <c r="F27" s="148">
        <f>2632372+20730+1036500+3182</f>
        <v>3692784</v>
      </c>
      <c r="G27" s="149">
        <f t="shared" si="0"/>
        <v>5.9525803735301632E-3</v>
      </c>
      <c r="K27" s="12"/>
      <c r="L27" s="16"/>
      <c r="M27" s="13"/>
      <c r="N27" s="12"/>
      <c r="O27" s="14"/>
      <c r="P27" s="14"/>
      <c r="Q27" s="14"/>
      <c r="R27" s="14"/>
      <c r="S27" s="14"/>
      <c r="T27" s="14"/>
      <c r="U27" s="14"/>
      <c r="V27" s="14"/>
      <c r="W27" s="15"/>
    </row>
    <row r="28" spans="1:23" x14ac:dyDescent="0.3">
      <c r="A28" s="63">
        <v>25</v>
      </c>
      <c r="B28" s="150" t="s">
        <v>45</v>
      </c>
      <c r="C28" s="47">
        <v>3500</v>
      </c>
      <c r="D28" s="38" t="s">
        <v>63</v>
      </c>
      <c r="E28" s="147">
        <f>849+3+1+349</f>
        <v>1202</v>
      </c>
      <c r="F28" s="148">
        <f>2510453+10091+3182+1034150</f>
        <v>3557876</v>
      </c>
      <c r="G28" s="149">
        <f t="shared" si="0"/>
        <v>5.7351155250493944E-3</v>
      </c>
      <c r="K28" s="12"/>
      <c r="L28" s="16"/>
      <c r="M28" s="13"/>
      <c r="N28" s="12"/>
      <c r="O28" s="14"/>
      <c r="P28" s="14"/>
      <c r="Q28" s="14"/>
      <c r="R28" s="14"/>
      <c r="S28" s="14"/>
      <c r="T28" s="14"/>
      <c r="U28" s="14"/>
      <c r="V28" s="14"/>
      <c r="W28" s="15"/>
    </row>
    <row r="29" spans="1:23" x14ac:dyDescent="0.3">
      <c r="A29" s="145">
        <v>26</v>
      </c>
      <c r="B29" s="150" t="s">
        <v>225</v>
      </c>
      <c r="C29" s="47">
        <v>4000</v>
      </c>
      <c r="D29" s="38" t="s">
        <v>59</v>
      </c>
      <c r="E29" s="147">
        <f>777+1+7+259</f>
        <v>1044</v>
      </c>
      <c r="F29" s="148">
        <f>2596357+3636+25452+847188</f>
        <v>3472633</v>
      </c>
      <c r="G29" s="149">
        <f t="shared" si="0"/>
        <v>5.5977081357244758E-3</v>
      </c>
      <c r="K29" s="12"/>
      <c r="L29" s="16"/>
      <c r="M29" s="13"/>
      <c r="N29" s="12"/>
      <c r="O29" s="14"/>
      <c r="P29" s="14"/>
      <c r="Q29" s="14"/>
      <c r="R29" s="14"/>
      <c r="S29" s="14"/>
      <c r="T29" s="14"/>
      <c r="U29" s="14"/>
      <c r="V29" s="14"/>
      <c r="W29" s="15"/>
    </row>
    <row r="30" spans="1:23" x14ac:dyDescent="0.3">
      <c r="A30" s="145">
        <v>27</v>
      </c>
      <c r="B30" s="150" t="s">
        <v>43</v>
      </c>
      <c r="C30" s="47">
        <v>3500</v>
      </c>
      <c r="D30" s="38" t="s">
        <v>62</v>
      </c>
      <c r="E30" s="147">
        <f>586+520</f>
        <v>1106</v>
      </c>
      <c r="F30" s="148">
        <f>1781822+1587818</f>
        <v>3369640</v>
      </c>
      <c r="G30" s="149">
        <f t="shared" si="0"/>
        <v>5.4316886473355008E-3</v>
      </c>
      <c r="K30" s="12"/>
      <c r="L30" s="16"/>
      <c r="M30" s="13"/>
      <c r="N30" s="12"/>
      <c r="O30" s="14"/>
      <c r="P30" s="14"/>
      <c r="Q30" s="14"/>
      <c r="R30" s="14"/>
      <c r="S30" s="14"/>
      <c r="T30" s="14"/>
      <c r="U30" s="14"/>
      <c r="V30" s="14"/>
      <c r="W30" s="15"/>
    </row>
    <row r="31" spans="1:23" x14ac:dyDescent="0.3">
      <c r="A31" s="145">
        <v>28</v>
      </c>
      <c r="B31" s="150" t="s">
        <v>39</v>
      </c>
      <c r="C31" s="47">
        <v>3500</v>
      </c>
      <c r="D31" s="38" t="s">
        <v>61</v>
      </c>
      <c r="E31" s="147">
        <f>365+712+20</f>
        <v>1097</v>
      </c>
      <c r="F31" s="148">
        <f>1081819+2154214+60455</f>
        <v>3296488</v>
      </c>
      <c r="G31" s="149">
        <f t="shared" si="0"/>
        <v>5.3137713363082435E-3</v>
      </c>
      <c r="K31" s="12"/>
      <c r="L31" s="16"/>
      <c r="M31" s="13"/>
      <c r="N31" s="12"/>
      <c r="O31" s="14"/>
      <c r="P31" s="14"/>
      <c r="Q31" s="14"/>
      <c r="R31" s="14"/>
      <c r="S31" s="14"/>
      <c r="T31" s="14"/>
      <c r="U31" s="14"/>
      <c r="V31" s="14"/>
      <c r="W31" s="15"/>
    </row>
    <row r="32" spans="1:23" x14ac:dyDescent="0.3">
      <c r="A32" s="63">
        <v>29</v>
      </c>
      <c r="B32" s="150" t="s">
        <v>193</v>
      </c>
      <c r="C32" s="47">
        <v>3500</v>
      </c>
      <c r="D32" s="38" t="s">
        <v>58</v>
      </c>
      <c r="E32" s="147">
        <f>827+3+240</f>
        <v>1070</v>
      </c>
      <c r="F32" s="148">
        <f>2545454+9546+738700</f>
        <v>3293700</v>
      </c>
      <c r="G32" s="149">
        <f t="shared" si="0"/>
        <v>5.3092772218186332E-3</v>
      </c>
      <c r="K32" s="12"/>
      <c r="L32" s="16"/>
      <c r="M32" s="13"/>
      <c r="N32" s="12"/>
      <c r="O32" s="14"/>
      <c r="P32" s="14"/>
      <c r="Q32" s="14"/>
      <c r="R32" s="14"/>
      <c r="S32" s="14"/>
      <c r="T32" s="14"/>
      <c r="U32" s="14"/>
      <c r="V32" s="14"/>
      <c r="W32" s="15"/>
    </row>
    <row r="33" spans="1:23" x14ac:dyDescent="0.3">
      <c r="A33" s="145">
        <v>30</v>
      </c>
      <c r="B33" s="150" t="s">
        <v>10</v>
      </c>
      <c r="C33" s="47">
        <v>4000</v>
      </c>
      <c r="D33" s="38" t="s">
        <v>58</v>
      </c>
      <c r="E33" s="147">
        <f>665+2+1+273</f>
        <v>941</v>
      </c>
      <c r="F33" s="148">
        <f>2185451+7272+3636+865889</f>
        <v>3062248</v>
      </c>
      <c r="G33" s="149">
        <f t="shared" si="0"/>
        <v>4.9361883456172893E-3</v>
      </c>
      <c r="K33" s="12"/>
      <c r="L33" s="17"/>
      <c r="M33" s="13"/>
      <c r="N33" s="12"/>
      <c r="O33" s="14"/>
      <c r="P33" s="14"/>
      <c r="Q33" s="14"/>
      <c r="R33" s="14"/>
      <c r="S33" s="14"/>
      <c r="T33" s="14"/>
      <c r="U33" s="14"/>
      <c r="V33" s="14"/>
      <c r="W33" s="15"/>
    </row>
    <row r="34" spans="1:23" x14ac:dyDescent="0.3">
      <c r="A34" s="145">
        <v>31</v>
      </c>
      <c r="B34" s="150" t="s">
        <v>206</v>
      </c>
      <c r="C34" s="47">
        <v>3800</v>
      </c>
      <c r="D34" s="38" t="s">
        <v>59</v>
      </c>
      <c r="E34" s="147">
        <f>705+6+221</f>
        <v>932</v>
      </c>
      <c r="F34" s="148">
        <f>2309279+20730+705547</f>
        <v>3035556</v>
      </c>
      <c r="G34" s="149">
        <f t="shared" si="0"/>
        <v>4.8931621964219216E-3</v>
      </c>
      <c r="K34" s="12"/>
      <c r="L34" s="17"/>
      <c r="M34" s="13"/>
      <c r="N34" s="12"/>
      <c r="O34" s="14"/>
      <c r="P34" s="14"/>
      <c r="Q34" s="14"/>
      <c r="R34" s="14"/>
      <c r="S34" s="14"/>
      <c r="T34" s="14"/>
      <c r="U34" s="14"/>
      <c r="V34" s="14"/>
      <c r="W34" s="15"/>
    </row>
    <row r="35" spans="1:23" x14ac:dyDescent="0.3">
      <c r="A35" s="145">
        <v>32</v>
      </c>
      <c r="B35" s="155" t="s">
        <v>50</v>
      </c>
      <c r="C35" s="47">
        <v>3500</v>
      </c>
      <c r="D35" s="38" t="s">
        <v>61</v>
      </c>
      <c r="E35" s="147">
        <f>619+3+384</f>
        <v>1006</v>
      </c>
      <c r="F35" s="148">
        <f>1848637+7272+1126428</f>
        <v>2982337</v>
      </c>
      <c r="G35" s="149">
        <f t="shared" si="0"/>
        <v>4.807375869656288E-3</v>
      </c>
      <c r="K35" s="12"/>
      <c r="L35" s="17"/>
      <c r="M35" s="13"/>
      <c r="N35" s="12"/>
      <c r="O35" s="14"/>
      <c r="P35" s="14"/>
      <c r="Q35" s="14"/>
      <c r="R35" s="14"/>
      <c r="S35" s="14"/>
      <c r="T35" s="14"/>
      <c r="U35" s="14"/>
      <c r="V35" s="14"/>
      <c r="W35" s="15"/>
    </row>
    <row r="36" spans="1:23" x14ac:dyDescent="0.3">
      <c r="A36" s="63">
        <v>33</v>
      </c>
      <c r="B36" s="150" t="s">
        <v>48</v>
      </c>
      <c r="C36" s="47">
        <v>4300</v>
      </c>
      <c r="D36" s="38" t="s">
        <v>58</v>
      </c>
      <c r="E36" s="147">
        <f>575+4+1+315</f>
        <v>895</v>
      </c>
      <c r="F36" s="148">
        <f>1820162+15636+3909+986250</f>
        <v>2825957</v>
      </c>
      <c r="G36" s="149">
        <f t="shared" si="0"/>
        <v>4.5552992470288484E-3</v>
      </c>
      <c r="K36" s="12"/>
      <c r="L36" s="16"/>
      <c r="M36" s="13"/>
      <c r="N36" s="12"/>
      <c r="O36" s="14"/>
      <c r="P36" s="14"/>
      <c r="Q36" s="14"/>
      <c r="R36" s="14"/>
      <c r="S36" s="14"/>
      <c r="T36" s="14"/>
      <c r="U36" s="14"/>
      <c r="V36" s="14"/>
      <c r="W36" s="15"/>
    </row>
    <row r="37" spans="1:23" x14ac:dyDescent="0.3">
      <c r="A37" s="145">
        <v>34</v>
      </c>
      <c r="B37" s="150" t="s">
        <v>90</v>
      </c>
      <c r="C37" s="47">
        <v>3500</v>
      </c>
      <c r="D37" s="38" t="s">
        <v>63</v>
      </c>
      <c r="E37" s="147">
        <f>504+1+422</f>
        <v>927</v>
      </c>
      <c r="F37" s="148">
        <f>1529549+3182+1253708</f>
        <v>2786439</v>
      </c>
      <c r="G37" s="149">
        <f t="shared" si="0"/>
        <v>4.4915982368421807E-3</v>
      </c>
      <c r="K37" s="12"/>
      <c r="L37" s="16"/>
      <c r="M37" s="13"/>
      <c r="N37" s="12"/>
      <c r="O37" s="14"/>
      <c r="P37" s="14"/>
      <c r="Q37" s="14"/>
      <c r="R37" s="14"/>
      <c r="S37" s="14"/>
      <c r="T37" s="14"/>
      <c r="U37" s="14"/>
      <c r="V37" s="14"/>
      <c r="W37" s="15"/>
    </row>
    <row r="38" spans="1:23" x14ac:dyDescent="0.3">
      <c r="A38" s="145">
        <v>35</v>
      </c>
      <c r="B38" s="150" t="s">
        <v>7</v>
      </c>
      <c r="C38" s="47">
        <v>3500</v>
      </c>
      <c r="D38" s="38" t="s">
        <v>61</v>
      </c>
      <c r="E38" s="147">
        <f>462+437</f>
        <v>899</v>
      </c>
      <c r="F38" s="148">
        <f>1400002+1310984</f>
        <v>2710986</v>
      </c>
      <c r="G38" s="149">
        <f t="shared" si="0"/>
        <v>4.3699718306066757E-3</v>
      </c>
      <c r="K38" s="12"/>
      <c r="L38" s="16"/>
      <c r="M38" s="13"/>
      <c r="N38" s="12"/>
      <c r="O38" s="14"/>
      <c r="P38" s="14"/>
      <c r="Q38" s="14"/>
      <c r="R38" s="14"/>
      <c r="S38" s="14"/>
      <c r="T38" s="14"/>
      <c r="U38" s="14"/>
      <c r="V38" s="14"/>
      <c r="W38" s="15"/>
    </row>
    <row r="39" spans="1:23" x14ac:dyDescent="0.3">
      <c r="A39" s="145">
        <v>36</v>
      </c>
      <c r="B39" s="150" t="s">
        <v>2</v>
      </c>
      <c r="C39" s="47">
        <v>3500</v>
      </c>
      <c r="D39" s="38" t="s">
        <v>61</v>
      </c>
      <c r="E39" s="147">
        <f>555+1+3+322+3</f>
        <v>884</v>
      </c>
      <c r="F39" s="148">
        <f>1654549+964328+9546+9545</f>
        <v>2637968</v>
      </c>
      <c r="G39" s="149">
        <f t="shared" si="0"/>
        <v>4.2522705207779874E-3</v>
      </c>
      <c r="K39" s="12"/>
      <c r="L39" s="16"/>
      <c r="M39" s="13"/>
      <c r="N39" s="12"/>
      <c r="O39" s="14"/>
      <c r="P39" s="14"/>
      <c r="Q39" s="14"/>
      <c r="R39" s="14"/>
      <c r="S39" s="14"/>
      <c r="T39" s="14"/>
      <c r="U39" s="14"/>
      <c r="V39" s="14"/>
      <c r="W39" s="15"/>
    </row>
    <row r="40" spans="1:23" x14ac:dyDescent="0.3">
      <c r="A40" s="63">
        <v>37</v>
      </c>
      <c r="B40" s="150" t="s">
        <v>46</v>
      </c>
      <c r="C40" s="47">
        <v>3500</v>
      </c>
      <c r="D40" s="38" t="s">
        <v>63</v>
      </c>
      <c r="E40" s="147">
        <f>483+395</f>
        <v>878</v>
      </c>
      <c r="F40" s="148">
        <f>1427729+1142338</f>
        <v>2570067</v>
      </c>
      <c r="G40" s="149">
        <f t="shared" si="0"/>
        <v>4.1428175552259616E-3</v>
      </c>
      <c r="K40" s="12"/>
      <c r="L40" s="16"/>
      <c r="M40" s="13"/>
      <c r="N40" s="12"/>
      <c r="O40" s="14"/>
      <c r="P40" s="14"/>
      <c r="Q40" s="14"/>
      <c r="R40" s="14"/>
      <c r="S40" s="14"/>
      <c r="T40" s="14"/>
      <c r="U40" s="14"/>
      <c r="V40" s="14"/>
      <c r="W40" s="15"/>
    </row>
    <row r="41" spans="1:23" x14ac:dyDescent="0.3">
      <c r="A41" s="145">
        <v>38</v>
      </c>
      <c r="B41" s="150" t="s">
        <v>11</v>
      </c>
      <c r="C41" s="47">
        <v>3500</v>
      </c>
      <c r="D41" s="38" t="s">
        <v>61</v>
      </c>
      <c r="E41" s="147">
        <f>379+460</f>
        <v>839</v>
      </c>
      <c r="F41" s="148">
        <f>1174094+1384170</f>
        <v>2558264</v>
      </c>
      <c r="G41" s="149">
        <f t="shared" si="0"/>
        <v>4.1237917183102966E-3</v>
      </c>
      <c r="K41" s="12"/>
      <c r="L41" s="16"/>
      <c r="M41" s="13"/>
      <c r="N41" s="12"/>
      <c r="O41" s="14"/>
      <c r="P41" s="14"/>
      <c r="Q41" s="14"/>
      <c r="R41" s="14"/>
      <c r="S41" s="14"/>
      <c r="T41" s="14"/>
      <c r="U41" s="14"/>
      <c r="V41" s="14"/>
      <c r="W41" s="15"/>
    </row>
    <row r="42" spans="1:23" x14ac:dyDescent="0.3">
      <c r="A42" s="145">
        <v>39</v>
      </c>
      <c r="B42" s="150" t="s">
        <v>37</v>
      </c>
      <c r="C42" s="47">
        <v>4000</v>
      </c>
      <c r="D42" s="38" t="s">
        <v>62</v>
      </c>
      <c r="E42" s="147">
        <f>371+376</f>
        <v>747</v>
      </c>
      <c r="F42" s="148">
        <f>1283631+1243512</f>
        <v>2527143</v>
      </c>
      <c r="G42" s="149">
        <f t="shared" si="0"/>
        <v>4.0736262459174803E-3</v>
      </c>
      <c r="K42" s="12"/>
      <c r="L42" s="16"/>
      <c r="M42" s="13"/>
      <c r="N42" s="12"/>
      <c r="O42" s="14"/>
      <c r="P42" s="14"/>
      <c r="Q42" s="14"/>
      <c r="R42" s="14"/>
      <c r="S42" s="14"/>
      <c r="T42" s="14"/>
      <c r="U42" s="14"/>
      <c r="V42" s="14"/>
      <c r="W42" s="15"/>
    </row>
    <row r="43" spans="1:23" x14ac:dyDescent="0.3">
      <c r="A43" s="145">
        <v>40</v>
      </c>
      <c r="B43" s="150" t="s">
        <v>23</v>
      </c>
      <c r="C43" s="47">
        <v>4000</v>
      </c>
      <c r="D43" s="38" t="s">
        <v>58</v>
      </c>
      <c r="E43" s="147">
        <f>520+243+2</f>
        <v>765</v>
      </c>
      <c r="F43" s="148">
        <f>1693908+774468+3636</f>
        <v>2472012</v>
      </c>
      <c r="G43" s="149">
        <f t="shared" si="0"/>
        <v>3.9847578721991447E-3</v>
      </c>
      <c r="K43" s="12"/>
      <c r="L43" s="16"/>
      <c r="M43" s="13"/>
      <c r="N43" s="12"/>
      <c r="O43" s="14"/>
      <c r="P43" s="14"/>
      <c r="Q43" s="14"/>
      <c r="R43" s="14"/>
      <c r="S43" s="14"/>
      <c r="T43" s="14"/>
      <c r="U43" s="14"/>
      <c r="V43" s="14"/>
      <c r="W43" s="15"/>
    </row>
    <row r="44" spans="1:23" x14ac:dyDescent="0.3">
      <c r="A44" s="63">
        <v>41</v>
      </c>
      <c r="B44" s="150" t="s">
        <v>22</v>
      </c>
      <c r="C44" s="47">
        <v>3500</v>
      </c>
      <c r="D44" s="38" t="s">
        <v>58</v>
      </c>
      <c r="E44" s="147">
        <f>572+236</f>
        <v>808</v>
      </c>
      <c r="F44" s="148">
        <f>1746820+684317</f>
        <v>2431137</v>
      </c>
      <c r="G44" s="149">
        <f t="shared" si="0"/>
        <v>3.9188694468896643E-3</v>
      </c>
      <c r="K44" s="12"/>
      <c r="L44" s="16"/>
      <c r="M44" s="13"/>
      <c r="N44" s="12"/>
      <c r="O44" s="14"/>
      <c r="P44" s="14"/>
      <c r="Q44" s="14"/>
      <c r="R44" s="14"/>
      <c r="S44" s="14"/>
      <c r="T44" s="14"/>
      <c r="U44" s="14"/>
      <c r="V44" s="14"/>
      <c r="W44" s="15"/>
    </row>
    <row r="45" spans="1:23" x14ac:dyDescent="0.3">
      <c r="A45" s="145">
        <v>42</v>
      </c>
      <c r="B45" s="150" t="s">
        <v>28</v>
      </c>
      <c r="C45" s="47">
        <v>3500</v>
      </c>
      <c r="D45" s="38" t="s">
        <v>61</v>
      </c>
      <c r="E45" s="147">
        <f>494+9+302</f>
        <v>805</v>
      </c>
      <c r="F45" s="148">
        <f>1460457+30272+906870</f>
        <v>2397599</v>
      </c>
      <c r="G45" s="149">
        <f t="shared" si="0"/>
        <v>3.8648078931764075E-3</v>
      </c>
      <c r="K45" s="12"/>
      <c r="L45" s="16"/>
      <c r="M45" s="13"/>
      <c r="N45" s="12"/>
      <c r="O45" s="14"/>
      <c r="P45" s="14"/>
      <c r="Q45" s="14"/>
      <c r="R45" s="14"/>
      <c r="S45" s="14"/>
      <c r="T45" s="14"/>
      <c r="U45" s="14"/>
      <c r="V45" s="14"/>
      <c r="W45" s="15"/>
    </row>
    <row r="46" spans="1:23" x14ac:dyDescent="0.3">
      <c r="A46" s="145">
        <v>43</v>
      </c>
      <c r="B46" s="150" t="s">
        <v>217</v>
      </c>
      <c r="C46" s="47">
        <v>4300</v>
      </c>
      <c r="D46" s="38" t="s">
        <v>58</v>
      </c>
      <c r="E46" s="147">
        <f>478+2+209</f>
        <v>689</v>
      </c>
      <c r="F46" s="148">
        <f>1540173+7818+699711</f>
        <v>2247702</v>
      </c>
      <c r="G46" s="149">
        <f t="shared" si="0"/>
        <v>3.6231815374916311E-3</v>
      </c>
      <c r="K46" s="12"/>
      <c r="L46" s="16"/>
      <c r="M46" s="13"/>
      <c r="N46" s="12"/>
      <c r="O46" s="14"/>
      <c r="P46" s="14"/>
      <c r="Q46" s="14"/>
      <c r="R46" s="14"/>
      <c r="S46" s="14"/>
      <c r="T46" s="14"/>
      <c r="U46" s="14"/>
      <c r="V46" s="14"/>
      <c r="W46" s="15"/>
    </row>
    <row r="47" spans="1:23" x14ac:dyDescent="0.3">
      <c r="A47" s="145">
        <v>44</v>
      </c>
      <c r="B47" s="150" t="s">
        <v>27</v>
      </c>
      <c r="C47" s="47">
        <v>3500</v>
      </c>
      <c r="D47" s="38" t="s">
        <v>61</v>
      </c>
      <c r="E47" s="147">
        <f>354+385</f>
        <v>739</v>
      </c>
      <c r="F47" s="148">
        <f>1062732+1155066</f>
        <v>2217798</v>
      </c>
      <c r="G47" s="149">
        <f t="shared" si="0"/>
        <v>3.5749778073276015E-3</v>
      </c>
      <c r="K47" s="12"/>
      <c r="L47" s="16"/>
      <c r="M47" s="13"/>
      <c r="N47" s="12"/>
      <c r="O47" s="14"/>
      <c r="P47" s="14"/>
      <c r="Q47" s="14"/>
      <c r="R47" s="14"/>
      <c r="S47" s="14"/>
      <c r="T47" s="14"/>
      <c r="U47" s="14"/>
      <c r="V47" s="14"/>
      <c r="W47" s="15"/>
    </row>
    <row r="48" spans="1:23" x14ac:dyDescent="0.3">
      <c r="A48" s="63">
        <v>45</v>
      </c>
      <c r="B48" s="150" t="s">
        <v>214</v>
      </c>
      <c r="C48" s="47">
        <v>3500</v>
      </c>
      <c r="D48" s="38" t="s">
        <v>58</v>
      </c>
      <c r="E48" s="147">
        <f>526+198</f>
        <v>724</v>
      </c>
      <c r="F48" s="148">
        <f>1592274+585488</f>
        <v>2177762</v>
      </c>
      <c r="G48" s="149">
        <f t="shared" si="0"/>
        <v>3.5104418074330358E-3</v>
      </c>
      <c r="K48" s="12"/>
      <c r="L48" s="16"/>
      <c r="M48" s="13"/>
      <c r="N48" s="12"/>
      <c r="O48" s="14"/>
      <c r="P48" s="14"/>
      <c r="Q48" s="14"/>
      <c r="R48" s="14"/>
      <c r="S48" s="14"/>
      <c r="T48" s="14"/>
      <c r="U48" s="14"/>
      <c r="V48" s="14"/>
      <c r="W48" s="15"/>
    </row>
    <row r="49" spans="1:23" x14ac:dyDescent="0.3">
      <c r="A49" s="145">
        <v>46</v>
      </c>
      <c r="B49" s="150" t="s">
        <v>204</v>
      </c>
      <c r="C49" s="47">
        <v>4000</v>
      </c>
      <c r="D49" s="38" t="s">
        <v>59</v>
      </c>
      <c r="E49" s="147">
        <f>481+2+166</f>
        <v>649</v>
      </c>
      <c r="F49" s="148">
        <f>1589998+7272+559944</f>
        <v>2157214</v>
      </c>
      <c r="G49" s="149">
        <f t="shared" si="0"/>
        <v>3.477319474386939E-3</v>
      </c>
      <c r="K49" s="12"/>
      <c r="L49" s="16"/>
      <c r="M49" s="13"/>
      <c r="N49" s="12"/>
      <c r="O49" s="14"/>
      <c r="P49" s="14"/>
      <c r="Q49" s="14"/>
      <c r="R49" s="14"/>
      <c r="S49" s="14"/>
      <c r="T49" s="14"/>
      <c r="U49" s="14"/>
      <c r="V49" s="14"/>
      <c r="W49" s="15"/>
    </row>
    <row r="50" spans="1:23" x14ac:dyDescent="0.3">
      <c r="A50" s="145">
        <v>47</v>
      </c>
      <c r="B50" s="151" t="s">
        <v>298</v>
      </c>
      <c r="C50" s="48">
        <v>3000</v>
      </c>
      <c r="D50" s="37" t="s">
        <v>60</v>
      </c>
      <c r="E50" s="152">
        <f>777</f>
        <v>777</v>
      </c>
      <c r="F50" s="153">
        <v>2118879</v>
      </c>
      <c r="G50" s="149">
        <f t="shared" si="0"/>
        <v>3.4155254001547934E-3</v>
      </c>
      <c r="K50" s="12"/>
      <c r="L50" s="16"/>
      <c r="M50" s="13"/>
      <c r="N50" s="12"/>
      <c r="O50" s="14"/>
      <c r="P50" s="14"/>
      <c r="Q50" s="14"/>
      <c r="R50" s="14"/>
      <c r="S50" s="14"/>
      <c r="T50" s="14"/>
      <c r="U50" s="14"/>
      <c r="V50" s="14"/>
      <c r="W50" s="15"/>
    </row>
    <row r="51" spans="1:23" x14ac:dyDescent="0.3">
      <c r="A51" s="145">
        <v>48</v>
      </c>
      <c r="B51" s="150" t="s">
        <v>52</v>
      </c>
      <c r="C51" s="47">
        <v>4000</v>
      </c>
      <c r="D51" s="38" t="s">
        <v>58</v>
      </c>
      <c r="E51" s="147">
        <f>428+2+224</f>
        <v>654</v>
      </c>
      <c r="F51" s="148">
        <f>1363631+7272+719928</f>
        <v>2090831</v>
      </c>
      <c r="G51" s="149">
        <f t="shared" si="0"/>
        <v>3.3703134477858564E-3</v>
      </c>
      <c r="K51" s="12"/>
      <c r="L51" s="16"/>
      <c r="M51" s="13"/>
      <c r="N51" s="12"/>
      <c r="O51" s="14"/>
      <c r="P51" s="14"/>
      <c r="Q51" s="14"/>
      <c r="R51" s="14"/>
      <c r="S51" s="14"/>
      <c r="T51" s="14"/>
      <c r="U51" s="14"/>
      <c r="V51" s="14"/>
      <c r="W51" s="15"/>
    </row>
    <row r="52" spans="1:23" x14ac:dyDescent="0.3">
      <c r="A52" s="63">
        <v>49</v>
      </c>
      <c r="B52" s="150" t="s">
        <v>33</v>
      </c>
      <c r="C52" s="47">
        <v>3500</v>
      </c>
      <c r="D52" s="38" t="s">
        <v>62</v>
      </c>
      <c r="E52" s="147">
        <f>369+1+294</f>
        <v>664</v>
      </c>
      <c r="F52" s="148">
        <f>1126368+3182+900506</f>
        <v>2030056</v>
      </c>
      <c r="G52" s="149">
        <f t="shared" si="0"/>
        <v>3.2723472325397718E-3</v>
      </c>
      <c r="K52" s="12"/>
      <c r="L52" s="16"/>
      <c r="M52" s="13"/>
      <c r="N52" s="12"/>
      <c r="O52" s="14"/>
      <c r="P52" s="14"/>
      <c r="Q52" s="14"/>
      <c r="R52" s="14"/>
      <c r="S52" s="14"/>
      <c r="T52" s="14"/>
      <c r="U52" s="14"/>
      <c r="V52" s="14"/>
      <c r="W52" s="15"/>
    </row>
    <row r="53" spans="1:23" x14ac:dyDescent="0.3">
      <c r="A53" s="145">
        <v>50</v>
      </c>
      <c r="B53" s="154" t="s">
        <v>75</v>
      </c>
      <c r="C53" s="47">
        <v>2800</v>
      </c>
      <c r="D53" s="38" t="s">
        <v>64</v>
      </c>
      <c r="E53" s="147">
        <f>403+365</f>
        <v>768</v>
      </c>
      <c r="F53" s="148">
        <f>1023271+906020</f>
        <v>1929291</v>
      </c>
      <c r="G53" s="149">
        <f t="shared" si="0"/>
        <v>3.1099191670643021E-3</v>
      </c>
      <c r="K53" s="12"/>
      <c r="L53" s="16"/>
      <c r="M53" s="13"/>
      <c r="N53" s="12"/>
      <c r="O53" s="14"/>
      <c r="P53" s="14"/>
      <c r="Q53" s="14"/>
      <c r="R53" s="14"/>
      <c r="S53" s="14"/>
      <c r="T53" s="14"/>
      <c r="U53" s="14"/>
      <c r="V53" s="14"/>
      <c r="W53" s="15"/>
    </row>
    <row r="54" spans="1:23" x14ac:dyDescent="0.3">
      <c r="A54" s="145">
        <v>51</v>
      </c>
      <c r="B54" s="150" t="s">
        <v>16</v>
      </c>
      <c r="C54" s="47">
        <v>4000</v>
      </c>
      <c r="D54" s="38" t="s">
        <v>58</v>
      </c>
      <c r="E54" s="147">
        <f>402+1+178</f>
        <v>581</v>
      </c>
      <c r="F54" s="148">
        <f>1323635+3636+578124</f>
        <v>1905395</v>
      </c>
      <c r="G54" s="149">
        <f t="shared" si="0"/>
        <v>3.0714000279524895E-3</v>
      </c>
      <c r="K54" s="12"/>
      <c r="L54" s="16"/>
      <c r="M54" s="13"/>
      <c r="N54" s="12"/>
      <c r="O54" s="14"/>
      <c r="P54" s="14"/>
      <c r="Q54" s="14"/>
      <c r="R54" s="14"/>
      <c r="S54" s="14"/>
      <c r="T54" s="14"/>
      <c r="U54" s="14"/>
      <c r="V54" s="14"/>
      <c r="W54" s="15"/>
    </row>
    <row r="55" spans="1:23" x14ac:dyDescent="0.3">
      <c r="A55" s="145">
        <v>52</v>
      </c>
      <c r="B55" s="150" t="s">
        <v>83</v>
      </c>
      <c r="C55" s="47">
        <v>3500</v>
      </c>
      <c r="D55" s="38" t="s">
        <v>61</v>
      </c>
      <c r="E55" s="147">
        <f>482+2+160</f>
        <v>644</v>
      </c>
      <c r="F55" s="148">
        <f>1444545+6727+448662</f>
        <v>1899934</v>
      </c>
      <c r="G55" s="149">
        <f t="shared" si="0"/>
        <v>3.0625971731362187E-3</v>
      </c>
      <c r="K55" s="12"/>
      <c r="L55" s="16"/>
      <c r="M55" s="13"/>
      <c r="N55" s="12"/>
      <c r="O55" s="14"/>
      <c r="P55" s="14"/>
      <c r="Q55" s="14"/>
      <c r="R55" s="14"/>
      <c r="S55" s="14"/>
      <c r="T55" s="14"/>
      <c r="U55" s="14"/>
      <c r="V55" s="14"/>
      <c r="W55" s="15"/>
    </row>
    <row r="56" spans="1:23" x14ac:dyDescent="0.3">
      <c r="A56" s="63">
        <v>53</v>
      </c>
      <c r="B56" s="154" t="s">
        <v>189</v>
      </c>
      <c r="C56" s="47">
        <v>2800</v>
      </c>
      <c r="D56" s="38" t="s">
        <v>64</v>
      </c>
      <c r="E56" s="147">
        <f>507+1+225</f>
        <v>733</v>
      </c>
      <c r="F56" s="148">
        <f>1280360+2545+559123</f>
        <v>1842028</v>
      </c>
      <c r="G56" s="149">
        <f t="shared" si="0"/>
        <v>2.9692556402684317E-3</v>
      </c>
      <c r="K56" s="12"/>
      <c r="L56" s="16"/>
      <c r="M56" s="13"/>
      <c r="N56" s="12"/>
      <c r="O56" s="14"/>
      <c r="P56" s="14"/>
      <c r="Q56" s="14"/>
      <c r="R56" s="14"/>
      <c r="S56" s="14"/>
      <c r="T56" s="14"/>
      <c r="U56" s="14"/>
      <c r="V56" s="14"/>
      <c r="W56" s="15"/>
    </row>
    <row r="57" spans="1:23" x14ac:dyDescent="0.3">
      <c r="A57" s="145">
        <v>54</v>
      </c>
      <c r="B57" s="154" t="s">
        <v>188</v>
      </c>
      <c r="C57" s="47">
        <v>1800</v>
      </c>
      <c r="D57" s="38" t="s">
        <v>64</v>
      </c>
      <c r="E57" s="147">
        <f>761+348</f>
        <v>1109</v>
      </c>
      <c r="F57" s="148">
        <f>1243633+559512</f>
        <v>1803145</v>
      </c>
      <c r="G57" s="149">
        <f t="shared" si="0"/>
        <v>2.9065782178510973E-3</v>
      </c>
      <c r="K57" s="12"/>
      <c r="L57" s="16"/>
      <c r="M57" s="13"/>
      <c r="N57" s="12"/>
      <c r="O57" s="14"/>
      <c r="P57" s="14"/>
      <c r="Q57" s="14"/>
      <c r="R57" s="14"/>
      <c r="S57" s="14"/>
      <c r="T57" s="14"/>
      <c r="U57" s="14"/>
      <c r="V57" s="14"/>
      <c r="W57" s="15"/>
    </row>
    <row r="58" spans="1:23" x14ac:dyDescent="0.3">
      <c r="A58" s="145">
        <v>55</v>
      </c>
      <c r="B58" s="156" t="s">
        <v>293</v>
      </c>
      <c r="C58" s="47">
        <v>3800</v>
      </c>
      <c r="D58" s="38" t="s">
        <v>58</v>
      </c>
      <c r="E58" s="147">
        <f>451+3+2+79</f>
        <v>535</v>
      </c>
      <c r="F58" s="148">
        <f>1499282+10365+6910+262580</f>
        <v>1779137</v>
      </c>
      <c r="G58" s="149">
        <f t="shared" si="0"/>
        <v>2.8678785404240635E-3</v>
      </c>
      <c r="K58" s="12"/>
      <c r="L58" s="16"/>
      <c r="M58" s="13"/>
      <c r="N58" s="12"/>
      <c r="O58" s="14"/>
      <c r="P58" s="14"/>
      <c r="Q58" s="14"/>
      <c r="R58" s="14"/>
      <c r="S58" s="14"/>
      <c r="T58" s="14"/>
      <c r="U58" s="14"/>
      <c r="V58" s="14"/>
      <c r="W58" s="15"/>
    </row>
    <row r="59" spans="1:23" x14ac:dyDescent="0.3">
      <c r="A59" s="145">
        <v>56</v>
      </c>
      <c r="B59" s="150" t="s">
        <v>44</v>
      </c>
      <c r="C59" s="47">
        <v>3500</v>
      </c>
      <c r="D59" s="38" t="s">
        <v>62</v>
      </c>
      <c r="E59" s="147">
        <f>391+1+1+178</f>
        <v>571</v>
      </c>
      <c r="F59" s="148">
        <f>1193182+3182+3182+547304</f>
        <v>1746850</v>
      </c>
      <c r="G59" s="149">
        <f t="shared" si="0"/>
        <v>2.8158335352138565E-3</v>
      </c>
      <c r="K59" s="12"/>
      <c r="L59" s="16"/>
      <c r="M59" s="13"/>
      <c r="N59" s="12"/>
      <c r="O59" s="14"/>
      <c r="P59" s="14"/>
      <c r="Q59" s="14"/>
      <c r="R59" s="14"/>
      <c r="S59" s="14"/>
      <c r="T59" s="14"/>
      <c r="U59" s="14"/>
      <c r="V59" s="14"/>
      <c r="W59" s="15"/>
    </row>
    <row r="60" spans="1:23" x14ac:dyDescent="0.3">
      <c r="A60" s="63">
        <v>57</v>
      </c>
      <c r="B60" s="150" t="s">
        <v>5</v>
      </c>
      <c r="C60" s="47">
        <v>3500</v>
      </c>
      <c r="D60" s="38" t="s">
        <v>61</v>
      </c>
      <c r="E60" s="147">
        <f>373+1+3+193</f>
        <v>570</v>
      </c>
      <c r="F60" s="148">
        <f>1139093+3636+9546+579124</f>
        <v>1731399</v>
      </c>
      <c r="G60" s="149">
        <f t="shared" si="0"/>
        <v>2.7909273074595621E-3</v>
      </c>
      <c r="K60" s="12"/>
      <c r="L60" s="16"/>
      <c r="M60" s="13"/>
      <c r="N60" s="12"/>
      <c r="O60" s="14"/>
      <c r="P60" s="14"/>
      <c r="Q60" s="14"/>
      <c r="R60" s="14"/>
      <c r="S60" s="14"/>
      <c r="T60" s="14"/>
      <c r="U60" s="14"/>
      <c r="V60" s="14"/>
      <c r="W60" s="15"/>
    </row>
    <row r="61" spans="1:23" x14ac:dyDescent="0.3">
      <c r="A61" s="145">
        <v>58</v>
      </c>
      <c r="B61" s="154" t="s">
        <v>233</v>
      </c>
      <c r="C61" s="47">
        <v>500</v>
      </c>
      <c r="D61" s="38" t="s">
        <v>70</v>
      </c>
      <c r="E61" s="147">
        <f>2459+1371+5</f>
        <v>3835</v>
      </c>
      <c r="F61" s="148">
        <v>1697896</v>
      </c>
      <c r="G61" s="149">
        <f t="shared" si="0"/>
        <v>2.7369221719698122E-3</v>
      </c>
      <c r="K61" s="12"/>
      <c r="L61" s="16"/>
      <c r="M61" s="13"/>
      <c r="N61" s="12"/>
      <c r="O61" s="14"/>
      <c r="P61" s="14"/>
      <c r="Q61" s="14"/>
      <c r="R61" s="14"/>
      <c r="S61" s="14"/>
      <c r="T61" s="14"/>
      <c r="U61" s="14"/>
      <c r="V61" s="14"/>
      <c r="W61" s="15"/>
    </row>
    <row r="62" spans="1:23" x14ac:dyDescent="0.3">
      <c r="A62" s="145">
        <v>59</v>
      </c>
      <c r="B62" s="146" t="s">
        <v>107</v>
      </c>
      <c r="C62" s="47">
        <v>4200</v>
      </c>
      <c r="D62" s="38" t="s">
        <v>63</v>
      </c>
      <c r="E62" s="147">
        <f>302+130</f>
        <v>432</v>
      </c>
      <c r="F62" s="148">
        <f>1137820+484886</f>
        <v>1622706</v>
      </c>
      <c r="G62" s="149">
        <f t="shared" si="0"/>
        <v>2.6157197083852284E-3</v>
      </c>
      <c r="K62" s="12"/>
      <c r="L62" s="16"/>
      <c r="M62" s="13"/>
      <c r="N62" s="12"/>
      <c r="O62" s="14"/>
      <c r="P62" s="14"/>
      <c r="Q62" s="14"/>
      <c r="R62" s="14"/>
      <c r="S62" s="14"/>
      <c r="T62" s="14"/>
      <c r="U62" s="14"/>
      <c r="V62" s="14"/>
      <c r="W62" s="15"/>
    </row>
    <row r="63" spans="1:23" x14ac:dyDescent="0.3">
      <c r="A63" s="145">
        <v>60</v>
      </c>
      <c r="B63" s="150" t="s">
        <v>53</v>
      </c>
      <c r="C63" s="47">
        <v>3500</v>
      </c>
      <c r="D63" s="38" t="s">
        <v>62</v>
      </c>
      <c r="E63" s="147">
        <f>286+229</f>
        <v>515</v>
      </c>
      <c r="F63" s="148">
        <f>868638+680948</f>
        <v>1549586</v>
      </c>
      <c r="G63" s="149">
        <f t="shared" si="0"/>
        <v>2.497853979733749E-3</v>
      </c>
      <c r="K63" s="12"/>
      <c r="L63" s="16"/>
      <c r="M63" s="13"/>
      <c r="N63" s="12"/>
      <c r="O63" s="14"/>
      <c r="P63" s="14"/>
      <c r="Q63" s="14"/>
      <c r="R63" s="14"/>
      <c r="S63" s="14"/>
      <c r="T63" s="14"/>
      <c r="U63" s="14"/>
      <c r="V63" s="14"/>
      <c r="W63" s="15"/>
    </row>
    <row r="64" spans="1:23" x14ac:dyDescent="0.3">
      <c r="A64" s="63">
        <v>61</v>
      </c>
      <c r="B64" s="150" t="s">
        <v>82</v>
      </c>
      <c r="C64" s="47">
        <v>3500</v>
      </c>
      <c r="D64" s="38" t="s">
        <v>62</v>
      </c>
      <c r="E64" s="147">
        <f>344+3+157</f>
        <v>504</v>
      </c>
      <c r="F64" s="148">
        <f>1035589+9546+480482</f>
        <v>1525617</v>
      </c>
      <c r="G64" s="149">
        <f t="shared" si="0"/>
        <v>2.4592171683271934E-3</v>
      </c>
      <c r="K64" s="12"/>
      <c r="L64" s="16"/>
      <c r="M64" s="13"/>
      <c r="N64" s="12"/>
      <c r="O64" s="14"/>
      <c r="P64" s="14"/>
      <c r="Q64" s="14"/>
      <c r="R64" s="14"/>
      <c r="S64" s="14"/>
      <c r="T64" s="14"/>
      <c r="U64" s="14"/>
      <c r="V64" s="14"/>
      <c r="W64" s="15"/>
    </row>
    <row r="65" spans="1:23" x14ac:dyDescent="0.3">
      <c r="A65" s="145">
        <v>62</v>
      </c>
      <c r="B65" s="150" t="s">
        <v>8</v>
      </c>
      <c r="C65" s="47">
        <v>3500</v>
      </c>
      <c r="D65" s="38" t="s">
        <v>61</v>
      </c>
      <c r="E65" s="147">
        <f>319+147+3</f>
        <v>469</v>
      </c>
      <c r="F65" s="148">
        <f>967277+439116+10091</f>
        <v>1416484</v>
      </c>
      <c r="G65" s="149">
        <f t="shared" si="0"/>
        <v>2.2833003115859201E-3</v>
      </c>
      <c r="K65" s="12"/>
      <c r="L65" s="16"/>
      <c r="M65" s="13"/>
      <c r="N65" s="12"/>
      <c r="O65" s="14"/>
      <c r="P65" s="14"/>
      <c r="Q65" s="14"/>
      <c r="R65" s="14"/>
      <c r="S65" s="14"/>
      <c r="T65" s="14"/>
      <c r="U65" s="14"/>
      <c r="V65" s="14"/>
      <c r="W65" s="15"/>
    </row>
    <row r="66" spans="1:23" x14ac:dyDescent="0.3">
      <c r="A66" s="145">
        <v>63</v>
      </c>
      <c r="B66" s="150" t="s">
        <v>54</v>
      </c>
      <c r="C66" s="47">
        <v>3500</v>
      </c>
      <c r="D66" s="38" t="s">
        <v>62</v>
      </c>
      <c r="E66" s="147">
        <f>303+1+154</f>
        <v>458</v>
      </c>
      <c r="F66" s="148">
        <f>925911+477300</f>
        <v>1403211</v>
      </c>
      <c r="G66" s="149">
        <f t="shared" si="0"/>
        <v>2.2619049092829783E-3</v>
      </c>
      <c r="K66" s="12"/>
      <c r="L66" s="16"/>
      <c r="M66" s="13"/>
      <c r="N66" s="12"/>
      <c r="O66" s="14"/>
      <c r="P66" s="14"/>
      <c r="Q66" s="14"/>
      <c r="R66" s="14"/>
      <c r="S66" s="14"/>
      <c r="T66" s="14"/>
      <c r="U66" s="14"/>
      <c r="V66" s="14"/>
      <c r="W66" s="15"/>
    </row>
    <row r="67" spans="1:23" x14ac:dyDescent="0.3">
      <c r="A67" s="145">
        <v>64</v>
      </c>
      <c r="B67" s="150" t="s">
        <v>81</v>
      </c>
      <c r="C67" s="47">
        <v>3500</v>
      </c>
      <c r="D67" s="38" t="s">
        <v>62</v>
      </c>
      <c r="E67" s="147">
        <f>224+227</f>
        <v>451</v>
      </c>
      <c r="F67" s="148">
        <f>684092+687312</f>
        <v>1371404</v>
      </c>
      <c r="G67" s="149">
        <f t="shared" si="0"/>
        <v>2.2106336397094335E-3</v>
      </c>
      <c r="K67" s="12"/>
      <c r="L67" s="16"/>
      <c r="M67" s="13"/>
      <c r="N67" s="12"/>
      <c r="O67" s="14"/>
      <c r="P67" s="14"/>
      <c r="Q67" s="14"/>
      <c r="R67" s="14"/>
      <c r="S67" s="14"/>
      <c r="T67" s="14"/>
      <c r="U67" s="14"/>
      <c r="V67" s="14"/>
      <c r="W67" s="15"/>
    </row>
    <row r="68" spans="1:23" x14ac:dyDescent="0.3">
      <c r="A68" s="63">
        <v>65</v>
      </c>
      <c r="B68" s="150" t="s">
        <v>1</v>
      </c>
      <c r="C68" s="47">
        <v>3500</v>
      </c>
      <c r="D68" s="38" t="s">
        <v>61</v>
      </c>
      <c r="E68" s="147">
        <f>440+415</f>
        <v>855</v>
      </c>
      <c r="F68" s="157">
        <f>1293096</f>
        <v>1293096</v>
      </c>
      <c r="G68" s="149">
        <f t="shared" ref="G68:G131" si="1">F68/$F$263</f>
        <v>2.0844051183850341E-3</v>
      </c>
      <c r="K68" s="12"/>
      <c r="L68" s="16"/>
      <c r="M68" s="13"/>
      <c r="N68" s="12"/>
      <c r="O68" s="14"/>
      <c r="P68" s="14"/>
      <c r="Q68" s="14"/>
      <c r="R68" s="14"/>
      <c r="S68" s="14"/>
      <c r="T68" s="14"/>
      <c r="U68" s="14"/>
      <c r="V68" s="14"/>
      <c r="W68" s="15"/>
    </row>
    <row r="69" spans="1:23" x14ac:dyDescent="0.3">
      <c r="A69" s="145">
        <v>66</v>
      </c>
      <c r="B69" s="150" t="s">
        <v>51</v>
      </c>
      <c r="C69" s="47">
        <v>4000</v>
      </c>
      <c r="D69" s="38" t="s">
        <v>58</v>
      </c>
      <c r="E69" s="147">
        <f>313+7+80</f>
        <v>400</v>
      </c>
      <c r="F69" s="148">
        <f>1003635+21816+3636+261792</f>
        <v>1290879</v>
      </c>
      <c r="G69" s="149">
        <f t="shared" si="1"/>
        <v>2.0808314269132027E-3</v>
      </c>
      <c r="K69" s="12"/>
      <c r="L69" s="16"/>
      <c r="M69" s="13"/>
      <c r="N69" s="12"/>
      <c r="O69" s="14"/>
      <c r="P69" s="14"/>
      <c r="Q69" s="14"/>
      <c r="R69" s="14"/>
      <c r="S69" s="14"/>
      <c r="T69" s="14"/>
      <c r="U69" s="14"/>
      <c r="V69" s="14"/>
      <c r="W69" s="15"/>
    </row>
    <row r="70" spans="1:23" x14ac:dyDescent="0.3">
      <c r="A70" s="145">
        <v>67</v>
      </c>
      <c r="B70" s="150" t="s">
        <v>49</v>
      </c>
      <c r="C70" s="47">
        <v>3500</v>
      </c>
      <c r="D70" s="38" t="s">
        <v>61</v>
      </c>
      <c r="E70" s="147">
        <f>205+1+229</f>
        <v>435</v>
      </c>
      <c r="F70" s="148">
        <f>575909+3636+690494</f>
        <v>1270039</v>
      </c>
      <c r="G70" s="149">
        <f t="shared" si="1"/>
        <v>2.0472384046881366E-3</v>
      </c>
      <c r="K70" s="12"/>
      <c r="L70" s="16"/>
      <c r="M70" s="13"/>
      <c r="N70" s="12"/>
      <c r="O70" s="14"/>
      <c r="P70" s="14"/>
      <c r="Q70" s="14"/>
      <c r="R70" s="14"/>
      <c r="S70" s="14"/>
      <c r="T70" s="14"/>
      <c r="U70" s="14"/>
      <c r="V70" s="14"/>
      <c r="W70" s="15"/>
    </row>
    <row r="71" spans="1:23" x14ac:dyDescent="0.3">
      <c r="A71" s="145">
        <v>68</v>
      </c>
      <c r="B71" s="150" t="s">
        <v>202</v>
      </c>
      <c r="C71" s="47">
        <v>4000</v>
      </c>
      <c r="D71" s="38" t="s">
        <v>58</v>
      </c>
      <c r="E71" s="147">
        <f>269+4+109</f>
        <v>382</v>
      </c>
      <c r="F71" s="148">
        <f>901812+14544+341784</f>
        <v>1258140</v>
      </c>
      <c r="G71" s="149">
        <f t="shared" si="1"/>
        <v>2.0280578206451393E-3</v>
      </c>
      <c r="K71" s="12"/>
      <c r="L71" s="16"/>
      <c r="M71" s="13"/>
      <c r="N71" s="12"/>
      <c r="O71" s="14"/>
      <c r="P71" s="14"/>
      <c r="Q71" s="14"/>
      <c r="R71" s="14"/>
      <c r="S71" s="14"/>
      <c r="T71" s="14"/>
      <c r="U71" s="14"/>
      <c r="V71" s="14"/>
      <c r="W71" s="15"/>
    </row>
    <row r="72" spans="1:23" x14ac:dyDescent="0.3">
      <c r="A72" s="63">
        <v>69</v>
      </c>
      <c r="B72" s="154" t="s">
        <v>118</v>
      </c>
      <c r="C72" s="47">
        <v>2800</v>
      </c>
      <c r="D72" s="38" t="s">
        <v>64</v>
      </c>
      <c r="E72" s="147">
        <f>305+191</f>
        <v>496</v>
      </c>
      <c r="F72" s="148">
        <f>771272+475915</f>
        <v>1247187</v>
      </c>
      <c r="G72" s="149">
        <f t="shared" si="1"/>
        <v>2.0104021405860629E-3</v>
      </c>
      <c r="K72" s="12"/>
      <c r="L72" s="16"/>
      <c r="M72" s="13"/>
      <c r="N72" s="12"/>
      <c r="O72" s="14"/>
      <c r="P72" s="14"/>
      <c r="Q72" s="14"/>
      <c r="R72" s="14"/>
      <c r="S72" s="14"/>
      <c r="T72" s="14"/>
      <c r="U72" s="14"/>
      <c r="V72" s="14"/>
      <c r="W72" s="15"/>
    </row>
    <row r="73" spans="1:23" x14ac:dyDescent="0.3">
      <c r="A73" s="145">
        <v>70</v>
      </c>
      <c r="B73" s="151" t="s">
        <v>296</v>
      </c>
      <c r="C73" s="48">
        <v>2000</v>
      </c>
      <c r="D73" s="37" t="s">
        <v>60</v>
      </c>
      <c r="E73" s="152">
        <f>678</f>
        <v>678</v>
      </c>
      <c r="F73" s="153">
        <v>1232604</v>
      </c>
      <c r="G73" s="149">
        <f t="shared" si="1"/>
        <v>1.9868950847747317E-3</v>
      </c>
      <c r="K73" s="12"/>
      <c r="L73" s="16"/>
      <c r="M73" s="13"/>
      <c r="N73" s="12"/>
      <c r="O73" s="14"/>
      <c r="P73" s="14"/>
      <c r="Q73" s="14"/>
      <c r="R73" s="14"/>
      <c r="S73" s="14"/>
      <c r="T73" s="14"/>
      <c r="U73" s="14"/>
      <c r="V73" s="14"/>
      <c r="W73" s="15"/>
    </row>
    <row r="74" spans="1:23" x14ac:dyDescent="0.3">
      <c r="A74" s="145">
        <v>71</v>
      </c>
      <c r="B74" s="150" t="s">
        <v>88</v>
      </c>
      <c r="C74" s="47">
        <v>3500</v>
      </c>
      <c r="D74" s="38" t="s">
        <v>63</v>
      </c>
      <c r="E74" s="158">
        <f>398</f>
        <v>398</v>
      </c>
      <c r="F74" s="157">
        <v>1218640</v>
      </c>
      <c r="G74" s="149">
        <f t="shared" si="1"/>
        <v>1.9643858255448459E-3</v>
      </c>
      <c r="K74" s="12"/>
      <c r="L74" s="16"/>
      <c r="M74" s="13"/>
      <c r="N74" s="12"/>
      <c r="O74" s="14"/>
      <c r="P74" s="14"/>
      <c r="Q74" s="14"/>
      <c r="R74" s="14"/>
      <c r="S74" s="14"/>
      <c r="T74" s="14"/>
      <c r="U74" s="14"/>
      <c r="V74" s="14"/>
      <c r="W74" s="15"/>
    </row>
    <row r="75" spans="1:23" x14ac:dyDescent="0.3">
      <c r="A75" s="145">
        <v>72</v>
      </c>
      <c r="B75" s="154" t="s">
        <v>257</v>
      </c>
      <c r="C75" s="47">
        <v>2700</v>
      </c>
      <c r="D75" s="38" t="s">
        <v>64</v>
      </c>
      <c r="E75" s="147">
        <f>289+2+217</f>
        <v>508</v>
      </c>
      <c r="F75" s="148">
        <f>684823+4910+500820</f>
        <v>1190553</v>
      </c>
      <c r="G75" s="149">
        <f t="shared" si="1"/>
        <v>1.9191110071554297E-3</v>
      </c>
      <c r="K75" s="12"/>
      <c r="L75" s="17"/>
      <c r="M75" s="13"/>
      <c r="N75" s="12"/>
      <c r="O75" s="14"/>
      <c r="P75" s="14"/>
      <c r="Q75" s="14"/>
      <c r="R75" s="14"/>
      <c r="S75" s="14"/>
      <c r="T75" s="14"/>
      <c r="U75" s="14"/>
      <c r="V75" s="14"/>
      <c r="W75" s="15"/>
    </row>
    <row r="76" spans="1:23" x14ac:dyDescent="0.3">
      <c r="A76" s="63">
        <v>73</v>
      </c>
      <c r="B76" s="150" t="s">
        <v>224</v>
      </c>
      <c r="C76" s="47">
        <v>3500</v>
      </c>
      <c r="D76" s="38" t="s">
        <v>59</v>
      </c>
      <c r="E76" s="147">
        <f>276+3+101</f>
        <v>380</v>
      </c>
      <c r="F76" s="148">
        <f>841817+9546+289562</f>
        <v>1140925</v>
      </c>
      <c r="G76" s="149">
        <f t="shared" si="1"/>
        <v>1.8391131901215726E-3</v>
      </c>
      <c r="K76" s="12"/>
      <c r="L76" s="16"/>
      <c r="M76" s="13"/>
      <c r="N76" s="12"/>
      <c r="O76" s="14"/>
      <c r="P76" s="14"/>
      <c r="Q76" s="14"/>
      <c r="R76" s="14"/>
      <c r="S76" s="14"/>
      <c r="T76" s="14"/>
      <c r="U76" s="14"/>
      <c r="V76" s="14"/>
      <c r="W76" s="15"/>
    </row>
    <row r="77" spans="1:23" x14ac:dyDescent="0.3">
      <c r="A77" s="145">
        <v>74</v>
      </c>
      <c r="B77" s="154" t="s">
        <v>258</v>
      </c>
      <c r="C77" s="47">
        <v>2700</v>
      </c>
      <c r="D77" s="38" t="s">
        <v>64</v>
      </c>
      <c r="E77" s="147">
        <f>349+91</f>
        <v>440</v>
      </c>
      <c r="F77" s="148">
        <f>847274+206220</f>
        <v>1053494</v>
      </c>
      <c r="G77" s="149">
        <f t="shared" si="1"/>
        <v>1.6981788558528704E-3</v>
      </c>
      <c r="K77" s="12"/>
      <c r="L77" s="17"/>
      <c r="M77" s="13"/>
      <c r="N77" s="12"/>
      <c r="O77" s="14"/>
      <c r="P77" s="14"/>
      <c r="Q77" s="14"/>
      <c r="R77" s="14"/>
      <c r="S77" s="14"/>
      <c r="T77" s="14"/>
      <c r="U77" s="14"/>
      <c r="V77" s="14"/>
      <c r="W77" s="15"/>
    </row>
    <row r="78" spans="1:23" x14ac:dyDescent="0.3">
      <c r="A78" s="145">
        <v>75</v>
      </c>
      <c r="B78" s="154" t="s">
        <v>135</v>
      </c>
      <c r="C78" s="47">
        <v>2800</v>
      </c>
      <c r="D78" s="38" t="s">
        <v>64</v>
      </c>
      <c r="E78" s="147">
        <f>243+162</f>
        <v>405</v>
      </c>
      <c r="F78" s="148">
        <f>613454+407200</f>
        <v>1020654</v>
      </c>
      <c r="G78" s="149">
        <f t="shared" si="1"/>
        <v>1.6452424427112595E-3</v>
      </c>
      <c r="K78" s="12"/>
      <c r="L78" s="16"/>
      <c r="M78" s="13"/>
      <c r="N78" s="12"/>
      <c r="O78" s="14"/>
      <c r="P78" s="14"/>
      <c r="Q78" s="14"/>
      <c r="R78" s="14"/>
      <c r="S78" s="14"/>
      <c r="T78" s="14"/>
      <c r="U78" s="14"/>
      <c r="V78" s="14"/>
      <c r="W78" s="15"/>
    </row>
    <row r="79" spans="1:23" x14ac:dyDescent="0.3">
      <c r="A79" s="145">
        <v>76</v>
      </c>
      <c r="B79" s="150" t="s">
        <v>87</v>
      </c>
      <c r="C79" s="47">
        <v>3500</v>
      </c>
      <c r="D79" s="38" t="s">
        <v>63</v>
      </c>
      <c r="E79" s="147">
        <f>6+1+339</f>
        <v>346</v>
      </c>
      <c r="F79" s="148">
        <f>19091+3182+992784</f>
        <v>1015057</v>
      </c>
      <c r="G79" s="149">
        <f t="shared" si="1"/>
        <v>1.6362203627979344E-3</v>
      </c>
      <c r="K79" s="12"/>
      <c r="L79" s="17"/>
      <c r="M79" s="13"/>
      <c r="N79" s="12"/>
      <c r="O79" s="14"/>
      <c r="P79" s="14"/>
      <c r="Q79" s="14"/>
      <c r="R79" s="14"/>
      <c r="S79" s="14"/>
      <c r="T79" s="14"/>
      <c r="U79" s="14"/>
      <c r="V79" s="14"/>
      <c r="W79" s="15"/>
    </row>
    <row r="80" spans="1:23" x14ac:dyDescent="0.3">
      <c r="A80" s="63">
        <v>77</v>
      </c>
      <c r="B80" s="150" t="s">
        <v>200</v>
      </c>
      <c r="C80" s="47">
        <v>3800</v>
      </c>
      <c r="D80" s="38" t="s">
        <v>59</v>
      </c>
      <c r="E80" s="147">
        <f>239+4+60</f>
        <v>303</v>
      </c>
      <c r="F80" s="148">
        <f>794554+13820+193480</f>
        <v>1001854</v>
      </c>
      <c r="G80" s="149">
        <f t="shared" si="1"/>
        <v>1.614937796942006E-3</v>
      </c>
      <c r="K80" s="12"/>
      <c r="L80" s="16"/>
      <c r="M80" s="13"/>
      <c r="N80" s="12"/>
      <c r="O80" s="14"/>
      <c r="P80" s="14"/>
      <c r="Q80" s="14"/>
      <c r="R80" s="14"/>
      <c r="S80" s="14"/>
      <c r="T80" s="14"/>
      <c r="U80" s="14"/>
      <c r="V80" s="14"/>
      <c r="W80" s="15"/>
    </row>
    <row r="81" spans="1:23" x14ac:dyDescent="0.3">
      <c r="A81" s="145">
        <v>78</v>
      </c>
      <c r="B81" s="146" t="s">
        <v>110</v>
      </c>
      <c r="C81" s="47">
        <v>4200</v>
      </c>
      <c r="D81" s="38" t="s">
        <v>63</v>
      </c>
      <c r="E81" s="147">
        <f>115+6+1+141</f>
        <v>263</v>
      </c>
      <c r="F81" s="148">
        <f>432090+22909+3818+538338</f>
        <v>997155</v>
      </c>
      <c r="G81" s="149">
        <f t="shared" si="1"/>
        <v>1.6073632474489356E-3</v>
      </c>
      <c r="K81" s="12"/>
      <c r="L81" s="17"/>
      <c r="M81" s="13"/>
      <c r="N81" s="12"/>
      <c r="O81" s="14"/>
      <c r="P81" s="14"/>
      <c r="Q81" s="14"/>
      <c r="R81" s="14"/>
      <c r="S81" s="14"/>
      <c r="T81" s="14"/>
      <c r="U81" s="14"/>
      <c r="V81" s="14"/>
      <c r="W81" s="15"/>
    </row>
    <row r="82" spans="1:23" x14ac:dyDescent="0.3">
      <c r="A82" s="145">
        <v>79</v>
      </c>
      <c r="B82" s="150" t="s">
        <v>15</v>
      </c>
      <c r="C82" s="47">
        <v>3500</v>
      </c>
      <c r="D82" s="38" t="s">
        <v>62</v>
      </c>
      <c r="E82" s="147">
        <f>217+108</f>
        <v>325</v>
      </c>
      <c r="F82" s="148">
        <f>658642+337292</f>
        <v>995934</v>
      </c>
      <c r="G82" s="149">
        <f t="shared" si="1"/>
        <v>1.6053950574231772E-3</v>
      </c>
      <c r="K82" s="12"/>
      <c r="L82" s="16"/>
      <c r="M82" s="13"/>
      <c r="N82" s="12"/>
      <c r="O82" s="14"/>
      <c r="P82" s="14"/>
      <c r="Q82" s="14"/>
      <c r="R82" s="14"/>
      <c r="S82" s="14"/>
      <c r="T82" s="14"/>
      <c r="U82" s="14"/>
      <c r="V82" s="14"/>
      <c r="W82" s="15"/>
    </row>
    <row r="83" spans="1:23" x14ac:dyDescent="0.3">
      <c r="A83" s="145">
        <v>80</v>
      </c>
      <c r="B83" s="150" t="s">
        <v>32</v>
      </c>
      <c r="C83" s="47">
        <v>4000</v>
      </c>
      <c r="D83" s="38" t="s">
        <v>58</v>
      </c>
      <c r="E83" s="147">
        <f>209+1+94</f>
        <v>304</v>
      </c>
      <c r="F83" s="148">
        <f>672725+3636+287244</f>
        <v>963605</v>
      </c>
      <c r="G83" s="149">
        <f t="shared" si="1"/>
        <v>1.5532823503447623E-3</v>
      </c>
      <c r="K83" s="12"/>
      <c r="L83" s="16"/>
      <c r="M83" s="13"/>
      <c r="N83" s="12"/>
      <c r="O83" s="14"/>
      <c r="P83" s="14"/>
      <c r="Q83" s="14"/>
      <c r="R83" s="14"/>
      <c r="S83" s="14"/>
      <c r="T83" s="14"/>
      <c r="U83" s="14"/>
      <c r="V83" s="14"/>
      <c r="W83" s="15"/>
    </row>
    <row r="84" spans="1:23" x14ac:dyDescent="0.3">
      <c r="A84" s="63">
        <v>81</v>
      </c>
      <c r="B84" s="146" t="s">
        <v>175</v>
      </c>
      <c r="C84" s="47">
        <v>4200</v>
      </c>
      <c r="D84" s="38" t="s">
        <v>61</v>
      </c>
      <c r="E84" s="147">
        <f>167+2+82</f>
        <v>251</v>
      </c>
      <c r="F84" s="148">
        <f>629996+7272+313076</f>
        <v>950344</v>
      </c>
      <c r="G84" s="149">
        <f t="shared" si="1"/>
        <v>1.5319062914327373E-3</v>
      </c>
      <c r="K84" s="12"/>
      <c r="L84" s="17"/>
      <c r="M84" s="13"/>
      <c r="N84" s="12"/>
      <c r="O84" s="14"/>
      <c r="P84" s="14"/>
      <c r="Q84" s="14"/>
      <c r="R84" s="14"/>
      <c r="S84" s="14"/>
      <c r="T84" s="14"/>
      <c r="U84" s="14"/>
      <c r="V84" s="14"/>
      <c r="W84" s="15"/>
    </row>
    <row r="85" spans="1:23" x14ac:dyDescent="0.3">
      <c r="A85" s="145">
        <v>82</v>
      </c>
      <c r="B85" s="150" t="s">
        <v>38</v>
      </c>
      <c r="C85" s="47">
        <v>4000</v>
      </c>
      <c r="D85" s="38" t="s">
        <v>62</v>
      </c>
      <c r="E85" s="147">
        <f>203+70</f>
        <v>273</v>
      </c>
      <c r="F85" s="148">
        <f>719997+222705</f>
        <v>942702</v>
      </c>
      <c r="G85" s="149">
        <f t="shared" si="1"/>
        <v>1.5195877753173845E-3</v>
      </c>
      <c r="K85" s="12"/>
      <c r="L85" s="16"/>
      <c r="M85" s="13"/>
      <c r="N85" s="12"/>
      <c r="O85" s="14"/>
      <c r="P85" s="14"/>
      <c r="Q85" s="14"/>
      <c r="R85" s="14"/>
      <c r="S85" s="14"/>
      <c r="T85" s="14"/>
      <c r="U85" s="14"/>
      <c r="V85" s="14"/>
      <c r="W85" s="15"/>
    </row>
    <row r="86" spans="1:23" x14ac:dyDescent="0.3">
      <c r="A86" s="145">
        <v>83</v>
      </c>
      <c r="B86" s="146" t="s">
        <v>220</v>
      </c>
      <c r="C86" s="47">
        <v>4000</v>
      </c>
      <c r="D86" s="38" t="s">
        <v>58</v>
      </c>
      <c r="E86" s="147">
        <f>168+1+89</f>
        <v>258</v>
      </c>
      <c r="F86" s="148">
        <f>596361+3636+305424</f>
        <v>905421</v>
      </c>
      <c r="G86" s="149">
        <f t="shared" si="1"/>
        <v>1.4594926955874088E-3</v>
      </c>
      <c r="K86" s="12"/>
      <c r="L86" s="17"/>
      <c r="M86" s="13"/>
      <c r="N86" s="12"/>
      <c r="O86" s="14"/>
      <c r="P86" s="14"/>
      <c r="Q86" s="14"/>
      <c r="R86" s="14"/>
      <c r="S86" s="14"/>
      <c r="T86" s="14"/>
      <c r="U86" s="14"/>
      <c r="V86" s="14"/>
      <c r="W86" s="15"/>
    </row>
    <row r="87" spans="1:23" x14ac:dyDescent="0.3">
      <c r="A87" s="145">
        <v>84</v>
      </c>
      <c r="B87" s="150" t="s">
        <v>85</v>
      </c>
      <c r="C87" s="47">
        <v>3500</v>
      </c>
      <c r="D87" s="38" t="s">
        <v>62</v>
      </c>
      <c r="E87" s="147">
        <f>151+146</f>
        <v>297</v>
      </c>
      <c r="F87" s="148">
        <f>464546+435934</f>
        <v>900480</v>
      </c>
      <c r="G87" s="149">
        <f t="shared" si="1"/>
        <v>1.4515280543775215E-3</v>
      </c>
      <c r="K87" s="12"/>
      <c r="L87" s="16"/>
      <c r="M87" s="13"/>
      <c r="N87" s="12"/>
      <c r="O87" s="14"/>
      <c r="P87" s="14"/>
      <c r="Q87" s="14"/>
      <c r="R87" s="14"/>
      <c r="S87" s="14"/>
      <c r="T87" s="14"/>
      <c r="U87" s="14"/>
      <c r="V87" s="14"/>
      <c r="W87" s="15"/>
    </row>
    <row r="88" spans="1:23" x14ac:dyDescent="0.3">
      <c r="A88" s="63">
        <v>85</v>
      </c>
      <c r="B88" s="146" t="s">
        <v>164</v>
      </c>
      <c r="C88" s="47">
        <v>4200</v>
      </c>
      <c r="D88" s="38" t="s">
        <v>61</v>
      </c>
      <c r="E88" s="147">
        <f>146+2+93</f>
        <v>241</v>
      </c>
      <c r="F88" s="148">
        <f>550448+7636+339802</f>
        <v>897886</v>
      </c>
      <c r="G88" s="149">
        <f t="shared" si="1"/>
        <v>1.4473466580410617E-3</v>
      </c>
      <c r="K88" s="12"/>
      <c r="L88" s="17"/>
      <c r="M88" s="13"/>
      <c r="N88" s="12"/>
      <c r="O88" s="14"/>
      <c r="P88" s="14"/>
      <c r="Q88" s="14"/>
      <c r="R88" s="14"/>
      <c r="S88" s="14"/>
      <c r="T88" s="14"/>
      <c r="U88" s="14"/>
      <c r="V88" s="14"/>
      <c r="W88" s="15"/>
    </row>
    <row r="89" spans="1:23" x14ac:dyDescent="0.3">
      <c r="A89" s="145">
        <v>86</v>
      </c>
      <c r="B89" s="150" t="s">
        <v>35</v>
      </c>
      <c r="C89" s="47">
        <v>3800</v>
      </c>
      <c r="D89" s="38" t="s">
        <v>62</v>
      </c>
      <c r="E89" s="147">
        <f>143+125</f>
        <v>268</v>
      </c>
      <c r="F89" s="148">
        <f>452550+404235</f>
        <v>856785</v>
      </c>
      <c r="G89" s="149">
        <f t="shared" si="1"/>
        <v>1.3810939322026529E-3</v>
      </c>
      <c r="K89" s="12"/>
      <c r="L89" s="17"/>
      <c r="M89" s="13"/>
      <c r="N89" s="12"/>
      <c r="O89" s="14"/>
      <c r="P89" s="14"/>
      <c r="Q89" s="14"/>
      <c r="R89" s="14"/>
      <c r="S89" s="14"/>
      <c r="T89" s="14"/>
      <c r="U89" s="14"/>
      <c r="V89" s="14"/>
      <c r="W89" s="15"/>
    </row>
    <row r="90" spans="1:23" x14ac:dyDescent="0.3">
      <c r="A90" s="145">
        <v>87</v>
      </c>
      <c r="B90" s="154" t="s">
        <v>72</v>
      </c>
      <c r="C90" s="47">
        <v>1200</v>
      </c>
      <c r="D90" s="38" t="s">
        <v>71</v>
      </c>
      <c r="E90" s="147">
        <f>570+208</f>
        <v>778</v>
      </c>
      <c r="F90" s="148">
        <f>621820+225837</f>
        <v>847657</v>
      </c>
      <c r="G90" s="149">
        <f t="shared" si="1"/>
        <v>1.3663800595121343E-3</v>
      </c>
      <c r="K90" s="12"/>
      <c r="L90" s="16"/>
      <c r="M90" s="13"/>
      <c r="N90" s="12"/>
      <c r="O90" s="14"/>
      <c r="P90" s="14"/>
      <c r="Q90" s="14"/>
      <c r="R90" s="14"/>
      <c r="S90" s="14"/>
      <c r="T90" s="14"/>
      <c r="U90" s="14"/>
      <c r="V90" s="14"/>
      <c r="W90" s="15"/>
    </row>
    <row r="91" spans="1:23" x14ac:dyDescent="0.3">
      <c r="A91" s="145">
        <v>88</v>
      </c>
      <c r="B91" s="150" t="s">
        <v>19</v>
      </c>
      <c r="C91" s="47">
        <v>4000</v>
      </c>
      <c r="D91" s="38" t="s">
        <v>63</v>
      </c>
      <c r="E91" s="147">
        <f>181+1+85</f>
        <v>267</v>
      </c>
      <c r="F91" s="148">
        <f>570902+3636+261792</f>
        <v>836330</v>
      </c>
      <c r="G91" s="149">
        <f t="shared" si="1"/>
        <v>1.3481215104361591E-3</v>
      </c>
      <c r="K91" s="12"/>
      <c r="L91" s="13"/>
      <c r="M91" s="13"/>
      <c r="N91" s="12"/>
      <c r="O91" s="14"/>
      <c r="P91" s="14"/>
      <c r="Q91" s="14"/>
      <c r="R91" s="14"/>
      <c r="S91" s="14"/>
      <c r="T91" s="14"/>
      <c r="U91" s="14"/>
      <c r="V91" s="14"/>
      <c r="W91" s="15"/>
    </row>
    <row r="92" spans="1:23" x14ac:dyDescent="0.3">
      <c r="A92" s="63">
        <v>89</v>
      </c>
      <c r="B92" s="150" t="s">
        <v>286</v>
      </c>
      <c r="C92" s="47">
        <v>3800</v>
      </c>
      <c r="D92" s="38" t="s">
        <v>285</v>
      </c>
      <c r="E92" s="147">
        <f>68+26+128</f>
        <v>222</v>
      </c>
      <c r="F92" s="148">
        <f>214210+597642</f>
        <v>811852</v>
      </c>
      <c r="G92" s="149">
        <f t="shared" si="1"/>
        <v>1.3086642168648938E-3</v>
      </c>
      <c r="K92" s="12"/>
      <c r="L92" s="13"/>
      <c r="M92" s="13"/>
      <c r="N92" s="12"/>
      <c r="O92" s="14"/>
      <c r="P92" s="14"/>
      <c r="Q92" s="14"/>
      <c r="R92" s="14"/>
      <c r="S92" s="14"/>
      <c r="T92" s="14"/>
      <c r="U92" s="14"/>
      <c r="V92" s="14"/>
      <c r="W92" s="15"/>
    </row>
    <row r="93" spans="1:23" x14ac:dyDescent="0.3">
      <c r="A93" s="145">
        <v>90</v>
      </c>
      <c r="B93" s="154" t="s">
        <v>250</v>
      </c>
      <c r="C93" s="47">
        <v>2700</v>
      </c>
      <c r="D93" s="38" t="s">
        <v>64</v>
      </c>
      <c r="E93" s="147">
        <f>245+94</f>
        <v>339</v>
      </c>
      <c r="F93" s="148">
        <f>591545+216040</f>
        <v>807585</v>
      </c>
      <c r="G93" s="149">
        <f t="shared" si="1"/>
        <v>1.3017860294448191E-3</v>
      </c>
      <c r="K93" s="12"/>
      <c r="L93" s="13"/>
      <c r="M93" s="13"/>
      <c r="N93" s="12"/>
      <c r="O93" s="14"/>
      <c r="P93" s="14"/>
      <c r="Q93" s="14"/>
      <c r="R93" s="14"/>
      <c r="S93" s="14"/>
      <c r="T93" s="14"/>
      <c r="U93" s="14"/>
      <c r="V93" s="14"/>
      <c r="W93" s="15"/>
    </row>
    <row r="94" spans="1:23" x14ac:dyDescent="0.3">
      <c r="A94" s="145">
        <v>91</v>
      </c>
      <c r="B94" s="150" t="s">
        <v>201</v>
      </c>
      <c r="C94" s="47">
        <v>4300</v>
      </c>
      <c r="D94" s="38" t="s">
        <v>58</v>
      </c>
      <c r="E94" s="147">
        <f>99+72+80</f>
        <v>251</v>
      </c>
      <c r="F94" s="148">
        <f>293640+246271+254085</f>
        <v>793996</v>
      </c>
      <c r="G94" s="149">
        <f t="shared" si="1"/>
        <v>1.2798812511810751E-3</v>
      </c>
      <c r="K94" s="12"/>
      <c r="L94" s="13"/>
      <c r="M94" s="13"/>
      <c r="N94" s="12"/>
      <c r="O94" s="14"/>
      <c r="P94" s="14"/>
      <c r="Q94" s="14"/>
      <c r="R94" s="14"/>
      <c r="S94" s="14"/>
      <c r="T94" s="14"/>
      <c r="U94" s="14"/>
      <c r="V94" s="14"/>
      <c r="W94" s="15"/>
    </row>
    <row r="95" spans="1:23" x14ac:dyDescent="0.3">
      <c r="A95" s="145">
        <v>92</v>
      </c>
      <c r="B95" s="154" t="s">
        <v>227</v>
      </c>
      <c r="C95" s="47">
        <v>3500</v>
      </c>
      <c r="D95" s="38" t="s">
        <v>71</v>
      </c>
      <c r="E95" s="147">
        <f>176+1+75</f>
        <v>252</v>
      </c>
      <c r="F95" s="148">
        <f>553639+3182+235468</f>
        <v>792289</v>
      </c>
      <c r="G95" s="149">
        <f t="shared" si="1"/>
        <v>1.2771296538231966E-3</v>
      </c>
      <c r="K95" s="12"/>
      <c r="L95" s="13"/>
      <c r="M95" s="13"/>
      <c r="N95" s="12"/>
      <c r="O95" s="14"/>
      <c r="P95" s="14"/>
      <c r="Q95" s="14"/>
      <c r="R95" s="14"/>
      <c r="S95" s="14"/>
      <c r="T95" s="14"/>
      <c r="U95" s="14"/>
      <c r="V95" s="14"/>
      <c r="W95" s="15"/>
    </row>
    <row r="96" spans="1:23" x14ac:dyDescent="0.3">
      <c r="A96" s="63">
        <v>93</v>
      </c>
      <c r="B96" s="151" t="s">
        <v>295</v>
      </c>
      <c r="C96" s="48">
        <v>2000</v>
      </c>
      <c r="D96" s="37" t="s">
        <v>60</v>
      </c>
      <c r="E96" s="152">
        <f>435</f>
        <v>435</v>
      </c>
      <c r="F96" s="153">
        <v>790830</v>
      </c>
      <c r="G96" s="149">
        <f t="shared" si="1"/>
        <v>1.2747778198775935E-3</v>
      </c>
      <c r="K96" s="12"/>
      <c r="L96" s="16"/>
      <c r="M96" s="13"/>
      <c r="N96" s="12"/>
      <c r="O96" s="14"/>
      <c r="P96" s="14"/>
      <c r="Q96" s="14"/>
      <c r="R96" s="14"/>
      <c r="S96" s="14"/>
      <c r="T96" s="14"/>
      <c r="U96" s="14"/>
      <c r="V96" s="14"/>
      <c r="W96" s="15"/>
    </row>
    <row r="97" spans="1:23" x14ac:dyDescent="0.3">
      <c r="A97" s="145">
        <v>94</v>
      </c>
      <c r="B97" s="150" t="s">
        <v>205</v>
      </c>
      <c r="C97" s="47">
        <v>3800</v>
      </c>
      <c r="D97" s="38" t="s">
        <v>58</v>
      </c>
      <c r="E97" s="147">
        <f>180+2+51</f>
        <v>233</v>
      </c>
      <c r="F97" s="148">
        <f>590734+6910+152020</f>
        <v>749664</v>
      </c>
      <c r="G97" s="149">
        <f t="shared" si="1"/>
        <v>1.2084203173383865E-3</v>
      </c>
      <c r="K97" s="12"/>
      <c r="L97" s="16"/>
      <c r="M97" s="13"/>
      <c r="N97" s="12"/>
      <c r="O97" s="14"/>
      <c r="P97" s="14"/>
      <c r="Q97" s="14"/>
      <c r="R97" s="14"/>
      <c r="S97" s="14"/>
      <c r="T97" s="14"/>
      <c r="U97" s="14"/>
      <c r="V97" s="14"/>
      <c r="W97" s="15"/>
    </row>
    <row r="98" spans="1:23" x14ac:dyDescent="0.3">
      <c r="A98" s="145">
        <v>95</v>
      </c>
      <c r="B98" s="154" t="s">
        <v>281</v>
      </c>
      <c r="C98" s="47">
        <v>2700</v>
      </c>
      <c r="D98" s="38" t="s">
        <v>64</v>
      </c>
      <c r="E98" s="147">
        <f>186+127</f>
        <v>313</v>
      </c>
      <c r="F98" s="148">
        <f>452364+296298</f>
        <v>748662</v>
      </c>
      <c r="G98" s="149">
        <f t="shared" si="1"/>
        <v>1.206805144196855E-3</v>
      </c>
      <c r="K98" s="12"/>
      <c r="L98" s="16"/>
      <c r="M98" s="13"/>
      <c r="N98" s="12"/>
      <c r="O98" s="14"/>
      <c r="P98" s="14"/>
      <c r="Q98" s="14"/>
      <c r="R98" s="14"/>
      <c r="S98" s="14"/>
      <c r="T98" s="14"/>
      <c r="U98" s="14"/>
      <c r="V98" s="14"/>
      <c r="W98" s="15"/>
    </row>
    <row r="99" spans="1:23" x14ac:dyDescent="0.3">
      <c r="A99" s="145">
        <v>96</v>
      </c>
      <c r="B99" s="159" t="s">
        <v>273</v>
      </c>
      <c r="C99" s="47">
        <v>3000</v>
      </c>
      <c r="D99" s="38" t="s">
        <v>60</v>
      </c>
      <c r="E99" s="158">
        <f>277</f>
        <v>277</v>
      </c>
      <c r="F99" s="157">
        <v>747272</v>
      </c>
      <c r="G99" s="149">
        <f t="shared" si="1"/>
        <v>1.204564534749022E-3</v>
      </c>
      <c r="K99" s="12"/>
      <c r="L99" s="16"/>
      <c r="M99" s="13"/>
      <c r="N99" s="12"/>
      <c r="O99" s="14"/>
      <c r="P99" s="14"/>
      <c r="Q99" s="14"/>
      <c r="R99" s="14"/>
      <c r="S99" s="14"/>
      <c r="T99" s="14"/>
      <c r="U99" s="14"/>
      <c r="V99" s="14"/>
      <c r="W99" s="15"/>
    </row>
    <row r="100" spans="1:23" x14ac:dyDescent="0.3">
      <c r="A100" s="63">
        <v>97</v>
      </c>
      <c r="B100" s="159" t="s">
        <v>265</v>
      </c>
      <c r="C100" s="47">
        <v>2000</v>
      </c>
      <c r="D100" s="38" t="s">
        <v>60</v>
      </c>
      <c r="E100" s="158">
        <f>401</f>
        <v>401</v>
      </c>
      <c r="F100" s="157">
        <v>723638</v>
      </c>
      <c r="G100" s="149">
        <f t="shared" si="1"/>
        <v>1.1664677263388871E-3</v>
      </c>
      <c r="K100" s="12"/>
      <c r="L100" s="16"/>
      <c r="M100" s="13"/>
      <c r="N100" s="12"/>
      <c r="O100" s="14"/>
      <c r="P100" s="14"/>
      <c r="Q100" s="14"/>
      <c r="R100" s="14"/>
      <c r="S100" s="14"/>
      <c r="T100" s="14"/>
      <c r="U100" s="14"/>
      <c r="V100" s="14"/>
      <c r="W100" s="15"/>
    </row>
    <row r="101" spans="1:23" x14ac:dyDescent="0.3">
      <c r="A101" s="145">
        <v>98</v>
      </c>
      <c r="B101" s="150" t="s">
        <v>212</v>
      </c>
      <c r="C101" s="47">
        <v>3800</v>
      </c>
      <c r="D101" s="38" t="s">
        <v>58</v>
      </c>
      <c r="E101" s="147">
        <f>169+2+46</f>
        <v>217</v>
      </c>
      <c r="F101" s="148">
        <f>566553+6910+145110</f>
        <v>718573</v>
      </c>
      <c r="G101" s="149">
        <f t="shared" si="1"/>
        <v>1.158303203422862E-3</v>
      </c>
      <c r="K101" s="12"/>
      <c r="L101" s="16"/>
      <c r="M101" s="13"/>
      <c r="N101" s="12"/>
      <c r="O101" s="14"/>
      <c r="P101" s="14"/>
      <c r="Q101" s="14"/>
      <c r="R101" s="14"/>
      <c r="S101" s="14"/>
      <c r="T101" s="14"/>
      <c r="U101" s="14"/>
      <c r="V101" s="14"/>
      <c r="W101" s="15"/>
    </row>
    <row r="102" spans="1:23" x14ac:dyDescent="0.3">
      <c r="A102" s="145">
        <v>99</v>
      </c>
      <c r="B102" s="154" t="s">
        <v>278</v>
      </c>
      <c r="C102" s="47">
        <v>3500</v>
      </c>
      <c r="D102" s="38" t="s">
        <v>71</v>
      </c>
      <c r="E102" s="147">
        <f>158+56</f>
        <v>214</v>
      </c>
      <c r="F102" s="148">
        <f>502730+175010</f>
        <v>677740</v>
      </c>
      <c r="G102" s="149">
        <f t="shared" si="1"/>
        <v>1.0924824799815893E-3</v>
      </c>
      <c r="K102" s="12"/>
      <c r="L102" s="16"/>
      <c r="M102" s="13"/>
      <c r="N102" s="12"/>
      <c r="O102" s="14"/>
      <c r="P102" s="14"/>
      <c r="Q102" s="14"/>
      <c r="R102" s="14"/>
      <c r="S102" s="14"/>
      <c r="T102" s="14"/>
      <c r="U102" s="14"/>
      <c r="V102" s="14"/>
      <c r="W102" s="15"/>
    </row>
    <row r="103" spans="1:23" x14ac:dyDescent="0.3">
      <c r="A103" s="145">
        <v>100</v>
      </c>
      <c r="B103" s="159" t="s">
        <v>267</v>
      </c>
      <c r="C103" s="47">
        <v>2000</v>
      </c>
      <c r="D103" s="38" t="s">
        <v>60</v>
      </c>
      <c r="E103" s="158">
        <f>366</f>
        <v>366</v>
      </c>
      <c r="F103" s="157">
        <v>665454</v>
      </c>
      <c r="G103" s="149">
        <f t="shared" si="1"/>
        <v>1.0726780715815335E-3</v>
      </c>
      <c r="K103" s="12"/>
      <c r="L103" s="16"/>
      <c r="M103" s="13"/>
      <c r="N103" s="12"/>
      <c r="O103" s="14"/>
      <c r="P103" s="14"/>
      <c r="Q103" s="14"/>
      <c r="R103" s="14"/>
      <c r="S103" s="14"/>
      <c r="T103" s="14"/>
      <c r="U103" s="14"/>
      <c r="V103" s="14"/>
      <c r="W103" s="15"/>
    </row>
    <row r="104" spans="1:23" x14ac:dyDescent="0.3">
      <c r="A104" s="63">
        <v>101</v>
      </c>
      <c r="B104" s="146" t="s">
        <v>177</v>
      </c>
      <c r="C104" s="47">
        <v>4500</v>
      </c>
      <c r="D104" s="38" t="s">
        <v>59</v>
      </c>
      <c r="E104" s="147">
        <f>115+46</f>
        <v>161</v>
      </c>
      <c r="F104" s="148">
        <f>475778+171822</f>
        <v>647600</v>
      </c>
      <c r="G104" s="149">
        <f t="shared" si="1"/>
        <v>1.0438983297962009E-3</v>
      </c>
      <c r="K104" s="12"/>
      <c r="L104" s="16"/>
      <c r="M104" s="13"/>
      <c r="N104" s="12"/>
      <c r="O104" s="14"/>
      <c r="P104" s="14"/>
      <c r="Q104" s="14"/>
      <c r="R104" s="14"/>
      <c r="S104" s="14"/>
      <c r="T104" s="14"/>
      <c r="U104" s="14"/>
      <c r="V104" s="14"/>
      <c r="W104" s="15"/>
    </row>
    <row r="105" spans="1:23" x14ac:dyDescent="0.3">
      <c r="A105" s="145">
        <v>102</v>
      </c>
      <c r="B105" s="146" t="s">
        <v>165</v>
      </c>
      <c r="C105" s="47">
        <v>4500</v>
      </c>
      <c r="D105" s="38" t="s">
        <v>58</v>
      </c>
      <c r="E105" s="147">
        <f>98+5+62</f>
        <v>165</v>
      </c>
      <c r="F105" s="148">
        <f>400914+4091+237278</f>
        <v>642283</v>
      </c>
      <c r="G105" s="149">
        <f t="shared" si="1"/>
        <v>1.0353275956709285E-3</v>
      </c>
      <c r="K105" s="12"/>
      <c r="L105" s="16"/>
      <c r="M105" s="13"/>
      <c r="N105" s="12"/>
      <c r="O105" s="14"/>
      <c r="P105" s="14"/>
      <c r="Q105" s="14"/>
      <c r="R105" s="14"/>
      <c r="S105" s="14"/>
      <c r="T105" s="14"/>
      <c r="U105" s="14"/>
      <c r="V105" s="14"/>
      <c r="W105" s="15"/>
    </row>
    <row r="106" spans="1:23" x14ac:dyDescent="0.3">
      <c r="A106" s="145">
        <v>103</v>
      </c>
      <c r="B106" s="146" t="s">
        <v>215</v>
      </c>
      <c r="C106" s="47">
        <v>4000</v>
      </c>
      <c r="D106" s="38" t="s">
        <v>58</v>
      </c>
      <c r="E106" s="147">
        <f>124+54</f>
        <v>178</v>
      </c>
      <c r="F106" s="148">
        <f>447269+185436</f>
        <v>632705</v>
      </c>
      <c r="G106" s="149">
        <f t="shared" si="1"/>
        <v>1.0198883458210396E-3</v>
      </c>
      <c r="K106" s="12"/>
      <c r="L106" s="16"/>
      <c r="M106" s="13"/>
      <c r="N106" s="12"/>
      <c r="O106" s="14"/>
      <c r="P106" s="14"/>
      <c r="Q106" s="14"/>
      <c r="R106" s="14"/>
      <c r="S106" s="14"/>
      <c r="T106" s="14"/>
      <c r="U106" s="14"/>
      <c r="V106" s="14"/>
      <c r="W106" s="15"/>
    </row>
    <row r="107" spans="1:23" x14ac:dyDescent="0.3">
      <c r="A107" s="145">
        <v>104</v>
      </c>
      <c r="B107" s="146" t="s">
        <v>221</v>
      </c>
      <c r="C107" s="47">
        <v>4000</v>
      </c>
      <c r="D107" s="38" t="s">
        <v>59</v>
      </c>
      <c r="E107" s="147">
        <f>116+3+56+1</f>
        <v>176</v>
      </c>
      <c r="F107" s="148">
        <f>421813+10908+192708+3636</f>
        <v>629065</v>
      </c>
      <c r="G107" s="149">
        <f t="shared" si="1"/>
        <v>1.0140208505763544E-3</v>
      </c>
      <c r="K107" s="12"/>
      <c r="L107" s="16"/>
      <c r="M107" s="13"/>
      <c r="N107" s="12"/>
      <c r="O107" s="14"/>
      <c r="P107" s="14"/>
      <c r="Q107" s="14"/>
      <c r="R107" s="14"/>
      <c r="S107" s="14"/>
      <c r="T107" s="14"/>
      <c r="U107" s="14"/>
      <c r="V107" s="14"/>
      <c r="W107" s="15"/>
    </row>
    <row r="108" spans="1:23" x14ac:dyDescent="0.3">
      <c r="A108" s="63">
        <v>105</v>
      </c>
      <c r="B108" s="150" t="s">
        <v>3</v>
      </c>
      <c r="C108" s="47">
        <v>3500</v>
      </c>
      <c r="D108" s="38" t="s">
        <v>61</v>
      </c>
      <c r="E108" s="147">
        <f>88+1+121</f>
        <v>210</v>
      </c>
      <c r="F108" s="148">
        <f>267278+3636+356384</f>
        <v>627298</v>
      </c>
      <c r="G108" s="149">
        <f t="shared" si="1"/>
        <v>1.0111725362638932E-3</v>
      </c>
      <c r="K108" s="12"/>
      <c r="L108" s="16"/>
      <c r="M108" s="13"/>
      <c r="N108" s="12"/>
      <c r="O108" s="14"/>
      <c r="P108" s="14"/>
      <c r="Q108" s="14"/>
      <c r="R108" s="14"/>
      <c r="S108" s="14"/>
      <c r="T108" s="14"/>
      <c r="U108" s="14"/>
      <c r="V108" s="14"/>
      <c r="W108" s="15"/>
    </row>
    <row r="109" spans="1:23" x14ac:dyDescent="0.3">
      <c r="A109" s="145">
        <v>106</v>
      </c>
      <c r="B109" s="146" t="s">
        <v>166</v>
      </c>
      <c r="C109" s="47">
        <v>4300</v>
      </c>
      <c r="D109" s="38" t="s">
        <v>58</v>
      </c>
      <c r="E109" s="147">
        <f>118+45</f>
        <v>163</v>
      </c>
      <c r="F109" s="148">
        <f>441720+175905</f>
        <v>617625</v>
      </c>
      <c r="G109" s="149">
        <f t="shared" si="1"/>
        <v>9.955801512359151E-4</v>
      </c>
      <c r="K109" s="12"/>
      <c r="L109" s="16"/>
      <c r="M109" s="13"/>
      <c r="N109" s="12"/>
      <c r="O109" s="14"/>
      <c r="P109" s="14"/>
      <c r="Q109" s="14"/>
      <c r="R109" s="14"/>
      <c r="S109" s="14"/>
      <c r="T109" s="14"/>
      <c r="U109" s="14"/>
      <c r="V109" s="14"/>
      <c r="W109" s="15"/>
    </row>
    <row r="110" spans="1:23" x14ac:dyDescent="0.3">
      <c r="A110" s="145">
        <v>107</v>
      </c>
      <c r="B110" s="159" t="s">
        <v>125</v>
      </c>
      <c r="C110" s="47">
        <v>2000</v>
      </c>
      <c r="D110" s="38" t="s">
        <v>60</v>
      </c>
      <c r="E110" s="158">
        <f>320</f>
        <v>320</v>
      </c>
      <c r="F110" s="157">
        <v>576363</v>
      </c>
      <c r="G110" s="149">
        <f t="shared" si="1"/>
        <v>9.2906790156937569E-4</v>
      </c>
      <c r="K110" s="12"/>
      <c r="L110" s="16"/>
      <c r="M110" s="13"/>
      <c r="N110" s="12"/>
      <c r="O110" s="14"/>
      <c r="P110" s="14"/>
      <c r="Q110" s="14"/>
      <c r="R110" s="14"/>
      <c r="S110" s="14"/>
      <c r="T110" s="14"/>
      <c r="U110" s="14"/>
      <c r="V110" s="14"/>
      <c r="W110" s="15"/>
    </row>
    <row r="111" spans="1:23" x14ac:dyDescent="0.3">
      <c r="A111" s="145">
        <v>108</v>
      </c>
      <c r="B111" s="146" t="s">
        <v>170</v>
      </c>
      <c r="C111" s="47">
        <v>4000</v>
      </c>
      <c r="D111" s="38" t="s">
        <v>58</v>
      </c>
      <c r="E111" s="147">
        <f>107+1+47</f>
        <v>155</v>
      </c>
      <c r="F111" s="148">
        <f>385445+3636+170892</f>
        <v>559973</v>
      </c>
      <c r="G111" s="149">
        <f t="shared" si="1"/>
        <v>9.0264805347586158E-4</v>
      </c>
      <c r="K111" s="12"/>
      <c r="L111" s="16"/>
      <c r="M111" s="13"/>
      <c r="N111" s="12"/>
      <c r="O111" s="14"/>
      <c r="P111" s="14"/>
      <c r="Q111" s="14"/>
      <c r="R111" s="14"/>
      <c r="S111" s="14"/>
      <c r="T111" s="14"/>
      <c r="U111" s="14"/>
      <c r="V111" s="14"/>
      <c r="W111" s="15"/>
    </row>
    <row r="112" spans="1:23" x14ac:dyDescent="0.3">
      <c r="A112" s="63">
        <v>109</v>
      </c>
      <c r="B112" s="154" t="s">
        <v>259</v>
      </c>
      <c r="C112" s="47">
        <v>2700</v>
      </c>
      <c r="D112" s="38" t="s">
        <v>64</v>
      </c>
      <c r="E112" s="147">
        <f>198+2+39</f>
        <v>239</v>
      </c>
      <c r="F112" s="148">
        <f>476818+4910+76329</f>
        <v>558057</v>
      </c>
      <c r="G112" s="149">
        <f t="shared" si="1"/>
        <v>8.995595587261866E-4</v>
      </c>
      <c r="K112" s="12"/>
      <c r="L112" s="16"/>
      <c r="M112" s="13"/>
      <c r="N112" s="12"/>
      <c r="O112" s="14"/>
      <c r="P112" s="14"/>
      <c r="Q112" s="14"/>
      <c r="R112" s="14"/>
      <c r="S112" s="14"/>
      <c r="T112" s="14"/>
      <c r="U112" s="14"/>
      <c r="V112" s="14"/>
      <c r="W112" s="15"/>
    </row>
    <row r="113" spans="1:23" x14ac:dyDescent="0.3">
      <c r="A113" s="145">
        <v>110</v>
      </c>
      <c r="B113" s="146" t="s">
        <v>180</v>
      </c>
      <c r="C113" s="47">
        <v>4800</v>
      </c>
      <c r="D113" s="38" t="s">
        <v>58</v>
      </c>
      <c r="E113" s="147">
        <f>82+53</f>
        <v>135</v>
      </c>
      <c r="F113" s="148">
        <f>327277+218200</f>
        <v>545477</v>
      </c>
      <c r="G113" s="149">
        <f t="shared" si="1"/>
        <v>8.7928123724867555E-4</v>
      </c>
      <c r="K113" s="12"/>
      <c r="L113" s="16"/>
      <c r="M113" s="13"/>
      <c r="N113" s="12"/>
      <c r="O113" s="14"/>
      <c r="P113" s="14"/>
      <c r="Q113" s="14"/>
      <c r="R113" s="14"/>
      <c r="S113" s="14"/>
      <c r="T113" s="14"/>
      <c r="U113" s="14"/>
      <c r="V113" s="14"/>
      <c r="W113" s="15"/>
    </row>
    <row r="114" spans="1:23" x14ac:dyDescent="0.3">
      <c r="A114" s="145">
        <v>111</v>
      </c>
      <c r="B114" s="146" t="s">
        <v>181</v>
      </c>
      <c r="C114" s="47">
        <v>4200</v>
      </c>
      <c r="D114" s="38" t="s">
        <v>63</v>
      </c>
      <c r="E114" s="147">
        <f>100+41</f>
        <v>141</v>
      </c>
      <c r="F114" s="148">
        <f>377997+152720</f>
        <v>530717</v>
      </c>
      <c r="G114" s="149">
        <f t="shared" si="1"/>
        <v>8.5548886642132537E-4</v>
      </c>
      <c r="K114" s="12"/>
      <c r="L114" s="16"/>
      <c r="M114" s="13"/>
      <c r="N114" s="12"/>
      <c r="O114" s="14"/>
      <c r="P114" s="14"/>
      <c r="Q114" s="14"/>
      <c r="R114" s="14"/>
      <c r="S114" s="14"/>
      <c r="T114" s="14"/>
      <c r="U114" s="14"/>
      <c r="V114" s="14"/>
      <c r="W114" s="15"/>
    </row>
    <row r="115" spans="1:23" x14ac:dyDescent="0.3">
      <c r="A115" s="145">
        <v>112</v>
      </c>
      <c r="B115" s="160" t="s">
        <v>142</v>
      </c>
      <c r="C115" s="47">
        <v>2500</v>
      </c>
      <c r="D115" s="38" t="s">
        <v>63</v>
      </c>
      <c r="E115" s="158">
        <f>233</f>
        <v>233</v>
      </c>
      <c r="F115" s="157">
        <v>515910</v>
      </c>
      <c r="G115" s="149">
        <f t="shared" si="1"/>
        <v>8.316207339795522E-4</v>
      </c>
      <c r="K115" s="12"/>
      <c r="L115" s="16"/>
      <c r="M115" s="13"/>
      <c r="N115" s="12"/>
      <c r="O115" s="14"/>
      <c r="P115" s="14"/>
      <c r="Q115" s="14"/>
      <c r="R115" s="14"/>
      <c r="S115" s="14"/>
      <c r="T115" s="14"/>
      <c r="U115" s="14"/>
      <c r="V115" s="14"/>
      <c r="W115" s="15"/>
    </row>
    <row r="116" spans="1:23" x14ac:dyDescent="0.3">
      <c r="A116" s="63">
        <v>113</v>
      </c>
      <c r="B116" s="154" t="s">
        <v>277</v>
      </c>
      <c r="C116" s="47">
        <v>3500</v>
      </c>
      <c r="D116" s="38" t="s">
        <v>71</v>
      </c>
      <c r="E116" s="147">
        <f>87+75</f>
        <v>162</v>
      </c>
      <c r="F116" s="148">
        <f>276821+238650</f>
        <v>515471</v>
      </c>
      <c r="G116" s="149">
        <f t="shared" si="1"/>
        <v>8.3091308826185525E-4</v>
      </c>
      <c r="K116" s="12"/>
      <c r="L116" s="16"/>
      <c r="M116" s="13"/>
      <c r="N116" s="12"/>
      <c r="O116" s="14"/>
      <c r="P116" s="14"/>
      <c r="Q116" s="14"/>
      <c r="R116" s="14"/>
      <c r="S116" s="14"/>
      <c r="T116" s="14"/>
      <c r="U116" s="14"/>
      <c r="V116" s="14"/>
      <c r="W116" s="15"/>
    </row>
    <row r="117" spans="1:23" x14ac:dyDescent="0.3">
      <c r="A117" s="145">
        <v>114</v>
      </c>
      <c r="B117" s="150" t="s">
        <v>34</v>
      </c>
      <c r="C117" s="47">
        <v>3500</v>
      </c>
      <c r="D117" s="38" t="s">
        <v>62</v>
      </c>
      <c r="E117" s="147">
        <f>122+46</f>
        <v>168</v>
      </c>
      <c r="F117" s="148">
        <f>372276+136826</f>
        <v>509102</v>
      </c>
      <c r="G117" s="149">
        <f t="shared" si="1"/>
        <v>8.2064658353289905E-4</v>
      </c>
      <c r="K117" s="12"/>
      <c r="L117" s="16"/>
      <c r="M117" s="13"/>
      <c r="N117" s="12"/>
      <c r="O117" s="14"/>
      <c r="P117" s="14"/>
      <c r="Q117" s="14"/>
      <c r="R117" s="14"/>
      <c r="S117" s="14"/>
      <c r="T117" s="14"/>
      <c r="U117" s="14"/>
      <c r="V117" s="14"/>
      <c r="W117" s="15"/>
    </row>
    <row r="118" spans="1:23" x14ac:dyDescent="0.3">
      <c r="A118" s="145">
        <v>115</v>
      </c>
      <c r="B118" s="146" t="s">
        <v>103</v>
      </c>
      <c r="C118" s="47">
        <v>4500</v>
      </c>
      <c r="D118" s="38" t="s">
        <v>58</v>
      </c>
      <c r="E118" s="147">
        <f>78+3+42</f>
        <v>123</v>
      </c>
      <c r="F118" s="148">
        <f>315007+8636+171822</f>
        <v>495465</v>
      </c>
      <c r="G118" s="149">
        <f t="shared" si="1"/>
        <v>7.9866443170548899E-4</v>
      </c>
      <c r="K118" s="12"/>
      <c r="L118" s="16"/>
      <c r="M118" s="13"/>
      <c r="N118" s="12"/>
      <c r="O118" s="14"/>
      <c r="P118" s="14"/>
      <c r="Q118" s="14"/>
      <c r="R118" s="14"/>
      <c r="S118" s="14"/>
      <c r="T118" s="14"/>
      <c r="U118" s="14"/>
      <c r="V118" s="14"/>
      <c r="W118" s="15"/>
    </row>
    <row r="119" spans="1:23" x14ac:dyDescent="0.3">
      <c r="A119" s="145">
        <v>116</v>
      </c>
      <c r="B119" s="150" t="s">
        <v>36</v>
      </c>
      <c r="C119" s="47">
        <v>3800</v>
      </c>
      <c r="D119" s="38" t="s">
        <v>62</v>
      </c>
      <c r="E119" s="147">
        <f>105+44</f>
        <v>149</v>
      </c>
      <c r="F119" s="148">
        <f>345463+141655</f>
        <v>487118</v>
      </c>
      <c r="G119" s="149">
        <f t="shared" si="1"/>
        <v>7.8520949137378903E-4</v>
      </c>
      <c r="K119" s="12"/>
      <c r="L119" s="16"/>
      <c r="M119" s="13"/>
      <c r="N119" s="12"/>
      <c r="O119" s="14"/>
      <c r="P119" s="14"/>
      <c r="Q119" s="14"/>
      <c r="R119" s="14"/>
      <c r="S119" s="14"/>
      <c r="T119" s="14"/>
      <c r="U119" s="14"/>
      <c r="V119" s="14"/>
      <c r="W119" s="15"/>
    </row>
    <row r="120" spans="1:23" x14ac:dyDescent="0.3">
      <c r="A120" s="63">
        <v>117</v>
      </c>
      <c r="B120" s="146" t="s">
        <v>199</v>
      </c>
      <c r="C120" s="47">
        <v>4800</v>
      </c>
      <c r="D120" s="38" t="s">
        <v>58</v>
      </c>
      <c r="E120" s="147">
        <f>67+46</f>
        <v>113</v>
      </c>
      <c r="F120" s="148">
        <f>279281+196380</f>
        <v>475661</v>
      </c>
      <c r="G120" s="149">
        <f t="shared" si="1"/>
        <v>7.6674138889621789E-4</v>
      </c>
      <c r="K120" s="12"/>
      <c r="L120" s="16"/>
      <c r="M120" s="13"/>
      <c r="N120" s="12"/>
      <c r="O120" s="14"/>
      <c r="P120" s="14"/>
      <c r="Q120" s="14"/>
      <c r="R120" s="14"/>
      <c r="S120" s="14"/>
      <c r="T120" s="14"/>
      <c r="U120" s="14"/>
      <c r="V120" s="14"/>
      <c r="W120" s="15"/>
    </row>
    <row r="121" spans="1:23" x14ac:dyDescent="0.3">
      <c r="A121" s="145">
        <v>118</v>
      </c>
      <c r="B121" s="146" t="s">
        <v>106</v>
      </c>
      <c r="C121" s="47">
        <v>4200</v>
      </c>
      <c r="D121" s="38" t="s">
        <v>61</v>
      </c>
      <c r="E121" s="147">
        <f>82+44</f>
        <v>126</v>
      </c>
      <c r="F121" s="148">
        <f>309269+164174</f>
        <v>473443</v>
      </c>
      <c r="G121" s="149">
        <f t="shared" si="1"/>
        <v>7.6316608547514315E-4</v>
      </c>
      <c r="K121" s="12"/>
      <c r="L121" s="16"/>
      <c r="M121" s="13"/>
      <c r="N121" s="12"/>
      <c r="O121" s="14"/>
      <c r="P121" s="14"/>
      <c r="Q121" s="14"/>
      <c r="R121" s="14"/>
      <c r="S121" s="14"/>
      <c r="T121" s="14"/>
      <c r="U121" s="14"/>
      <c r="V121" s="14"/>
      <c r="W121" s="15"/>
    </row>
    <row r="122" spans="1:23" x14ac:dyDescent="0.3">
      <c r="A122" s="145">
        <v>119</v>
      </c>
      <c r="B122" s="146" t="s">
        <v>185</v>
      </c>
      <c r="C122" s="47">
        <v>4200</v>
      </c>
      <c r="D122" s="38" t="s">
        <v>61</v>
      </c>
      <c r="E122" s="147">
        <f>77+2+45+2</f>
        <v>126</v>
      </c>
      <c r="F122" s="148">
        <f>290179+7636+167992+7636</f>
        <v>473443</v>
      </c>
      <c r="G122" s="149">
        <f t="shared" si="1"/>
        <v>7.6316608547514315E-4</v>
      </c>
      <c r="K122" s="12"/>
      <c r="L122" s="16"/>
      <c r="M122" s="13"/>
      <c r="N122" s="12"/>
      <c r="O122" s="14"/>
      <c r="P122" s="14"/>
      <c r="Q122" s="14"/>
      <c r="R122" s="14"/>
      <c r="S122" s="14"/>
      <c r="T122" s="14"/>
      <c r="U122" s="14"/>
      <c r="V122" s="14"/>
      <c r="W122" s="15"/>
    </row>
    <row r="123" spans="1:23" x14ac:dyDescent="0.3">
      <c r="A123" s="145">
        <v>120</v>
      </c>
      <c r="B123" s="150" t="s">
        <v>84</v>
      </c>
      <c r="C123" s="47">
        <v>3500</v>
      </c>
      <c r="D123" s="38" t="s">
        <v>61</v>
      </c>
      <c r="E123" s="147">
        <f>63+88</f>
        <v>151</v>
      </c>
      <c r="F123" s="148">
        <f>187729+273652</f>
        <v>461381</v>
      </c>
      <c r="G123" s="149">
        <f t="shared" si="1"/>
        <v>7.4372275370552957E-4</v>
      </c>
      <c r="K123" s="12"/>
      <c r="L123" s="16"/>
      <c r="M123" s="13"/>
      <c r="N123" s="12"/>
      <c r="O123" s="14"/>
      <c r="P123" s="14"/>
      <c r="Q123" s="14"/>
      <c r="R123" s="14"/>
      <c r="S123" s="14"/>
      <c r="T123" s="14"/>
      <c r="U123" s="14"/>
      <c r="V123" s="14"/>
      <c r="W123" s="15"/>
    </row>
    <row r="124" spans="1:23" x14ac:dyDescent="0.3">
      <c r="A124" s="63">
        <v>121</v>
      </c>
      <c r="B124" s="154" t="s">
        <v>279</v>
      </c>
      <c r="C124" s="47">
        <v>2800</v>
      </c>
      <c r="D124" s="38" t="s">
        <v>64</v>
      </c>
      <c r="E124" s="147">
        <f>110+71</f>
        <v>181</v>
      </c>
      <c r="F124" s="148">
        <f>280000+180695</f>
        <v>460695</v>
      </c>
      <c r="G124" s="149">
        <f t="shared" si="1"/>
        <v>7.4261695652480043E-4</v>
      </c>
      <c r="K124" s="12"/>
      <c r="L124" s="16"/>
      <c r="M124" s="13"/>
      <c r="N124" s="12"/>
      <c r="O124" s="14"/>
      <c r="P124" s="14"/>
      <c r="Q124" s="14"/>
      <c r="R124" s="14"/>
      <c r="S124" s="14"/>
      <c r="T124" s="14"/>
      <c r="U124" s="14"/>
      <c r="V124" s="14"/>
      <c r="W124" s="15"/>
    </row>
    <row r="125" spans="1:23" x14ac:dyDescent="0.3">
      <c r="A125" s="145">
        <v>122</v>
      </c>
      <c r="B125" s="146" t="s">
        <v>171</v>
      </c>
      <c r="C125" s="47">
        <v>4200</v>
      </c>
      <c r="D125" s="38" t="s">
        <v>61</v>
      </c>
      <c r="E125" s="147">
        <f>81+40</f>
        <v>121</v>
      </c>
      <c r="F125" s="148">
        <f>305450+152720</f>
        <v>458170</v>
      </c>
      <c r="G125" s="149">
        <f t="shared" si="1"/>
        <v>7.3854678468611077E-4</v>
      </c>
      <c r="K125" s="12"/>
      <c r="L125" s="16"/>
      <c r="M125" s="13"/>
      <c r="N125" s="12"/>
      <c r="O125" s="14"/>
      <c r="P125" s="14"/>
      <c r="Q125" s="14"/>
      <c r="R125" s="14"/>
      <c r="S125" s="14"/>
      <c r="T125" s="14"/>
      <c r="U125" s="14"/>
      <c r="V125" s="14"/>
      <c r="W125" s="15"/>
    </row>
    <row r="126" spans="1:23" x14ac:dyDescent="0.3">
      <c r="A126" s="145">
        <v>123</v>
      </c>
      <c r="B126" s="159" t="s">
        <v>270</v>
      </c>
      <c r="C126" s="47">
        <v>3000</v>
      </c>
      <c r="D126" s="38" t="s">
        <v>60</v>
      </c>
      <c r="E126" s="158">
        <f>164</f>
        <v>164</v>
      </c>
      <c r="F126" s="157">
        <v>447273</v>
      </c>
      <c r="G126" s="149">
        <f t="shared" si="1"/>
        <v>7.2098137378464504E-4</v>
      </c>
      <c r="K126" s="12"/>
      <c r="L126" s="16"/>
      <c r="M126" s="13"/>
      <c r="N126" s="12"/>
      <c r="O126" s="14"/>
      <c r="P126" s="14"/>
      <c r="Q126" s="14"/>
      <c r="R126" s="14"/>
      <c r="S126" s="14"/>
      <c r="T126" s="14"/>
      <c r="U126" s="14"/>
      <c r="V126" s="14"/>
      <c r="W126" s="15"/>
    </row>
    <row r="127" spans="1:23" x14ac:dyDescent="0.3">
      <c r="A127" s="145">
        <v>124</v>
      </c>
      <c r="B127" s="159" t="s">
        <v>122</v>
      </c>
      <c r="C127" s="47">
        <v>2000</v>
      </c>
      <c r="D127" s="38" t="s">
        <v>60</v>
      </c>
      <c r="E127" s="158">
        <f>255</f>
        <v>255</v>
      </c>
      <c r="F127" s="157">
        <v>443636</v>
      </c>
      <c r="G127" s="149">
        <f t="shared" si="1"/>
        <v>7.1511871438768892E-4</v>
      </c>
      <c r="K127" s="12"/>
      <c r="L127" s="16"/>
      <c r="M127" s="13"/>
      <c r="N127" s="12"/>
      <c r="O127" s="14"/>
      <c r="P127" s="14"/>
      <c r="Q127" s="14"/>
      <c r="R127" s="14"/>
      <c r="S127" s="14"/>
      <c r="T127" s="14"/>
      <c r="U127" s="14"/>
      <c r="V127" s="14"/>
      <c r="W127" s="15"/>
    </row>
    <row r="128" spans="1:23" x14ac:dyDescent="0.3">
      <c r="A128" s="63">
        <v>125</v>
      </c>
      <c r="B128" s="146" t="s">
        <v>184</v>
      </c>
      <c r="C128" s="47">
        <v>4500</v>
      </c>
      <c r="D128" s="38" t="s">
        <v>58</v>
      </c>
      <c r="E128" s="147">
        <f>82+30</f>
        <v>112</v>
      </c>
      <c r="F128" s="148">
        <f>323187+118639</f>
        <v>441826</v>
      </c>
      <c r="G128" s="149">
        <f t="shared" si="1"/>
        <v>7.1220108625777683E-4</v>
      </c>
      <c r="K128" s="12"/>
      <c r="L128" s="16"/>
      <c r="M128" s="13"/>
      <c r="N128" s="12"/>
      <c r="O128" s="14"/>
      <c r="P128" s="14"/>
      <c r="Q128" s="14"/>
      <c r="R128" s="14"/>
      <c r="S128" s="14"/>
      <c r="T128" s="14"/>
      <c r="U128" s="14"/>
      <c r="V128" s="14"/>
      <c r="W128" s="15"/>
    </row>
    <row r="129" spans="1:23" x14ac:dyDescent="0.3">
      <c r="A129" s="145">
        <v>126</v>
      </c>
      <c r="B129" s="159" t="s">
        <v>262</v>
      </c>
      <c r="C129" s="47">
        <v>2000</v>
      </c>
      <c r="D129" s="38" t="s">
        <v>60</v>
      </c>
      <c r="E129" s="158">
        <f>244</f>
        <v>244</v>
      </c>
      <c r="F129" s="157">
        <v>441818</v>
      </c>
      <c r="G129" s="149">
        <f t="shared" si="1"/>
        <v>7.1218819066383237E-4</v>
      </c>
      <c r="K129" s="12"/>
      <c r="L129" s="16"/>
      <c r="M129" s="13"/>
      <c r="N129" s="12"/>
      <c r="O129" s="14"/>
      <c r="P129" s="14"/>
      <c r="Q129" s="14"/>
      <c r="R129" s="14"/>
      <c r="S129" s="14"/>
      <c r="T129" s="14"/>
      <c r="U129" s="14"/>
      <c r="V129" s="14"/>
      <c r="W129" s="15"/>
    </row>
    <row r="130" spans="1:23" x14ac:dyDescent="0.3">
      <c r="A130" s="145">
        <v>127</v>
      </c>
      <c r="B130" s="154" t="s">
        <v>226</v>
      </c>
      <c r="C130" s="47">
        <v>2800</v>
      </c>
      <c r="D130" s="38" t="s">
        <v>64</v>
      </c>
      <c r="E130" s="158">
        <f>160</f>
        <v>160</v>
      </c>
      <c r="F130" s="157">
        <v>407275</v>
      </c>
      <c r="G130" s="149">
        <f t="shared" si="1"/>
        <v>6.5650662796131517E-4</v>
      </c>
      <c r="K130" s="12"/>
      <c r="L130" s="16"/>
      <c r="M130" s="13"/>
      <c r="N130" s="12"/>
      <c r="O130" s="14"/>
      <c r="P130" s="14"/>
      <c r="Q130" s="14"/>
      <c r="R130" s="14"/>
      <c r="S130" s="14"/>
      <c r="T130" s="14"/>
      <c r="U130" s="14"/>
      <c r="V130" s="14"/>
      <c r="W130" s="15"/>
    </row>
    <row r="131" spans="1:23" x14ac:dyDescent="0.3">
      <c r="A131" s="145">
        <v>128</v>
      </c>
      <c r="B131" s="146" t="s">
        <v>112</v>
      </c>
      <c r="C131" s="47">
        <v>4500</v>
      </c>
      <c r="D131" s="38" t="s">
        <v>61</v>
      </c>
      <c r="E131" s="147">
        <f>68+36</f>
        <v>104</v>
      </c>
      <c r="F131" s="148">
        <f>270004+135003</f>
        <v>405007</v>
      </c>
      <c r="G131" s="149">
        <f t="shared" si="1"/>
        <v>6.5285072707808823E-4</v>
      </c>
      <c r="K131" s="12"/>
      <c r="L131" s="16"/>
      <c r="M131" s="13"/>
      <c r="N131" s="12"/>
      <c r="O131" s="14"/>
      <c r="P131" s="14"/>
      <c r="Q131" s="14"/>
      <c r="R131" s="14"/>
      <c r="S131" s="14"/>
      <c r="T131" s="14"/>
      <c r="U131" s="14"/>
      <c r="V131" s="14"/>
      <c r="W131" s="15"/>
    </row>
    <row r="132" spans="1:23" x14ac:dyDescent="0.3">
      <c r="A132" s="63">
        <v>129</v>
      </c>
      <c r="B132" s="146" t="s">
        <v>168</v>
      </c>
      <c r="C132" s="47">
        <v>4500</v>
      </c>
      <c r="D132" s="38" t="s">
        <v>63</v>
      </c>
      <c r="E132" s="147">
        <f>84+1+17</f>
        <v>102</v>
      </c>
      <c r="F132" s="148">
        <f>331365+4091+69547</f>
        <v>405003</v>
      </c>
      <c r="G132" s="149">
        <f t="shared" ref="G132:G195" si="2">F132/$F$263</f>
        <v>6.52844279281116E-4</v>
      </c>
      <c r="K132" s="12"/>
      <c r="L132" s="16"/>
      <c r="M132" s="13"/>
      <c r="N132" s="12"/>
      <c r="O132" s="14"/>
      <c r="P132" s="14"/>
      <c r="Q132" s="14"/>
      <c r="R132" s="14"/>
      <c r="S132" s="14"/>
      <c r="T132" s="14"/>
      <c r="U132" s="14"/>
      <c r="V132" s="14"/>
      <c r="W132" s="15"/>
    </row>
    <row r="133" spans="1:23" x14ac:dyDescent="0.3">
      <c r="A133" s="145">
        <v>130</v>
      </c>
      <c r="B133" s="146" t="s">
        <v>105</v>
      </c>
      <c r="C133" s="47">
        <v>4200</v>
      </c>
      <c r="D133" s="38" t="s">
        <v>61</v>
      </c>
      <c r="E133" s="147">
        <f>62+40</f>
        <v>102</v>
      </c>
      <c r="F133" s="148">
        <f>236725+148902</f>
        <v>385627</v>
      </c>
      <c r="G133" s="149">
        <f t="shared" si="2"/>
        <v>6.2161115074786839E-4</v>
      </c>
      <c r="K133" s="12"/>
      <c r="L133" s="16"/>
      <c r="M133" s="13"/>
      <c r="N133" s="12"/>
      <c r="O133" s="14"/>
      <c r="P133" s="14"/>
      <c r="Q133" s="14"/>
      <c r="R133" s="14"/>
      <c r="S133" s="14"/>
      <c r="T133" s="14"/>
      <c r="U133" s="14"/>
      <c r="V133" s="14"/>
      <c r="W133" s="15"/>
    </row>
    <row r="134" spans="1:23" x14ac:dyDescent="0.3">
      <c r="A134" s="145">
        <v>131</v>
      </c>
      <c r="B134" s="150" t="s">
        <v>86</v>
      </c>
      <c r="C134" s="47">
        <v>3500</v>
      </c>
      <c r="D134" s="38" t="s">
        <v>62</v>
      </c>
      <c r="E134" s="147">
        <f>87+1+40</f>
        <v>128</v>
      </c>
      <c r="F134" s="148">
        <f>257731+3182+120916</f>
        <v>381829</v>
      </c>
      <c r="G134" s="149">
        <f t="shared" si="2"/>
        <v>6.1548896752278192E-4</v>
      </c>
      <c r="K134" s="12"/>
      <c r="L134" s="16"/>
      <c r="M134" s="13"/>
      <c r="N134" s="12"/>
      <c r="O134" s="14"/>
      <c r="P134" s="14"/>
      <c r="Q134" s="14"/>
      <c r="R134" s="14"/>
      <c r="S134" s="14"/>
      <c r="T134" s="14"/>
      <c r="U134" s="14"/>
      <c r="V134" s="14"/>
      <c r="W134" s="15"/>
    </row>
    <row r="135" spans="1:23" x14ac:dyDescent="0.3">
      <c r="A135" s="145">
        <v>132</v>
      </c>
      <c r="B135" s="150" t="s">
        <v>283</v>
      </c>
      <c r="C135" s="47">
        <v>3500</v>
      </c>
      <c r="D135" s="38" t="s">
        <v>285</v>
      </c>
      <c r="E135" s="158">
        <f>134</f>
        <v>134</v>
      </c>
      <c r="F135" s="157">
        <v>372294</v>
      </c>
      <c r="G135" s="149">
        <f t="shared" si="2"/>
        <v>6.0011903149034406E-4</v>
      </c>
      <c r="K135" s="12"/>
      <c r="L135" s="16"/>
      <c r="M135" s="13"/>
      <c r="N135" s="12"/>
      <c r="O135" s="14"/>
      <c r="P135" s="14"/>
      <c r="Q135" s="14"/>
      <c r="R135" s="14"/>
      <c r="S135" s="14"/>
      <c r="T135" s="14"/>
      <c r="U135" s="14"/>
      <c r="V135" s="14"/>
      <c r="W135" s="15"/>
    </row>
    <row r="136" spans="1:23" x14ac:dyDescent="0.3">
      <c r="A136" s="63">
        <v>133</v>
      </c>
      <c r="B136" s="151" t="s">
        <v>294</v>
      </c>
      <c r="C136" s="48">
        <v>2000</v>
      </c>
      <c r="D136" s="37" t="s">
        <v>60</v>
      </c>
      <c r="E136" s="152">
        <f>203</f>
        <v>203</v>
      </c>
      <c r="F136" s="153">
        <v>369054</v>
      </c>
      <c r="G136" s="149">
        <f t="shared" si="2"/>
        <v>5.9489631594287693E-4</v>
      </c>
      <c r="K136" s="12"/>
      <c r="L136" s="16"/>
      <c r="M136" s="13"/>
      <c r="N136" s="12"/>
      <c r="O136" s="14"/>
      <c r="P136" s="14"/>
      <c r="Q136" s="14"/>
      <c r="R136" s="14"/>
      <c r="S136" s="14"/>
      <c r="T136" s="14"/>
      <c r="U136" s="14"/>
      <c r="V136" s="14"/>
      <c r="W136" s="15"/>
    </row>
    <row r="137" spans="1:23" x14ac:dyDescent="0.3">
      <c r="A137" s="145">
        <v>134</v>
      </c>
      <c r="B137" s="146" t="s">
        <v>167</v>
      </c>
      <c r="C137" s="47">
        <v>4500</v>
      </c>
      <c r="D137" s="38" t="s">
        <v>58</v>
      </c>
      <c r="E137" s="147">
        <f>59+34</f>
        <v>93</v>
      </c>
      <c r="F137" s="148">
        <f>237276+130912</f>
        <v>368188</v>
      </c>
      <c r="G137" s="149">
        <f t="shared" si="2"/>
        <v>5.9350036789839963E-4</v>
      </c>
      <c r="K137" s="12"/>
      <c r="L137" s="16"/>
      <c r="M137" s="13"/>
      <c r="N137" s="12"/>
      <c r="O137" s="14"/>
      <c r="P137" s="14"/>
      <c r="Q137" s="14"/>
      <c r="R137" s="14"/>
      <c r="S137" s="14"/>
      <c r="T137" s="14"/>
      <c r="U137" s="14"/>
      <c r="V137" s="14"/>
      <c r="W137" s="15"/>
    </row>
    <row r="138" spans="1:23" x14ac:dyDescent="0.3">
      <c r="A138" s="145">
        <v>135</v>
      </c>
      <c r="B138" s="146" t="s">
        <v>207</v>
      </c>
      <c r="C138" s="47">
        <v>4300</v>
      </c>
      <c r="D138" s="38" t="s">
        <v>59</v>
      </c>
      <c r="E138" s="147">
        <f>64+2+29</f>
        <v>95</v>
      </c>
      <c r="F138" s="148">
        <f>246268+7818+109452</f>
        <v>363538</v>
      </c>
      <c r="G138" s="149">
        <f t="shared" si="2"/>
        <v>5.8600480391823851E-4</v>
      </c>
      <c r="K138" s="12"/>
      <c r="L138" s="16"/>
      <c r="M138" s="13"/>
      <c r="N138" s="12"/>
      <c r="O138" s="14"/>
      <c r="P138" s="14"/>
      <c r="Q138" s="14"/>
      <c r="R138" s="14"/>
      <c r="S138" s="14"/>
      <c r="T138" s="14"/>
      <c r="U138" s="14"/>
      <c r="V138" s="14"/>
      <c r="W138" s="15"/>
    </row>
    <row r="139" spans="1:23" x14ac:dyDescent="0.3">
      <c r="A139" s="145">
        <v>136</v>
      </c>
      <c r="B139" s="146" t="s">
        <v>218</v>
      </c>
      <c r="C139" s="47">
        <v>4000</v>
      </c>
      <c r="D139" s="38" t="s">
        <v>58</v>
      </c>
      <c r="E139" s="147">
        <f>65+31</f>
        <v>96</v>
      </c>
      <c r="F139" s="148">
        <f>218635+109080</f>
        <v>327715</v>
      </c>
      <c r="G139" s="149">
        <f t="shared" si="2"/>
        <v>5.2825994618462316E-4</v>
      </c>
      <c r="K139" s="12"/>
      <c r="L139" s="16"/>
      <c r="M139" s="13"/>
      <c r="N139" s="12"/>
      <c r="O139" s="14"/>
      <c r="P139" s="14"/>
      <c r="Q139" s="14"/>
      <c r="R139" s="14"/>
      <c r="S139" s="14"/>
      <c r="T139" s="14"/>
      <c r="U139" s="14"/>
      <c r="V139" s="14"/>
      <c r="W139" s="15"/>
    </row>
    <row r="140" spans="1:23" x14ac:dyDescent="0.3">
      <c r="A140" s="63">
        <v>137</v>
      </c>
      <c r="B140" s="146" t="s">
        <v>116</v>
      </c>
      <c r="C140" s="47">
        <v>4500</v>
      </c>
      <c r="D140" s="38" t="s">
        <v>61</v>
      </c>
      <c r="E140" s="147">
        <f>50+27</f>
        <v>77</v>
      </c>
      <c r="F140" s="148">
        <f>204549+110457</f>
        <v>315006</v>
      </c>
      <c r="G140" s="149">
        <f t="shared" si="2"/>
        <v>5.0777368325475919E-4</v>
      </c>
      <c r="K140" s="12"/>
      <c r="L140" s="16"/>
      <c r="M140" s="13"/>
      <c r="N140" s="12"/>
      <c r="O140" s="14"/>
      <c r="P140" s="14"/>
      <c r="Q140" s="14"/>
      <c r="R140" s="14"/>
      <c r="S140" s="14"/>
      <c r="T140" s="14"/>
      <c r="U140" s="14"/>
      <c r="V140" s="14"/>
      <c r="W140" s="15"/>
    </row>
    <row r="141" spans="1:23" x14ac:dyDescent="0.3">
      <c r="A141" s="145">
        <v>138</v>
      </c>
      <c r="B141" s="159" t="s">
        <v>124</v>
      </c>
      <c r="C141" s="47">
        <v>2000</v>
      </c>
      <c r="D141" s="38" t="s">
        <v>60</v>
      </c>
      <c r="E141" s="158">
        <f>171</f>
        <v>171</v>
      </c>
      <c r="F141" s="157">
        <v>310909</v>
      </c>
      <c r="G141" s="149">
        <f t="shared" si="2"/>
        <v>5.0116952720600215E-4</v>
      </c>
      <c r="K141" s="12"/>
      <c r="L141" s="16"/>
      <c r="M141" s="13"/>
      <c r="N141" s="12"/>
      <c r="O141" s="14"/>
      <c r="P141" s="14"/>
      <c r="Q141" s="14"/>
      <c r="R141" s="14"/>
      <c r="S141" s="14"/>
      <c r="T141" s="14"/>
      <c r="U141" s="14"/>
      <c r="V141" s="14"/>
      <c r="W141" s="15"/>
    </row>
    <row r="142" spans="1:23" x14ac:dyDescent="0.3">
      <c r="A142" s="145">
        <v>139</v>
      </c>
      <c r="B142" s="159" t="s">
        <v>187</v>
      </c>
      <c r="C142" s="47">
        <v>340000</v>
      </c>
      <c r="D142" s="38" t="s">
        <v>60</v>
      </c>
      <c r="E142" s="158">
        <f>1</f>
        <v>1</v>
      </c>
      <c r="F142" s="157">
        <v>309091</v>
      </c>
      <c r="G142" s="149">
        <f t="shared" si="2"/>
        <v>4.982390034821456E-4</v>
      </c>
      <c r="K142" s="12"/>
      <c r="L142" s="16"/>
      <c r="M142" s="13"/>
      <c r="N142" s="12"/>
      <c r="O142" s="14"/>
      <c r="P142" s="14"/>
      <c r="Q142" s="14"/>
      <c r="R142" s="14"/>
      <c r="S142" s="14"/>
      <c r="T142" s="14"/>
      <c r="U142" s="14"/>
      <c r="V142" s="14"/>
      <c r="W142" s="15"/>
    </row>
    <row r="143" spans="1:23" x14ac:dyDescent="0.3">
      <c r="A143" s="145">
        <v>140</v>
      </c>
      <c r="B143" s="146" t="s">
        <v>183</v>
      </c>
      <c r="C143" s="47">
        <v>4500</v>
      </c>
      <c r="D143" s="38" t="s">
        <v>58</v>
      </c>
      <c r="E143" s="147">
        <f>55+20</f>
        <v>75</v>
      </c>
      <c r="F143" s="148">
        <f>220914+77729</f>
        <v>298643</v>
      </c>
      <c r="G143" s="149">
        <f t="shared" si="2"/>
        <v>4.8139735779080729E-4</v>
      </c>
      <c r="K143" s="12"/>
      <c r="L143" s="16"/>
      <c r="M143" s="13"/>
      <c r="N143" s="12"/>
      <c r="O143" s="14"/>
      <c r="P143" s="14"/>
      <c r="Q143" s="14"/>
      <c r="R143" s="14"/>
      <c r="S143" s="14"/>
      <c r="T143" s="14"/>
      <c r="U143" s="14"/>
      <c r="V143" s="14"/>
      <c r="W143" s="15"/>
    </row>
    <row r="144" spans="1:23" x14ac:dyDescent="0.3">
      <c r="A144" s="63">
        <v>141</v>
      </c>
      <c r="B144" s="159" t="s">
        <v>128</v>
      </c>
      <c r="C144" s="47">
        <v>2000</v>
      </c>
      <c r="D144" s="38" t="s">
        <v>60</v>
      </c>
      <c r="E144" s="158">
        <f>144</f>
        <v>144</v>
      </c>
      <c r="F144" s="157">
        <v>261818</v>
      </c>
      <c r="G144" s="149">
        <f t="shared" si="2"/>
        <v>4.2203732691566045E-4</v>
      </c>
      <c r="K144" s="12"/>
      <c r="L144" s="16"/>
      <c r="M144" s="13"/>
      <c r="N144" s="12"/>
      <c r="O144" s="14"/>
      <c r="P144" s="14"/>
      <c r="Q144" s="14"/>
      <c r="R144" s="14"/>
      <c r="S144" s="14"/>
      <c r="T144" s="14"/>
      <c r="U144" s="14"/>
      <c r="V144" s="14"/>
      <c r="W144" s="15"/>
    </row>
    <row r="145" spans="1:23" x14ac:dyDescent="0.3">
      <c r="A145" s="145">
        <v>142</v>
      </c>
      <c r="B145" s="146" t="s">
        <v>208</v>
      </c>
      <c r="C145" s="47">
        <v>4300</v>
      </c>
      <c r="D145" s="38" t="s">
        <v>58</v>
      </c>
      <c r="E145" s="147">
        <f>55+10</f>
        <v>65</v>
      </c>
      <c r="F145" s="148">
        <f>212904+39090</f>
        <v>251994</v>
      </c>
      <c r="G145" s="149">
        <f t="shared" si="2"/>
        <v>4.0620153755198244E-4</v>
      </c>
      <c r="K145" s="12"/>
      <c r="L145" s="16"/>
      <c r="M145" s="13"/>
      <c r="N145" s="12"/>
      <c r="O145" s="14"/>
      <c r="P145" s="14"/>
      <c r="Q145" s="14"/>
      <c r="R145" s="14"/>
      <c r="S145" s="14"/>
      <c r="T145" s="14"/>
      <c r="U145" s="14"/>
      <c r="V145" s="14"/>
      <c r="W145" s="15"/>
    </row>
    <row r="146" spans="1:23" x14ac:dyDescent="0.3">
      <c r="A146" s="145">
        <v>143</v>
      </c>
      <c r="B146" s="159" t="s">
        <v>263</v>
      </c>
      <c r="C146" s="47">
        <v>2000</v>
      </c>
      <c r="D146" s="38" t="s">
        <v>60</v>
      </c>
      <c r="E146" s="158">
        <f>135</f>
        <v>135</v>
      </c>
      <c r="F146" s="157">
        <v>245455</v>
      </c>
      <c r="G146" s="149">
        <f t="shared" si="2"/>
        <v>3.956610014517086E-4</v>
      </c>
      <c r="K146" s="12"/>
      <c r="L146" s="16"/>
      <c r="M146" s="13"/>
      <c r="N146" s="12"/>
      <c r="O146" s="14"/>
      <c r="P146" s="14"/>
      <c r="Q146" s="14"/>
      <c r="R146" s="14"/>
      <c r="S146" s="14"/>
      <c r="T146" s="14"/>
      <c r="U146" s="14"/>
      <c r="V146" s="14"/>
      <c r="W146" s="15"/>
    </row>
    <row r="147" spans="1:23" x14ac:dyDescent="0.3">
      <c r="A147" s="145">
        <v>144</v>
      </c>
      <c r="B147" s="160" t="s">
        <v>147</v>
      </c>
      <c r="C147" s="47">
        <v>2700</v>
      </c>
      <c r="D147" s="38" t="s">
        <v>63</v>
      </c>
      <c r="E147" s="158">
        <f>95</f>
        <v>95</v>
      </c>
      <c r="F147" s="157">
        <v>230728</v>
      </c>
      <c r="G147" s="149">
        <f t="shared" si="2"/>
        <v>3.7192182494937898E-4</v>
      </c>
      <c r="K147" s="12"/>
      <c r="L147" s="16"/>
      <c r="M147" s="13"/>
      <c r="N147" s="12"/>
      <c r="O147" s="14"/>
      <c r="P147" s="14"/>
      <c r="Q147" s="14"/>
      <c r="R147" s="14"/>
      <c r="S147" s="14"/>
      <c r="T147" s="14"/>
      <c r="U147" s="14"/>
      <c r="V147" s="14"/>
      <c r="W147" s="15"/>
    </row>
    <row r="148" spans="1:23" x14ac:dyDescent="0.3">
      <c r="A148" s="63">
        <v>145</v>
      </c>
      <c r="B148" s="146" t="s">
        <v>222</v>
      </c>
      <c r="C148" s="47">
        <v>4500</v>
      </c>
      <c r="D148" s="38" t="s">
        <v>59</v>
      </c>
      <c r="E148" s="147">
        <f>36+20</f>
        <v>56</v>
      </c>
      <c r="F148" s="148">
        <f>147276+81820</f>
        <v>229096</v>
      </c>
      <c r="G148" s="149">
        <f t="shared" si="2"/>
        <v>3.6929112378472888E-4</v>
      </c>
      <c r="K148" s="12"/>
      <c r="L148" s="16"/>
      <c r="M148" s="13"/>
      <c r="N148" s="12"/>
      <c r="O148" s="14"/>
      <c r="P148" s="14"/>
      <c r="Q148" s="14"/>
      <c r="R148" s="14"/>
      <c r="S148" s="14"/>
      <c r="T148" s="14"/>
      <c r="U148" s="14"/>
      <c r="V148" s="14"/>
      <c r="W148" s="15"/>
    </row>
    <row r="149" spans="1:23" x14ac:dyDescent="0.3">
      <c r="A149" s="145">
        <v>146</v>
      </c>
      <c r="B149" s="151" t="s">
        <v>299</v>
      </c>
      <c r="C149" s="48">
        <v>10000</v>
      </c>
      <c r="D149" s="37" t="s">
        <v>60</v>
      </c>
      <c r="E149" s="152">
        <f>25</f>
        <v>25</v>
      </c>
      <c r="F149" s="153">
        <v>227275</v>
      </c>
      <c r="G149" s="149">
        <f t="shared" si="2"/>
        <v>3.6635576421314325E-4</v>
      </c>
      <c r="K149" s="12"/>
      <c r="L149" s="16"/>
      <c r="M149" s="13"/>
      <c r="N149" s="12"/>
      <c r="O149" s="14"/>
      <c r="P149" s="14"/>
      <c r="Q149" s="14"/>
      <c r="R149" s="14"/>
      <c r="S149" s="14"/>
      <c r="T149" s="14"/>
      <c r="U149" s="14"/>
      <c r="V149" s="14"/>
      <c r="W149" s="15"/>
    </row>
    <row r="150" spans="1:23" x14ac:dyDescent="0.3">
      <c r="A150" s="145">
        <v>147</v>
      </c>
      <c r="B150" s="159" t="s">
        <v>186</v>
      </c>
      <c r="C150" s="47">
        <v>250000</v>
      </c>
      <c r="D150" s="38" t="s">
        <v>60</v>
      </c>
      <c r="E150" s="158">
        <f>1</f>
        <v>1</v>
      </c>
      <c r="F150" s="157">
        <v>227273</v>
      </c>
      <c r="G150" s="149">
        <f t="shared" si="2"/>
        <v>3.6635254031465713E-4</v>
      </c>
      <c r="K150" s="12"/>
      <c r="L150" s="16"/>
      <c r="M150" s="13"/>
      <c r="N150" s="12"/>
      <c r="O150" s="14"/>
      <c r="P150" s="14"/>
      <c r="Q150" s="14"/>
      <c r="R150" s="14"/>
      <c r="S150" s="14"/>
      <c r="T150" s="14"/>
      <c r="U150" s="14"/>
      <c r="V150" s="14"/>
      <c r="W150" s="15"/>
    </row>
    <row r="151" spans="1:23" x14ac:dyDescent="0.3">
      <c r="A151" s="145">
        <v>148</v>
      </c>
      <c r="B151" s="146" t="s">
        <v>198</v>
      </c>
      <c r="C151" s="47">
        <v>4000</v>
      </c>
      <c r="D151" s="38" t="s">
        <v>59</v>
      </c>
      <c r="E151" s="147">
        <f>45+19</f>
        <v>64</v>
      </c>
      <c r="F151" s="148">
        <f>163633+61812</f>
        <v>225445</v>
      </c>
      <c r="G151" s="149">
        <f t="shared" si="2"/>
        <v>3.6340589709837017E-4</v>
      </c>
      <c r="K151" s="12"/>
      <c r="L151" s="16"/>
      <c r="M151" s="13"/>
      <c r="N151" s="12"/>
      <c r="O151" s="14"/>
      <c r="P151" s="14"/>
      <c r="Q151" s="14"/>
      <c r="R151" s="14"/>
      <c r="S151" s="14"/>
      <c r="T151" s="14"/>
      <c r="U151" s="14"/>
      <c r="V151" s="14"/>
      <c r="W151" s="15"/>
    </row>
    <row r="152" spans="1:23" x14ac:dyDescent="0.3">
      <c r="A152" s="63">
        <v>149</v>
      </c>
      <c r="B152" s="150" t="s">
        <v>17</v>
      </c>
      <c r="C152" s="47">
        <v>4000</v>
      </c>
      <c r="D152" s="38" t="s">
        <v>63</v>
      </c>
      <c r="E152" s="147">
        <f>32+43</f>
        <v>75</v>
      </c>
      <c r="F152" s="148">
        <f>87268+138168</f>
        <v>225436</v>
      </c>
      <c r="G152" s="149">
        <f t="shared" si="2"/>
        <v>3.6339138955518273E-4</v>
      </c>
      <c r="K152" s="12"/>
      <c r="L152" s="16"/>
      <c r="M152" s="13"/>
      <c r="N152" s="12"/>
      <c r="O152" s="14"/>
      <c r="P152" s="14"/>
      <c r="Q152" s="14"/>
      <c r="R152" s="14"/>
      <c r="S152" s="14"/>
      <c r="T152" s="14"/>
      <c r="U152" s="14"/>
      <c r="V152" s="14"/>
      <c r="W152" s="15"/>
    </row>
    <row r="153" spans="1:23" x14ac:dyDescent="0.3">
      <c r="A153" s="145">
        <v>150</v>
      </c>
      <c r="B153" s="161" t="s">
        <v>304</v>
      </c>
      <c r="C153" s="47">
        <v>4000</v>
      </c>
      <c r="D153" s="38" t="s">
        <v>62</v>
      </c>
      <c r="E153" s="147">
        <f>3+32+25</f>
        <v>60</v>
      </c>
      <c r="F153" s="148">
        <f>10909+116361+87264</f>
        <v>214534</v>
      </c>
      <c r="G153" s="149">
        <f t="shared" si="2"/>
        <v>3.4581791890750179E-4</v>
      </c>
      <c r="K153" s="12"/>
      <c r="L153" s="16"/>
      <c r="M153" s="13"/>
      <c r="N153" s="12"/>
      <c r="O153" s="14"/>
      <c r="P153" s="14"/>
      <c r="Q153" s="14"/>
      <c r="R153" s="14"/>
      <c r="S153" s="14"/>
      <c r="T153" s="14"/>
      <c r="U153" s="14"/>
      <c r="V153" s="14"/>
      <c r="W153" s="15"/>
    </row>
    <row r="154" spans="1:23" x14ac:dyDescent="0.3">
      <c r="A154" s="145">
        <v>151</v>
      </c>
      <c r="B154" s="146" t="s">
        <v>179</v>
      </c>
      <c r="C154" s="47">
        <v>4000</v>
      </c>
      <c r="D154" s="38" t="s">
        <v>62</v>
      </c>
      <c r="E154" s="147">
        <f>31+28</f>
        <v>59</v>
      </c>
      <c r="F154" s="148">
        <f>112725+101808</f>
        <v>214533</v>
      </c>
      <c r="G154" s="149">
        <f t="shared" si="2"/>
        <v>3.4581630695825876E-4</v>
      </c>
      <c r="K154" s="12"/>
      <c r="L154" s="16"/>
      <c r="M154" s="13"/>
      <c r="N154" s="12"/>
      <c r="O154" s="14"/>
      <c r="P154" s="14"/>
      <c r="Q154" s="14"/>
      <c r="R154" s="14"/>
      <c r="S154" s="14"/>
      <c r="T154" s="14"/>
      <c r="U154" s="14"/>
      <c r="V154" s="14"/>
      <c r="W154" s="15"/>
    </row>
    <row r="155" spans="1:23" x14ac:dyDescent="0.3">
      <c r="A155" s="145">
        <v>152</v>
      </c>
      <c r="B155" s="146" t="s">
        <v>172</v>
      </c>
      <c r="C155" s="47">
        <v>4500</v>
      </c>
      <c r="D155" s="38" t="s">
        <v>58</v>
      </c>
      <c r="E155" s="147">
        <f>41+15</f>
        <v>56</v>
      </c>
      <c r="F155" s="148">
        <f>143185+61365</f>
        <v>204550</v>
      </c>
      <c r="G155" s="149">
        <f t="shared" si="2"/>
        <v>3.2972421766493652E-4</v>
      </c>
      <c r="K155" s="12"/>
      <c r="L155" s="16"/>
      <c r="M155" s="13"/>
      <c r="N155" s="12"/>
      <c r="O155" s="14"/>
      <c r="P155" s="14"/>
      <c r="Q155" s="14"/>
      <c r="R155" s="14"/>
      <c r="S155" s="14"/>
      <c r="T155" s="14"/>
      <c r="U155" s="14"/>
      <c r="V155" s="14"/>
      <c r="W155" s="15"/>
    </row>
    <row r="156" spans="1:23" x14ac:dyDescent="0.3">
      <c r="A156" s="63">
        <v>153</v>
      </c>
      <c r="B156" s="146" t="s">
        <v>104</v>
      </c>
      <c r="C156" s="47">
        <v>4000</v>
      </c>
      <c r="D156" s="38" t="s">
        <v>62</v>
      </c>
      <c r="E156" s="147">
        <f>37+16+3</f>
        <v>56</v>
      </c>
      <c r="F156" s="148">
        <f>134540+58176+10909</f>
        <v>203625</v>
      </c>
      <c r="G156" s="149">
        <f t="shared" si="2"/>
        <v>3.2823316461511954E-4</v>
      </c>
      <c r="K156" s="12"/>
      <c r="L156" s="16"/>
      <c r="M156" s="13"/>
      <c r="N156" s="12"/>
      <c r="O156" s="14"/>
      <c r="P156" s="14"/>
      <c r="Q156" s="14"/>
      <c r="R156" s="14"/>
      <c r="S156" s="14"/>
      <c r="T156" s="14"/>
      <c r="U156" s="14"/>
      <c r="V156" s="14"/>
      <c r="W156" s="15"/>
    </row>
    <row r="157" spans="1:23" x14ac:dyDescent="0.3">
      <c r="A157" s="145">
        <v>154</v>
      </c>
      <c r="B157" s="159" t="s">
        <v>271</v>
      </c>
      <c r="C157" s="47">
        <v>2000</v>
      </c>
      <c r="D157" s="38" t="s">
        <v>60</v>
      </c>
      <c r="E157" s="158">
        <f>109</f>
        <v>109</v>
      </c>
      <c r="F157" s="157">
        <v>198181</v>
      </c>
      <c r="G157" s="149">
        <f t="shared" si="2"/>
        <v>3.1945771293598037E-4</v>
      </c>
      <c r="K157" s="12"/>
      <c r="L157" s="16"/>
      <c r="M157" s="13"/>
      <c r="N157" s="12"/>
      <c r="O157" s="14"/>
      <c r="P157" s="14"/>
      <c r="Q157" s="14"/>
      <c r="R157" s="14"/>
      <c r="S157" s="14"/>
      <c r="T157" s="14"/>
      <c r="U157" s="14"/>
      <c r="V157" s="14"/>
      <c r="W157" s="15"/>
    </row>
    <row r="158" spans="1:23" x14ac:dyDescent="0.3">
      <c r="A158" s="145">
        <v>155</v>
      </c>
      <c r="B158" s="146" t="s">
        <v>211</v>
      </c>
      <c r="C158" s="47">
        <v>4500</v>
      </c>
      <c r="D158" s="38" t="s">
        <v>58</v>
      </c>
      <c r="E158" s="147">
        <f>33+16</f>
        <v>49</v>
      </c>
      <c r="F158" s="148">
        <f>126821+65456</f>
        <v>192277</v>
      </c>
      <c r="G158" s="149">
        <f t="shared" si="2"/>
        <v>3.0994076460504034E-4</v>
      </c>
      <c r="K158" s="12"/>
      <c r="L158" s="16"/>
      <c r="M158" s="13"/>
      <c r="N158" s="12"/>
      <c r="O158" s="14"/>
      <c r="P158" s="14"/>
      <c r="Q158" s="14"/>
      <c r="R158" s="14"/>
      <c r="S158" s="14"/>
      <c r="T158" s="14"/>
      <c r="U158" s="14"/>
      <c r="V158" s="14"/>
      <c r="W158" s="15"/>
    </row>
    <row r="159" spans="1:23" x14ac:dyDescent="0.3">
      <c r="A159" s="145">
        <v>156</v>
      </c>
      <c r="B159" s="154" t="s">
        <v>275</v>
      </c>
      <c r="C159" s="47">
        <v>15000</v>
      </c>
      <c r="D159" s="38" t="s">
        <v>70</v>
      </c>
      <c r="E159" s="147">
        <f>4+10</f>
        <v>14</v>
      </c>
      <c r="F159" s="148">
        <f>54545+136360</f>
        <v>190905</v>
      </c>
      <c r="G159" s="149">
        <f t="shared" si="2"/>
        <v>3.0772917024358206E-4</v>
      </c>
      <c r="K159" s="12"/>
      <c r="L159" s="16"/>
      <c r="M159" s="13"/>
      <c r="N159" s="12"/>
      <c r="O159" s="14"/>
      <c r="P159" s="14"/>
      <c r="Q159" s="14"/>
      <c r="R159" s="14"/>
      <c r="S159" s="14"/>
      <c r="T159" s="14"/>
      <c r="U159" s="14"/>
      <c r="V159" s="14"/>
      <c r="W159" s="15"/>
    </row>
    <row r="160" spans="1:23" x14ac:dyDescent="0.3">
      <c r="A160" s="63">
        <v>157</v>
      </c>
      <c r="B160" s="146" t="s">
        <v>182</v>
      </c>
      <c r="C160" s="47">
        <v>4000</v>
      </c>
      <c r="D160" s="38" t="s">
        <v>62</v>
      </c>
      <c r="E160" s="147">
        <f>29+21</f>
        <v>50</v>
      </c>
      <c r="F160" s="148">
        <f>105450+76356</f>
        <v>181806</v>
      </c>
      <c r="G160" s="149">
        <f t="shared" si="2"/>
        <v>2.9306204408111194E-4</v>
      </c>
      <c r="K160" s="12"/>
      <c r="L160" s="16"/>
      <c r="M160" s="13"/>
      <c r="N160" s="12"/>
      <c r="O160" s="14"/>
      <c r="P160" s="14"/>
      <c r="Q160" s="14"/>
      <c r="R160" s="14"/>
      <c r="S160" s="14"/>
      <c r="T160" s="14"/>
      <c r="U160" s="14"/>
      <c r="V160" s="14"/>
      <c r="W160" s="15"/>
    </row>
    <row r="161" spans="1:23" x14ac:dyDescent="0.3">
      <c r="A161" s="145">
        <v>158</v>
      </c>
      <c r="B161" s="146" t="s">
        <v>210</v>
      </c>
      <c r="C161" s="47">
        <v>4300</v>
      </c>
      <c r="D161" s="38" t="s">
        <v>59</v>
      </c>
      <c r="E161" s="147">
        <f>42+1</f>
        <v>43</v>
      </c>
      <c r="F161" s="148">
        <f>160724+3909</f>
        <v>164633</v>
      </c>
      <c r="G161" s="149">
        <f t="shared" si="2"/>
        <v>2.6538003973029328E-4</v>
      </c>
      <c r="K161" s="12"/>
      <c r="L161" s="16"/>
      <c r="M161" s="13"/>
      <c r="N161" s="12"/>
      <c r="O161" s="14"/>
      <c r="P161" s="14"/>
      <c r="Q161" s="14"/>
      <c r="R161" s="14"/>
      <c r="S161" s="14"/>
      <c r="T161" s="14"/>
      <c r="U161" s="14"/>
      <c r="V161" s="14"/>
      <c r="W161" s="15"/>
    </row>
    <row r="162" spans="1:23" x14ac:dyDescent="0.3">
      <c r="A162" s="145">
        <v>159</v>
      </c>
      <c r="B162" s="154" t="s">
        <v>134</v>
      </c>
      <c r="C162" s="47">
        <v>3500</v>
      </c>
      <c r="D162" s="38" t="s">
        <v>70</v>
      </c>
      <c r="E162" s="158">
        <f>58</f>
        <v>58</v>
      </c>
      <c r="F162" s="157">
        <v>162272</v>
      </c>
      <c r="G162" s="149">
        <f t="shared" si="2"/>
        <v>2.6157422756746312E-4</v>
      </c>
      <c r="K162" s="12"/>
      <c r="L162" s="16"/>
      <c r="M162" s="13"/>
      <c r="N162" s="12"/>
      <c r="O162" s="14"/>
      <c r="P162" s="14"/>
      <c r="Q162" s="14"/>
      <c r="R162" s="14"/>
      <c r="S162" s="14"/>
      <c r="T162" s="14"/>
      <c r="U162" s="14"/>
      <c r="V162" s="14"/>
      <c r="W162" s="15"/>
    </row>
    <row r="163" spans="1:23" x14ac:dyDescent="0.3">
      <c r="A163" s="145">
        <v>160</v>
      </c>
      <c r="B163" s="154" t="s">
        <v>280</v>
      </c>
      <c r="C163" s="47">
        <v>500</v>
      </c>
      <c r="D163" s="38" t="s">
        <v>70</v>
      </c>
      <c r="E163" s="147">
        <f>189+136</f>
        <v>325</v>
      </c>
      <c r="F163" s="148">
        <f>84555+58695</f>
        <v>143250</v>
      </c>
      <c r="G163" s="149">
        <f t="shared" si="2"/>
        <v>2.3091172906625351E-4</v>
      </c>
      <c r="K163" s="12"/>
      <c r="L163" s="17"/>
      <c r="M163" s="13"/>
      <c r="N163" s="12"/>
      <c r="O163" s="14"/>
      <c r="P163" s="14"/>
      <c r="Q163" s="14"/>
      <c r="R163" s="14"/>
      <c r="S163" s="14"/>
      <c r="T163" s="14"/>
      <c r="U163" s="14"/>
      <c r="V163" s="14"/>
      <c r="W163" s="15"/>
    </row>
    <row r="164" spans="1:23" x14ac:dyDescent="0.3">
      <c r="A164" s="63">
        <v>161</v>
      </c>
      <c r="B164" s="160" t="s">
        <v>155</v>
      </c>
      <c r="C164" s="47">
        <v>2800</v>
      </c>
      <c r="D164" s="38" t="s">
        <v>63</v>
      </c>
      <c r="E164" s="158">
        <f>57</f>
        <v>57</v>
      </c>
      <c r="F164" s="157">
        <v>140000</v>
      </c>
      <c r="G164" s="149">
        <f t="shared" si="2"/>
        <v>2.2567289402635596E-4</v>
      </c>
      <c r="K164" s="12"/>
      <c r="L164" s="16"/>
      <c r="M164" s="13"/>
      <c r="N164" s="12"/>
      <c r="O164" s="14"/>
      <c r="P164" s="14"/>
      <c r="Q164" s="14"/>
      <c r="R164" s="14"/>
      <c r="S164" s="14"/>
      <c r="T164" s="14"/>
      <c r="U164" s="14"/>
      <c r="V164" s="14"/>
      <c r="W164" s="15"/>
    </row>
    <row r="165" spans="1:23" x14ac:dyDescent="0.3">
      <c r="A165" s="145">
        <v>162</v>
      </c>
      <c r="B165" s="146" t="s">
        <v>111</v>
      </c>
      <c r="C165" s="47">
        <v>4300</v>
      </c>
      <c r="D165" s="38" t="s">
        <v>61</v>
      </c>
      <c r="E165" s="147">
        <f>14+6+10+4</f>
        <v>34</v>
      </c>
      <c r="F165" s="148">
        <f>54726+23454+39090+13818</f>
        <v>131088</v>
      </c>
      <c r="G165" s="149">
        <f t="shared" si="2"/>
        <v>2.1130720237233535E-4</v>
      </c>
      <c r="K165" s="12"/>
      <c r="L165" s="16"/>
      <c r="M165" s="13"/>
      <c r="N165" s="12"/>
      <c r="O165" s="14"/>
      <c r="P165" s="14"/>
      <c r="Q165" s="14"/>
      <c r="R165" s="14"/>
      <c r="S165" s="14"/>
      <c r="T165" s="14"/>
      <c r="U165" s="14"/>
      <c r="V165" s="14"/>
      <c r="W165" s="15"/>
    </row>
    <row r="166" spans="1:23" x14ac:dyDescent="0.3">
      <c r="A166" s="145">
        <v>163</v>
      </c>
      <c r="B166" s="161" t="s">
        <v>303</v>
      </c>
      <c r="C166" s="47">
        <v>4500</v>
      </c>
      <c r="D166" s="38" t="s">
        <v>62</v>
      </c>
      <c r="E166" s="147">
        <f>2+12+18</f>
        <v>32</v>
      </c>
      <c r="F166" s="148">
        <f>8182+49092+73638</f>
        <v>130912</v>
      </c>
      <c r="G166" s="149">
        <f t="shared" si="2"/>
        <v>2.1102349930555937E-4</v>
      </c>
      <c r="K166" s="12"/>
      <c r="L166" s="16"/>
      <c r="M166" s="13"/>
      <c r="N166" s="12"/>
      <c r="O166" s="14"/>
      <c r="P166" s="14"/>
      <c r="Q166" s="14"/>
      <c r="R166" s="14"/>
      <c r="S166" s="14"/>
      <c r="T166" s="14"/>
      <c r="U166" s="14"/>
      <c r="V166" s="14"/>
      <c r="W166" s="15"/>
    </row>
    <row r="167" spans="1:23" x14ac:dyDescent="0.3">
      <c r="A167" s="145">
        <v>164</v>
      </c>
      <c r="B167" s="159" t="s">
        <v>266</v>
      </c>
      <c r="C167" s="47">
        <v>2000</v>
      </c>
      <c r="D167" s="38" t="s">
        <v>60</v>
      </c>
      <c r="E167" s="158">
        <f>72</f>
        <v>72</v>
      </c>
      <c r="F167" s="157">
        <v>130909</v>
      </c>
      <c r="G167" s="149">
        <f t="shared" si="2"/>
        <v>2.1101866345783022E-4</v>
      </c>
      <c r="K167" s="12"/>
      <c r="L167" s="16"/>
      <c r="M167" s="13"/>
      <c r="N167" s="12"/>
      <c r="O167" s="14"/>
      <c r="P167" s="14"/>
      <c r="Q167" s="14"/>
      <c r="R167" s="14"/>
      <c r="S167" s="14"/>
      <c r="T167" s="14"/>
      <c r="U167" s="14"/>
      <c r="V167" s="14"/>
      <c r="W167" s="15"/>
    </row>
    <row r="168" spans="1:23" x14ac:dyDescent="0.3">
      <c r="A168" s="63">
        <v>165</v>
      </c>
      <c r="B168" s="150" t="s">
        <v>284</v>
      </c>
      <c r="C168" s="47">
        <v>3500</v>
      </c>
      <c r="D168" s="38" t="s">
        <v>285</v>
      </c>
      <c r="E168" s="158">
        <f>38</f>
        <v>38</v>
      </c>
      <c r="F168" s="157">
        <v>117734</v>
      </c>
      <c r="G168" s="149">
        <f t="shared" si="2"/>
        <v>1.8978123218070709E-4</v>
      </c>
      <c r="K168" s="12"/>
      <c r="L168" s="16"/>
      <c r="M168" s="13"/>
      <c r="N168" s="12"/>
      <c r="O168" s="14"/>
      <c r="P168" s="14"/>
      <c r="Q168" s="14"/>
      <c r="R168" s="14"/>
      <c r="S168" s="14"/>
      <c r="T168" s="14"/>
      <c r="U168" s="14"/>
      <c r="V168" s="14"/>
      <c r="W168" s="15"/>
    </row>
    <row r="169" spans="1:23" x14ac:dyDescent="0.3">
      <c r="A169" s="145">
        <v>166</v>
      </c>
      <c r="B169" s="146" t="s">
        <v>223</v>
      </c>
      <c r="C169" s="47">
        <v>4800</v>
      </c>
      <c r="D169" s="38" t="s">
        <v>58</v>
      </c>
      <c r="E169" s="147">
        <f>6+16+5</f>
        <v>27</v>
      </c>
      <c r="F169" s="148">
        <f>26184+69824+19545</f>
        <v>115553</v>
      </c>
      <c r="G169" s="149">
        <f t="shared" si="2"/>
        <v>1.8626557088162509E-4</v>
      </c>
      <c r="K169" s="12"/>
      <c r="L169" s="16"/>
      <c r="M169" s="13"/>
      <c r="N169" s="12"/>
      <c r="O169" s="14"/>
      <c r="P169" s="14"/>
      <c r="Q169" s="14"/>
      <c r="R169" s="14"/>
      <c r="S169" s="14"/>
      <c r="T169" s="14"/>
      <c r="U169" s="14"/>
      <c r="V169" s="14"/>
      <c r="W169" s="15"/>
    </row>
    <row r="170" spans="1:23" x14ac:dyDescent="0.3">
      <c r="A170" s="145">
        <v>167</v>
      </c>
      <c r="B170" s="162" t="s">
        <v>287</v>
      </c>
      <c r="C170" s="47">
        <v>3500</v>
      </c>
      <c r="D170" s="38" t="s">
        <v>61</v>
      </c>
      <c r="E170" s="147">
        <f>42</f>
        <v>42</v>
      </c>
      <c r="F170" s="148">
        <v>114552</v>
      </c>
      <c r="G170" s="149">
        <f t="shared" si="2"/>
        <v>1.8465200968933662E-4</v>
      </c>
      <c r="K170" s="12"/>
      <c r="L170" s="16"/>
      <c r="M170" s="13"/>
      <c r="N170" s="12"/>
      <c r="O170" s="14"/>
      <c r="P170" s="14"/>
      <c r="Q170" s="14"/>
      <c r="R170" s="14"/>
      <c r="S170" s="14"/>
      <c r="T170" s="14"/>
      <c r="U170" s="14"/>
      <c r="V170" s="14"/>
      <c r="W170" s="15"/>
    </row>
    <row r="171" spans="1:23" x14ac:dyDescent="0.3">
      <c r="A171" s="145">
        <v>168</v>
      </c>
      <c r="B171" s="146" t="s">
        <v>209</v>
      </c>
      <c r="C171" s="47">
        <v>4300</v>
      </c>
      <c r="D171" s="38" t="s">
        <v>58</v>
      </c>
      <c r="E171" s="147">
        <f>24+5</f>
        <v>29</v>
      </c>
      <c r="F171" s="148">
        <f>93816+19545</f>
        <v>113361</v>
      </c>
      <c r="G171" s="149">
        <f t="shared" si="2"/>
        <v>1.8273217814086955E-4</v>
      </c>
      <c r="K171" s="12"/>
      <c r="L171" s="16"/>
      <c r="M171" s="13"/>
      <c r="N171" s="12"/>
      <c r="O171" s="14"/>
      <c r="P171" s="14"/>
      <c r="Q171" s="14"/>
      <c r="R171" s="14"/>
      <c r="S171" s="14"/>
      <c r="T171" s="14"/>
      <c r="U171" s="14"/>
      <c r="V171" s="14"/>
      <c r="W171" s="15"/>
    </row>
    <row r="172" spans="1:23" x14ac:dyDescent="0.3">
      <c r="A172" s="63">
        <v>169</v>
      </c>
      <c r="B172" s="160" t="s">
        <v>139</v>
      </c>
      <c r="C172" s="47">
        <v>3000</v>
      </c>
      <c r="D172" s="38" t="s">
        <v>63</v>
      </c>
      <c r="E172" s="158">
        <f>41</f>
        <v>41</v>
      </c>
      <c r="F172" s="157">
        <v>111818</v>
      </c>
      <c r="G172" s="149">
        <f t="shared" si="2"/>
        <v>1.802449404588505E-4</v>
      </c>
      <c r="K172" s="12"/>
      <c r="L172" s="16"/>
      <c r="M172" s="13"/>
      <c r="N172" s="12"/>
      <c r="O172" s="14"/>
      <c r="P172" s="14"/>
      <c r="Q172" s="14"/>
      <c r="R172" s="14"/>
      <c r="S172" s="14"/>
      <c r="T172" s="14"/>
      <c r="U172" s="14"/>
      <c r="V172" s="14"/>
      <c r="W172" s="15"/>
    </row>
    <row r="173" spans="1:23" x14ac:dyDescent="0.3">
      <c r="A173" s="145">
        <v>170</v>
      </c>
      <c r="B173" s="154" t="s">
        <v>133</v>
      </c>
      <c r="C173" s="47">
        <v>3300</v>
      </c>
      <c r="D173" s="38" t="s">
        <v>70</v>
      </c>
      <c r="E173" s="158">
        <f>39</f>
        <v>39</v>
      </c>
      <c r="F173" s="157">
        <v>111000</v>
      </c>
      <c r="G173" s="149">
        <f t="shared" si="2"/>
        <v>1.7892636597803937E-4</v>
      </c>
      <c r="K173" s="12"/>
      <c r="L173" s="16"/>
      <c r="M173" s="13"/>
      <c r="N173" s="12"/>
      <c r="O173" s="14"/>
      <c r="P173" s="14"/>
      <c r="Q173" s="14"/>
      <c r="R173" s="14"/>
      <c r="S173" s="14"/>
      <c r="T173" s="14"/>
      <c r="U173" s="14"/>
      <c r="V173" s="14"/>
      <c r="W173" s="15"/>
    </row>
    <row r="174" spans="1:23" x14ac:dyDescent="0.3">
      <c r="A174" s="145">
        <v>171</v>
      </c>
      <c r="B174" s="146" t="s">
        <v>173</v>
      </c>
      <c r="C174" s="47">
        <v>4000</v>
      </c>
      <c r="D174" s="38" t="s">
        <v>62</v>
      </c>
      <c r="E174" s="147">
        <f>21+9</f>
        <v>30</v>
      </c>
      <c r="F174" s="148">
        <f>76361+32724</f>
        <v>109085</v>
      </c>
      <c r="G174" s="149">
        <f t="shared" si="2"/>
        <v>1.7583948317760744E-4</v>
      </c>
      <c r="K174" s="12"/>
      <c r="L174" s="16"/>
      <c r="M174" s="13"/>
      <c r="N174" s="12"/>
      <c r="O174" s="14"/>
      <c r="P174" s="14"/>
      <c r="Q174" s="14"/>
      <c r="R174" s="14"/>
      <c r="S174" s="14"/>
      <c r="T174" s="14"/>
      <c r="U174" s="14"/>
      <c r="V174" s="14"/>
      <c r="W174" s="15"/>
    </row>
    <row r="175" spans="1:23" x14ac:dyDescent="0.3">
      <c r="A175" s="145">
        <v>172</v>
      </c>
      <c r="B175" s="150" t="s">
        <v>25</v>
      </c>
      <c r="C175" s="47">
        <v>3000</v>
      </c>
      <c r="D175" s="38" t="s">
        <v>63</v>
      </c>
      <c r="E175" s="158">
        <f>39</f>
        <v>39</v>
      </c>
      <c r="F175" s="157">
        <v>103635</v>
      </c>
      <c r="G175" s="149">
        <f t="shared" si="2"/>
        <v>1.6705435980301001E-4</v>
      </c>
      <c r="K175" s="12"/>
      <c r="L175" s="16"/>
      <c r="M175" s="13"/>
      <c r="N175" s="12"/>
      <c r="O175" s="14"/>
      <c r="P175" s="14"/>
      <c r="Q175" s="14"/>
      <c r="R175" s="14"/>
      <c r="S175" s="14"/>
      <c r="T175" s="14"/>
      <c r="U175" s="14"/>
      <c r="V175" s="14"/>
      <c r="W175" s="15"/>
    </row>
    <row r="176" spans="1:23" x14ac:dyDescent="0.3">
      <c r="A176" s="63">
        <v>173</v>
      </c>
      <c r="B176" s="159" t="s">
        <v>121</v>
      </c>
      <c r="C176" s="47">
        <v>2300</v>
      </c>
      <c r="D176" s="38" t="s">
        <v>60</v>
      </c>
      <c r="E176" s="158">
        <f>44</f>
        <v>44</v>
      </c>
      <c r="F176" s="157">
        <v>87818</v>
      </c>
      <c r="G176" s="149">
        <f t="shared" si="2"/>
        <v>1.4155815862576093E-4</v>
      </c>
      <c r="K176" s="12"/>
      <c r="L176" s="16"/>
      <c r="M176" s="13"/>
      <c r="N176" s="12"/>
      <c r="O176" s="14"/>
      <c r="P176" s="14"/>
      <c r="Q176" s="14"/>
      <c r="R176" s="14"/>
      <c r="S176" s="14"/>
      <c r="T176" s="14"/>
      <c r="U176" s="14"/>
      <c r="V176" s="14"/>
      <c r="W176" s="15"/>
    </row>
    <row r="177" spans="1:23" x14ac:dyDescent="0.3">
      <c r="A177" s="145">
        <v>174</v>
      </c>
      <c r="B177" s="159" t="s">
        <v>261</v>
      </c>
      <c r="C177" s="47">
        <v>2000</v>
      </c>
      <c r="D177" s="38" t="s">
        <v>60</v>
      </c>
      <c r="E177" s="158">
        <f>48</f>
        <v>48</v>
      </c>
      <c r="F177" s="157">
        <v>87273</v>
      </c>
      <c r="G177" s="149">
        <f t="shared" si="2"/>
        <v>1.4067964628830117E-4</v>
      </c>
      <c r="K177" s="12"/>
      <c r="L177" s="16"/>
      <c r="M177" s="13"/>
      <c r="N177" s="12"/>
      <c r="O177" s="14"/>
      <c r="P177" s="14"/>
      <c r="Q177" s="14"/>
      <c r="R177" s="14"/>
      <c r="S177" s="14"/>
      <c r="T177" s="14"/>
      <c r="U177" s="14"/>
      <c r="V177" s="14"/>
      <c r="W177" s="15"/>
    </row>
    <row r="178" spans="1:23" x14ac:dyDescent="0.3">
      <c r="A178" s="145">
        <v>175</v>
      </c>
      <c r="B178" s="161" t="s">
        <v>302</v>
      </c>
      <c r="C178" s="47">
        <v>4000</v>
      </c>
      <c r="D178" s="38" t="s">
        <v>62</v>
      </c>
      <c r="E178" s="147">
        <f>1+10+9+3</f>
        <v>23</v>
      </c>
      <c r="F178" s="148">
        <f>3636+36360+32724+12273</f>
        <v>84993</v>
      </c>
      <c r="G178" s="149">
        <f t="shared" si="2"/>
        <v>1.3700440201415767E-4</v>
      </c>
      <c r="K178" s="12"/>
      <c r="L178" s="16"/>
      <c r="M178" s="13"/>
      <c r="N178" s="12"/>
      <c r="O178" s="14"/>
      <c r="P178" s="14"/>
      <c r="Q178" s="14"/>
      <c r="R178" s="14"/>
      <c r="S178" s="14"/>
      <c r="T178" s="14"/>
      <c r="U178" s="14"/>
      <c r="V178" s="14"/>
      <c r="W178" s="15"/>
    </row>
    <row r="179" spans="1:23" x14ac:dyDescent="0.3">
      <c r="A179" s="145">
        <v>176</v>
      </c>
      <c r="B179" s="159" t="s">
        <v>113</v>
      </c>
      <c r="C179" s="47">
        <v>10000</v>
      </c>
      <c r="D179" s="38" t="s">
        <v>60</v>
      </c>
      <c r="E179" s="158">
        <f>9</f>
        <v>9</v>
      </c>
      <c r="F179" s="157">
        <v>81818</v>
      </c>
      <c r="G179" s="149">
        <f t="shared" si="2"/>
        <v>1.3188646316748852E-4</v>
      </c>
      <c r="K179" s="12"/>
      <c r="L179" s="16"/>
      <c r="M179" s="13"/>
      <c r="N179" s="12"/>
      <c r="O179" s="14"/>
      <c r="P179" s="14"/>
      <c r="Q179" s="14"/>
      <c r="R179" s="14"/>
      <c r="S179" s="14"/>
      <c r="T179" s="14"/>
      <c r="U179" s="14"/>
      <c r="V179" s="14"/>
      <c r="W179" s="15"/>
    </row>
    <row r="180" spans="1:23" x14ac:dyDescent="0.3">
      <c r="A180" s="63">
        <v>177</v>
      </c>
      <c r="B180" s="159" t="s">
        <v>268</v>
      </c>
      <c r="C180" s="47">
        <v>2000</v>
      </c>
      <c r="D180" s="38" t="s">
        <v>60</v>
      </c>
      <c r="E180" s="158">
        <f>44</f>
        <v>44</v>
      </c>
      <c r="F180" s="157">
        <v>80000</v>
      </c>
      <c r="G180" s="149">
        <f t="shared" si="2"/>
        <v>1.2895593944363198E-4</v>
      </c>
      <c r="K180" s="12"/>
      <c r="L180" s="16"/>
      <c r="M180" s="13"/>
      <c r="N180" s="12"/>
      <c r="O180" s="14"/>
      <c r="P180" s="14"/>
      <c r="Q180" s="14"/>
      <c r="R180" s="14"/>
      <c r="S180" s="14"/>
      <c r="T180" s="14"/>
      <c r="U180" s="14"/>
      <c r="V180" s="14"/>
      <c r="W180" s="15"/>
    </row>
    <row r="181" spans="1:23" x14ac:dyDescent="0.3">
      <c r="A181" s="145">
        <v>178</v>
      </c>
      <c r="B181" s="150" t="s">
        <v>92</v>
      </c>
      <c r="C181" s="47">
        <v>3500</v>
      </c>
      <c r="D181" s="38" t="s">
        <v>61</v>
      </c>
      <c r="E181" s="158">
        <f>27</f>
        <v>27</v>
      </c>
      <c r="F181" s="157">
        <v>79544</v>
      </c>
      <c r="G181" s="149">
        <f t="shared" si="2"/>
        <v>1.2822089058880327E-4</v>
      </c>
      <c r="K181" s="12"/>
      <c r="L181" s="16"/>
      <c r="M181" s="13"/>
      <c r="N181" s="12"/>
      <c r="O181" s="14"/>
      <c r="P181" s="14"/>
      <c r="Q181" s="14"/>
      <c r="R181" s="14"/>
      <c r="S181" s="14"/>
      <c r="T181" s="14"/>
      <c r="U181" s="14"/>
      <c r="V181" s="14"/>
      <c r="W181" s="15"/>
    </row>
    <row r="182" spans="1:23" x14ac:dyDescent="0.3">
      <c r="A182" s="145">
        <v>179</v>
      </c>
      <c r="B182" s="159" t="s">
        <v>269</v>
      </c>
      <c r="C182" s="47">
        <v>2000</v>
      </c>
      <c r="D182" s="38" t="s">
        <v>60</v>
      </c>
      <c r="E182" s="158">
        <f>43</f>
        <v>43</v>
      </c>
      <c r="F182" s="157">
        <v>78182</v>
      </c>
      <c r="G182" s="149">
        <f t="shared" si="2"/>
        <v>1.2602541571977543E-4</v>
      </c>
      <c r="K182" s="12"/>
      <c r="L182" s="16"/>
      <c r="M182" s="13"/>
      <c r="N182" s="12"/>
      <c r="O182" s="14"/>
      <c r="P182" s="14"/>
      <c r="Q182" s="14"/>
      <c r="R182" s="14"/>
      <c r="S182" s="14"/>
      <c r="T182" s="14"/>
      <c r="U182" s="14"/>
      <c r="V182" s="14"/>
      <c r="W182" s="15"/>
    </row>
    <row r="183" spans="1:23" x14ac:dyDescent="0.3">
      <c r="A183" s="145">
        <v>180</v>
      </c>
      <c r="B183" s="160" t="s">
        <v>144</v>
      </c>
      <c r="C183" s="47">
        <v>2500</v>
      </c>
      <c r="D183" s="38" t="s">
        <v>61</v>
      </c>
      <c r="E183" s="158">
        <f>34</f>
        <v>34</v>
      </c>
      <c r="F183" s="157">
        <v>77273</v>
      </c>
      <c r="G183" s="149">
        <f t="shared" si="2"/>
        <v>1.2456015385784718E-4</v>
      </c>
      <c r="K183" s="12"/>
      <c r="L183" s="16"/>
      <c r="M183" s="13"/>
      <c r="N183" s="12"/>
      <c r="O183" s="14"/>
      <c r="P183" s="14"/>
      <c r="Q183" s="14"/>
      <c r="R183" s="14"/>
      <c r="S183" s="14"/>
      <c r="T183" s="14"/>
      <c r="U183" s="14"/>
      <c r="V183" s="14"/>
      <c r="W183" s="15"/>
    </row>
    <row r="184" spans="1:23" x14ac:dyDescent="0.3">
      <c r="A184" s="63">
        <v>181</v>
      </c>
      <c r="B184" s="154" t="s">
        <v>248</v>
      </c>
      <c r="C184" s="47">
        <v>1000</v>
      </c>
      <c r="D184" s="38" t="s">
        <v>70</v>
      </c>
      <c r="E184" s="147">
        <f>55+31</f>
        <v>86</v>
      </c>
      <c r="F184" s="148">
        <f>49086+25452</f>
        <v>74538</v>
      </c>
      <c r="G184" s="149">
        <f t="shared" si="2"/>
        <v>1.2015147267811801E-4</v>
      </c>
      <c r="K184" s="12"/>
      <c r="L184" s="16"/>
      <c r="M184" s="13"/>
      <c r="N184" s="12"/>
      <c r="O184" s="14"/>
      <c r="P184" s="14"/>
      <c r="Q184" s="14"/>
      <c r="R184" s="14"/>
      <c r="S184" s="14"/>
      <c r="T184" s="14"/>
      <c r="U184" s="14"/>
      <c r="V184" s="14"/>
      <c r="W184" s="15"/>
    </row>
    <row r="185" spans="1:23" x14ac:dyDescent="0.3">
      <c r="A185" s="145">
        <v>182</v>
      </c>
      <c r="B185" s="154" t="s">
        <v>236</v>
      </c>
      <c r="C185" s="47">
        <v>2000</v>
      </c>
      <c r="D185" s="38" t="s">
        <v>64</v>
      </c>
      <c r="E185" s="147">
        <f>11+27</f>
        <v>38</v>
      </c>
      <c r="F185" s="148">
        <f>19999+49086</f>
        <v>69085</v>
      </c>
      <c r="G185" s="149">
        <f t="shared" si="2"/>
        <v>1.1136151345579144E-4</v>
      </c>
      <c r="K185" s="12"/>
      <c r="L185" s="16"/>
      <c r="M185" s="13"/>
      <c r="N185" s="12"/>
      <c r="O185" s="14"/>
      <c r="P185" s="14"/>
      <c r="Q185" s="14"/>
      <c r="R185" s="14"/>
      <c r="S185" s="14"/>
      <c r="T185" s="14"/>
      <c r="U185" s="14"/>
      <c r="V185" s="14"/>
      <c r="W185" s="15"/>
    </row>
    <row r="186" spans="1:23" x14ac:dyDescent="0.3">
      <c r="A186" s="145">
        <v>183</v>
      </c>
      <c r="B186" s="160" t="s">
        <v>143</v>
      </c>
      <c r="C186" s="47">
        <v>3200</v>
      </c>
      <c r="D186" s="38" t="s">
        <v>63</v>
      </c>
      <c r="E186" s="158">
        <f>29</f>
        <v>29</v>
      </c>
      <c r="F186" s="157">
        <v>66909</v>
      </c>
      <c r="G186" s="149">
        <f t="shared" si="2"/>
        <v>1.0785391190292466E-4</v>
      </c>
      <c r="K186" s="12"/>
      <c r="L186" s="16"/>
      <c r="M186" s="13"/>
      <c r="N186" s="12"/>
      <c r="O186" s="14"/>
      <c r="P186" s="14"/>
      <c r="Q186" s="14"/>
      <c r="R186" s="14"/>
      <c r="S186" s="14"/>
      <c r="T186" s="14"/>
      <c r="U186" s="14"/>
      <c r="V186" s="14"/>
      <c r="W186" s="15"/>
    </row>
    <row r="187" spans="1:23" x14ac:dyDescent="0.3">
      <c r="A187" s="145">
        <v>184</v>
      </c>
      <c r="B187" s="146" t="s">
        <v>176</v>
      </c>
      <c r="C187" s="47">
        <v>4300</v>
      </c>
      <c r="D187" s="38" t="s">
        <v>58</v>
      </c>
      <c r="E187" s="147">
        <f>8+9</f>
        <v>17</v>
      </c>
      <c r="F187" s="148">
        <f>31272+35181</f>
        <v>66453</v>
      </c>
      <c r="G187" s="149">
        <f t="shared" si="2"/>
        <v>1.0711886304809595E-4</v>
      </c>
      <c r="K187" s="12"/>
      <c r="L187" s="16"/>
      <c r="M187" s="13"/>
      <c r="N187" s="12"/>
      <c r="O187" s="14"/>
      <c r="P187" s="14"/>
      <c r="Q187" s="14"/>
      <c r="R187" s="14"/>
      <c r="S187" s="14"/>
      <c r="T187" s="14"/>
      <c r="U187" s="14"/>
      <c r="V187" s="14"/>
      <c r="W187" s="15"/>
    </row>
    <row r="188" spans="1:23" x14ac:dyDescent="0.3">
      <c r="A188" s="63">
        <v>185</v>
      </c>
      <c r="B188" s="151" t="s">
        <v>296</v>
      </c>
      <c r="C188" s="48">
        <v>2000</v>
      </c>
      <c r="D188" s="37" t="s">
        <v>60</v>
      </c>
      <c r="E188" s="152">
        <f>35</f>
        <v>35</v>
      </c>
      <c r="F188" s="153">
        <v>63630</v>
      </c>
      <c r="G188" s="149">
        <f t="shared" si="2"/>
        <v>1.0256833033497878E-4</v>
      </c>
      <c r="K188" s="12"/>
      <c r="L188" s="16"/>
      <c r="M188" s="13"/>
      <c r="N188" s="12"/>
      <c r="O188" s="14"/>
      <c r="P188" s="14"/>
      <c r="Q188" s="14"/>
      <c r="R188" s="14"/>
      <c r="S188" s="14"/>
      <c r="T188" s="14"/>
      <c r="U188" s="14"/>
      <c r="V188" s="14"/>
      <c r="W188" s="15"/>
    </row>
    <row r="189" spans="1:23" x14ac:dyDescent="0.3">
      <c r="A189" s="145">
        <v>186</v>
      </c>
      <c r="B189" s="154" t="s">
        <v>242</v>
      </c>
      <c r="C189" s="47">
        <v>2000</v>
      </c>
      <c r="D189" s="38" t="s">
        <v>64</v>
      </c>
      <c r="E189" s="147">
        <f>16+17</f>
        <v>33</v>
      </c>
      <c r="F189" s="148">
        <f>29089+30906</f>
        <v>59995</v>
      </c>
      <c r="G189" s="149">
        <f t="shared" si="2"/>
        <v>9.6708894836508761E-5</v>
      </c>
      <c r="K189" s="12"/>
      <c r="L189" s="16"/>
      <c r="M189" s="13"/>
      <c r="N189" s="12"/>
      <c r="O189" s="14"/>
      <c r="P189" s="14"/>
      <c r="Q189" s="14"/>
      <c r="R189" s="14"/>
      <c r="S189" s="14"/>
      <c r="T189" s="14"/>
      <c r="U189" s="14"/>
      <c r="V189" s="14"/>
      <c r="W189" s="15"/>
    </row>
    <row r="190" spans="1:23" x14ac:dyDescent="0.3">
      <c r="A190" s="145">
        <v>187</v>
      </c>
      <c r="B190" s="163" t="s">
        <v>288</v>
      </c>
      <c r="C190" s="47">
        <v>3500</v>
      </c>
      <c r="D190" s="38" t="s">
        <v>61</v>
      </c>
      <c r="E190" s="147">
        <f>21</f>
        <v>21</v>
      </c>
      <c r="F190" s="148">
        <v>57276</v>
      </c>
      <c r="G190" s="149">
        <f t="shared" si="2"/>
        <v>9.232600484466831E-5</v>
      </c>
      <c r="K190" s="12"/>
      <c r="L190" s="16"/>
      <c r="M190" s="13"/>
      <c r="N190" s="12"/>
      <c r="O190" s="14"/>
      <c r="P190" s="14"/>
      <c r="Q190" s="14"/>
      <c r="R190" s="14"/>
      <c r="S190" s="14"/>
      <c r="T190" s="14"/>
      <c r="U190" s="14"/>
      <c r="V190" s="14"/>
      <c r="W190" s="15"/>
    </row>
    <row r="191" spans="1:23" x14ac:dyDescent="0.3">
      <c r="A191" s="145">
        <v>188</v>
      </c>
      <c r="B191" s="160" t="s">
        <v>156</v>
      </c>
      <c r="C191" s="47">
        <v>3000</v>
      </c>
      <c r="D191" s="38" t="s">
        <v>63</v>
      </c>
      <c r="E191" s="158">
        <f>21</f>
        <v>21</v>
      </c>
      <c r="F191" s="157">
        <v>57273</v>
      </c>
      <c r="G191" s="149">
        <f t="shared" si="2"/>
        <v>9.2321168996939177E-5</v>
      </c>
      <c r="K191" s="12"/>
      <c r="L191" s="16"/>
      <c r="M191" s="13"/>
      <c r="N191" s="12"/>
      <c r="O191" s="14"/>
      <c r="P191" s="14"/>
      <c r="Q191" s="14"/>
      <c r="R191" s="14"/>
      <c r="S191" s="14"/>
      <c r="T191" s="14"/>
      <c r="U191" s="14"/>
      <c r="V191" s="14"/>
      <c r="W191" s="15"/>
    </row>
    <row r="192" spans="1:23" x14ac:dyDescent="0.3">
      <c r="A192" s="63">
        <v>189</v>
      </c>
      <c r="B192" s="151" t="s">
        <v>295</v>
      </c>
      <c r="C192" s="48">
        <v>2000</v>
      </c>
      <c r="D192" s="37" t="s">
        <v>60</v>
      </c>
      <c r="E192" s="152">
        <f>31</f>
        <v>31</v>
      </c>
      <c r="F192" s="153">
        <v>56358</v>
      </c>
      <c r="G192" s="149">
        <f t="shared" si="2"/>
        <v>9.0846235439552637E-5</v>
      </c>
      <c r="K192" s="12"/>
      <c r="L192" s="16"/>
      <c r="M192" s="13"/>
      <c r="N192" s="12"/>
      <c r="O192" s="14"/>
      <c r="P192" s="14"/>
      <c r="Q192" s="14"/>
      <c r="R192" s="14"/>
      <c r="S192" s="14"/>
      <c r="T192" s="14"/>
      <c r="U192" s="14"/>
      <c r="V192" s="14"/>
      <c r="W192" s="15"/>
    </row>
    <row r="193" spans="1:23" x14ac:dyDescent="0.3">
      <c r="A193" s="145">
        <v>190</v>
      </c>
      <c r="B193" s="159" t="s">
        <v>123</v>
      </c>
      <c r="C193" s="47">
        <v>2000</v>
      </c>
      <c r="D193" s="38" t="s">
        <v>60</v>
      </c>
      <c r="E193" s="158">
        <f>29</f>
        <v>29</v>
      </c>
      <c r="F193" s="157">
        <v>52727</v>
      </c>
      <c r="G193" s="149">
        <f t="shared" si="2"/>
        <v>8.4993247738054793E-5</v>
      </c>
      <c r="K193" s="12"/>
      <c r="L193" s="16"/>
      <c r="M193" s="13"/>
      <c r="N193" s="12"/>
      <c r="O193" s="14"/>
      <c r="P193" s="14"/>
      <c r="Q193" s="14"/>
      <c r="R193" s="14"/>
      <c r="S193" s="14"/>
      <c r="T193" s="14"/>
      <c r="U193" s="14"/>
      <c r="V193" s="14"/>
      <c r="W193" s="15"/>
    </row>
    <row r="194" spans="1:23" x14ac:dyDescent="0.3">
      <c r="A194" s="145">
        <v>191</v>
      </c>
      <c r="B194" s="159" t="s">
        <v>264</v>
      </c>
      <c r="C194" s="47">
        <v>2000</v>
      </c>
      <c r="D194" s="38" t="s">
        <v>60</v>
      </c>
      <c r="E194" s="158">
        <f>28</f>
        <v>28</v>
      </c>
      <c r="F194" s="157">
        <v>50909</v>
      </c>
      <c r="G194" s="149">
        <f t="shared" si="2"/>
        <v>8.206272401419826E-5</v>
      </c>
      <c r="K194" s="12"/>
      <c r="L194" s="16"/>
      <c r="M194" s="13"/>
      <c r="N194" s="12"/>
      <c r="O194" s="14"/>
      <c r="P194" s="14"/>
      <c r="Q194" s="14"/>
      <c r="R194" s="14"/>
      <c r="S194" s="14"/>
      <c r="T194" s="14"/>
      <c r="U194" s="14"/>
      <c r="V194" s="14"/>
      <c r="W194" s="15"/>
    </row>
    <row r="195" spans="1:23" x14ac:dyDescent="0.3">
      <c r="A195" s="145">
        <v>192</v>
      </c>
      <c r="B195" s="146" t="s">
        <v>174</v>
      </c>
      <c r="C195" s="47">
        <v>4300</v>
      </c>
      <c r="D195" s="38" t="s">
        <v>62</v>
      </c>
      <c r="E195" s="147">
        <f>6+5</f>
        <v>11</v>
      </c>
      <c r="F195" s="148">
        <f>23454+19545</f>
        <v>42999</v>
      </c>
      <c r="G195" s="149">
        <f t="shared" si="2"/>
        <v>6.9312205501709145E-5</v>
      </c>
      <c r="K195" s="12"/>
      <c r="L195" s="16"/>
      <c r="M195" s="13"/>
      <c r="N195" s="12"/>
      <c r="O195" s="14"/>
      <c r="P195" s="14"/>
      <c r="Q195" s="14"/>
      <c r="R195" s="14"/>
      <c r="S195" s="14"/>
      <c r="T195" s="14"/>
      <c r="U195" s="14"/>
      <c r="V195" s="14"/>
      <c r="W195" s="15"/>
    </row>
    <row r="196" spans="1:23" x14ac:dyDescent="0.3">
      <c r="A196" s="63">
        <v>193</v>
      </c>
      <c r="B196" s="160" t="s">
        <v>136</v>
      </c>
      <c r="C196" s="47">
        <v>3000</v>
      </c>
      <c r="D196" s="38" t="s">
        <v>62</v>
      </c>
      <c r="E196" s="158">
        <f>14</f>
        <v>14</v>
      </c>
      <c r="F196" s="157">
        <v>38182</v>
      </c>
      <c r="G196" s="149">
        <f t="shared" ref="G196:G259" si="3">F196/$F$263</f>
        <v>6.1547445997959456E-5</v>
      </c>
      <c r="K196" s="12"/>
      <c r="L196" s="16"/>
      <c r="M196" s="13"/>
      <c r="N196" s="12"/>
      <c r="O196" s="14"/>
      <c r="P196" s="14"/>
      <c r="Q196" s="14"/>
      <c r="R196" s="14"/>
      <c r="S196" s="14"/>
      <c r="T196" s="14"/>
      <c r="U196" s="14"/>
      <c r="V196" s="14"/>
      <c r="W196" s="15"/>
    </row>
    <row r="197" spans="1:23" x14ac:dyDescent="0.3">
      <c r="A197" s="145">
        <v>194</v>
      </c>
      <c r="B197" s="160" t="s">
        <v>162</v>
      </c>
      <c r="C197" s="47">
        <v>3000</v>
      </c>
      <c r="D197" s="38" t="s">
        <v>61</v>
      </c>
      <c r="E197" s="158">
        <f>12</f>
        <v>12</v>
      </c>
      <c r="F197" s="157">
        <v>32727</v>
      </c>
      <c r="G197" s="149">
        <f t="shared" si="3"/>
        <v>5.2754262877146798E-5</v>
      </c>
      <c r="K197" s="12"/>
      <c r="L197" s="16"/>
      <c r="M197" s="13"/>
      <c r="N197" s="12"/>
      <c r="O197" s="14"/>
      <c r="P197" s="14"/>
      <c r="Q197" s="14"/>
      <c r="R197" s="14"/>
      <c r="S197" s="14"/>
      <c r="T197" s="14"/>
      <c r="U197" s="14"/>
      <c r="V197" s="14"/>
      <c r="W197" s="15"/>
    </row>
    <row r="198" spans="1:23" x14ac:dyDescent="0.3">
      <c r="A198" s="145">
        <v>195</v>
      </c>
      <c r="B198" s="159" t="s">
        <v>120</v>
      </c>
      <c r="C198" s="47">
        <v>2000</v>
      </c>
      <c r="D198" s="38" t="s">
        <v>60</v>
      </c>
      <c r="E198" s="158">
        <f>21</f>
        <v>21</v>
      </c>
      <c r="F198" s="157">
        <v>30909</v>
      </c>
      <c r="G198" s="149">
        <f t="shared" si="3"/>
        <v>4.9823739153290258E-5</v>
      </c>
      <c r="K198" s="12"/>
      <c r="L198" s="16"/>
      <c r="M198" s="13"/>
      <c r="N198" s="12"/>
      <c r="O198" s="14"/>
      <c r="P198" s="14"/>
      <c r="Q198" s="14"/>
      <c r="R198" s="14"/>
      <c r="S198" s="14"/>
      <c r="T198" s="14"/>
      <c r="U198" s="14"/>
      <c r="V198" s="14"/>
      <c r="W198" s="15"/>
    </row>
    <row r="199" spans="1:23" x14ac:dyDescent="0.3">
      <c r="A199" s="145">
        <v>196</v>
      </c>
      <c r="B199" s="159" t="s">
        <v>129</v>
      </c>
      <c r="C199" s="47">
        <v>2000</v>
      </c>
      <c r="D199" s="38" t="s">
        <v>60</v>
      </c>
      <c r="E199" s="158">
        <f>17</f>
        <v>17</v>
      </c>
      <c r="F199" s="157">
        <v>30909</v>
      </c>
      <c r="G199" s="149">
        <f t="shared" si="3"/>
        <v>4.9823739153290258E-5</v>
      </c>
      <c r="K199" s="12"/>
      <c r="L199" s="16"/>
      <c r="M199" s="13"/>
      <c r="N199" s="12"/>
      <c r="O199" s="14"/>
      <c r="P199" s="14"/>
      <c r="Q199" s="14"/>
      <c r="R199" s="14"/>
      <c r="S199" s="14"/>
      <c r="T199" s="14"/>
      <c r="U199" s="14"/>
      <c r="V199" s="14"/>
      <c r="W199" s="15"/>
    </row>
    <row r="200" spans="1:23" x14ac:dyDescent="0.3">
      <c r="A200" s="63">
        <v>197</v>
      </c>
      <c r="B200" s="160" t="s">
        <v>152</v>
      </c>
      <c r="C200" s="47">
        <v>3000</v>
      </c>
      <c r="D200" s="38" t="s">
        <v>61</v>
      </c>
      <c r="E200" s="158">
        <f>11</f>
        <v>11</v>
      </c>
      <c r="F200" s="157">
        <v>30000</v>
      </c>
      <c r="G200" s="149">
        <f t="shared" si="3"/>
        <v>4.8358477291361992E-5</v>
      </c>
      <c r="K200" s="12"/>
      <c r="L200" s="16"/>
      <c r="M200" s="13"/>
      <c r="N200" s="12"/>
      <c r="O200" s="14"/>
      <c r="P200" s="14"/>
      <c r="Q200" s="14"/>
      <c r="R200" s="14"/>
      <c r="S200" s="14"/>
      <c r="T200" s="14"/>
      <c r="U200" s="14"/>
      <c r="V200" s="14"/>
      <c r="W200" s="15"/>
    </row>
    <row r="201" spans="1:23" x14ac:dyDescent="0.3">
      <c r="A201" s="145">
        <v>198</v>
      </c>
      <c r="B201" s="160" t="s">
        <v>154</v>
      </c>
      <c r="C201" s="47">
        <v>3000</v>
      </c>
      <c r="D201" s="38" t="s">
        <v>62</v>
      </c>
      <c r="E201" s="158">
        <f>11</f>
        <v>11</v>
      </c>
      <c r="F201" s="157">
        <v>30000</v>
      </c>
      <c r="G201" s="149">
        <f t="shared" si="3"/>
        <v>4.8358477291361992E-5</v>
      </c>
      <c r="K201" s="12"/>
      <c r="L201" s="16"/>
      <c r="M201" s="13"/>
      <c r="N201" s="12"/>
      <c r="O201" s="14"/>
      <c r="P201" s="14"/>
      <c r="Q201" s="14"/>
      <c r="R201" s="14"/>
      <c r="S201" s="14"/>
      <c r="T201" s="14"/>
      <c r="U201" s="14"/>
      <c r="V201" s="14"/>
      <c r="W201" s="15"/>
    </row>
    <row r="202" spans="1:23" x14ac:dyDescent="0.3">
      <c r="A202" s="145">
        <v>199</v>
      </c>
      <c r="B202" s="150" t="s">
        <v>31</v>
      </c>
      <c r="C202" s="47">
        <v>2500</v>
      </c>
      <c r="D202" s="38" t="s">
        <v>61</v>
      </c>
      <c r="E202" s="158">
        <f>13</f>
        <v>13</v>
      </c>
      <c r="F202" s="157">
        <v>29546</v>
      </c>
      <c r="G202" s="149">
        <f t="shared" si="3"/>
        <v>4.7626652335019384E-5</v>
      </c>
      <c r="K202" s="12"/>
      <c r="L202" s="16"/>
      <c r="M202" s="13"/>
      <c r="N202" s="12"/>
      <c r="O202" s="14"/>
      <c r="P202" s="14"/>
      <c r="Q202" s="14"/>
      <c r="R202" s="14"/>
      <c r="S202" s="14"/>
      <c r="T202" s="14"/>
      <c r="U202" s="14"/>
      <c r="V202" s="14"/>
      <c r="W202" s="15"/>
    </row>
    <row r="203" spans="1:23" x14ac:dyDescent="0.3">
      <c r="A203" s="145">
        <v>200</v>
      </c>
      <c r="B203" s="150" t="s">
        <v>93</v>
      </c>
      <c r="C203" s="47">
        <v>3500</v>
      </c>
      <c r="D203" s="38" t="s">
        <v>61</v>
      </c>
      <c r="E203" s="158">
        <f>9</f>
        <v>9</v>
      </c>
      <c r="F203" s="157">
        <v>28638</v>
      </c>
      <c r="G203" s="149">
        <f t="shared" si="3"/>
        <v>4.6163002422334155E-5</v>
      </c>
      <c r="K203" s="12"/>
      <c r="L203" s="16"/>
      <c r="M203" s="13"/>
      <c r="N203" s="12"/>
      <c r="O203" s="14"/>
      <c r="P203" s="14"/>
      <c r="Q203" s="14"/>
      <c r="R203" s="14"/>
      <c r="S203" s="14"/>
      <c r="T203" s="14"/>
      <c r="U203" s="14"/>
      <c r="V203" s="14"/>
      <c r="W203" s="15"/>
    </row>
    <row r="204" spans="1:23" x14ac:dyDescent="0.3">
      <c r="A204" s="63">
        <v>201</v>
      </c>
      <c r="B204" s="160" t="s">
        <v>153</v>
      </c>
      <c r="C204" s="47">
        <v>3500</v>
      </c>
      <c r="D204" s="38" t="s">
        <v>62</v>
      </c>
      <c r="E204" s="158">
        <f>9</f>
        <v>9</v>
      </c>
      <c r="F204" s="157">
        <v>28636</v>
      </c>
      <c r="G204" s="149">
        <f t="shared" si="3"/>
        <v>4.6159778523848066E-5</v>
      </c>
      <c r="K204" s="12"/>
      <c r="L204" s="16"/>
      <c r="M204" s="13"/>
      <c r="N204" s="12"/>
      <c r="O204" s="14"/>
      <c r="P204" s="14"/>
      <c r="Q204" s="14"/>
      <c r="R204" s="14"/>
      <c r="S204" s="14"/>
      <c r="T204" s="14"/>
      <c r="U204" s="14"/>
      <c r="V204" s="14"/>
      <c r="W204" s="15"/>
    </row>
    <row r="205" spans="1:23" x14ac:dyDescent="0.3">
      <c r="A205" s="145">
        <v>202</v>
      </c>
      <c r="B205" s="159" t="s">
        <v>272</v>
      </c>
      <c r="C205" s="47">
        <v>2000</v>
      </c>
      <c r="D205" s="38" t="s">
        <v>60</v>
      </c>
      <c r="E205" s="158">
        <f>15</f>
        <v>15</v>
      </c>
      <c r="F205" s="157">
        <v>27273</v>
      </c>
      <c r="G205" s="149">
        <f t="shared" si="3"/>
        <v>4.3962691705577185E-5</v>
      </c>
      <c r="K205" s="12"/>
      <c r="L205" s="16"/>
      <c r="M205" s="13"/>
      <c r="N205" s="12"/>
      <c r="O205" s="14"/>
      <c r="P205" s="14"/>
      <c r="Q205" s="14"/>
      <c r="R205" s="14"/>
      <c r="S205" s="14"/>
      <c r="T205" s="14"/>
      <c r="U205" s="14"/>
      <c r="V205" s="14"/>
      <c r="W205" s="15"/>
    </row>
    <row r="206" spans="1:23" x14ac:dyDescent="0.3">
      <c r="A206" s="145">
        <v>203</v>
      </c>
      <c r="B206" s="154" t="s">
        <v>244</v>
      </c>
      <c r="C206" s="47">
        <v>2000</v>
      </c>
      <c r="D206" s="38" t="s">
        <v>64</v>
      </c>
      <c r="E206" s="147">
        <f>3+12</f>
        <v>15</v>
      </c>
      <c r="F206" s="148">
        <f>5454+21816</f>
        <v>27270</v>
      </c>
      <c r="G206" s="149">
        <f t="shared" si="3"/>
        <v>4.3957855857848052E-5</v>
      </c>
      <c r="K206" s="12"/>
      <c r="L206" s="16"/>
      <c r="M206" s="13"/>
      <c r="N206" s="12"/>
      <c r="O206" s="14"/>
      <c r="P206" s="14"/>
      <c r="Q206" s="14"/>
      <c r="R206" s="14"/>
      <c r="S206" s="14"/>
      <c r="T206" s="14"/>
      <c r="U206" s="14"/>
      <c r="V206" s="14"/>
      <c r="W206" s="15"/>
    </row>
    <row r="207" spans="1:23" x14ac:dyDescent="0.3">
      <c r="A207" s="145">
        <v>204</v>
      </c>
      <c r="B207" s="161" t="s">
        <v>289</v>
      </c>
      <c r="C207" s="47">
        <v>4200</v>
      </c>
      <c r="D207" s="38" t="s">
        <v>290</v>
      </c>
      <c r="E207" s="147">
        <f>8</f>
        <v>8</v>
      </c>
      <c r="F207" s="148">
        <v>26726</v>
      </c>
      <c r="G207" s="149">
        <f t="shared" si="3"/>
        <v>4.3080955469631353E-5</v>
      </c>
      <c r="K207" s="12"/>
      <c r="L207" s="16"/>
      <c r="M207" s="13"/>
      <c r="N207" s="12"/>
      <c r="O207" s="14"/>
      <c r="P207" s="14"/>
      <c r="Q207" s="14"/>
      <c r="R207" s="14"/>
      <c r="S207" s="14"/>
      <c r="T207" s="14"/>
      <c r="U207" s="14"/>
      <c r="V207" s="14"/>
      <c r="W207" s="15"/>
    </row>
    <row r="208" spans="1:23" x14ac:dyDescent="0.3">
      <c r="A208" s="63">
        <v>205</v>
      </c>
      <c r="B208" s="160" t="s">
        <v>160</v>
      </c>
      <c r="C208" s="47">
        <v>3000</v>
      </c>
      <c r="D208" s="38" t="s">
        <v>63</v>
      </c>
      <c r="E208" s="158">
        <f>10</f>
        <v>10</v>
      </c>
      <c r="F208" s="157">
        <v>24546</v>
      </c>
      <c r="G208" s="149">
        <f t="shared" si="3"/>
        <v>3.9566906119792379E-5</v>
      </c>
      <c r="K208" s="12"/>
      <c r="L208" s="16"/>
      <c r="M208" s="13"/>
      <c r="N208" s="12"/>
      <c r="O208" s="14"/>
      <c r="P208" s="14"/>
      <c r="Q208" s="14"/>
      <c r="R208" s="14"/>
      <c r="S208" s="14"/>
      <c r="T208" s="14"/>
      <c r="U208" s="14"/>
      <c r="V208" s="14"/>
      <c r="W208" s="15"/>
    </row>
    <row r="209" spans="1:23" x14ac:dyDescent="0.3">
      <c r="A209" s="145">
        <v>206</v>
      </c>
      <c r="B209" s="154" t="s">
        <v>245</v>
      </c>
      <c r="C209" s="47">
        <v>500</v>
      </c>
      <c r="D209" s="38" t="s">
        <v>70</v>
      </c>
      <c r="E209" s="147">
        <f>30+18</f>
        <v>48</v>
      </c>
      <c r="F209" s="148">
        <f>13641+8190</f>
        <v>21831</v>
      </c>
      <c r="G209" s="149">
        <f t="shared" si="3"/>
        <v>3.5190463924924118E-5</v>
      </c>
      <c r="K209" s="12"/>
      <c r="L209" s="16"/>
      <c r="M209" s="13"/>
      <c r="N209" s="12"/>
      <c r="O209" s="14"/>
      <c r="P209" s="14"/>
      <c r="Q209" s="14"/>
      <c r="R209" s="14"/>
      <c r="S209" s="14"/>
      <c r="T209" s="14"/>
      <c r="U209" s="14"/>
      <c r="V209" s="14"/>
      <c r="W209" s="15"/>
    </row>
    <row r="210" spans="1:23" x14ac:dyDescent="0.3">
      <c r="A210" s="145">
        <v>207</v>
      </c>
      <c r="B210" s="159" t="s">
        <v>126</v>
      </c>
      <c r="C210" s="47">
        <v>2000</v>
      </c>
      <c r="D210" s="38" t="s">
        <v>60</v>
      </c>
      <c r="E210" s="158">
        <f>12</f>
        <v>12</v>
      </c>
      <c r="F210" s="157">
        <v>21818</v>
      </c>
      <c r="G210" s="149">
        <f t="shared" si="3"/>
        <v>3.5169508584764534E-5</v>
      </c>
      <c r="K210" s="12"/>
      <c r="L210" s="16"/>
      <c r="M210" s="13"/>
      <c r="N210" s="12"/>
      <c r="O210" s="14"/>
      <c r="P210" s="14"/>
      <c r="Q210" s="14"/>
      <c r="R210" s="14"/>
      <c r="S210" s="14"/>
      <c r="T210" s="14"/>
      <c r="U210" s="14"/>
      <c r="V210" s="14"/>
      <c r="W210" s="15"/>
    </row>
    <row r="211" spans="1:23" x14ac:dyDescent="0.3">
      <c r="A211" s="145">
        <v>208</v>
      </c>
      <c r="B211" s="146" t="s">
        <v>291</v>
      </c>
      <c r="C211" s="47">
        <v>4200</v>
      </c>
      <c r="D211" s="38" t="s">
        <v>292</v>
      </c>
      <c r="E211" s="147">
        <f>5</f>
        <v>5</v>
      </c>
      <c r="F211" s="148">
        <v>19090</v>
      </c>
      <c r="G211" s="149">
        <f t="shared" si="3"/>
        <v>3.0772111049736683E-5</v>
      </c>
      <c r="K211" s="12"/>
      <c r="L211" s="16"/>
      <c r="M211" s="13"/>
      <c r="N211" s="12"/>
      <c r="O211" s="14"/>
      <c r="P211" s="14"/>
      <c r="Q211" s="14"/>
      <c r="R211" s="14"/>
      <c r="S211" s="14"/>
      <c r="T211" s="14"/>
      <c r="U211" s="14"/>
      <c r="V211" s="14"/>
      <c r="W211" s="15"/>
    </row>
    <row r="212" spans="1:23" x14ac:dyDescent="0.3">
      <c r="A212" s="63">
        <v>209</v>
      </c>
      <c r="B212" s="150" t="s">
        <v>30</v>
      </c>
      <c r="C212" s="47">
        <v>2500</v>
      </c>
      <c r="D212" s="38" t="s">
        <v>61</v>
      </c>
      <c r="E212" s="158">
        <f>8</f>
        <v>8</v>
      </c>
      <c r="F212" s="157">
        <v>18182</v>
      </c>
      <c r="G212" s="149">
        <f t="shared" si="3"/>
        <v>2.9308461137051458E-5</v>
      </c>
      <c r="K212" s="12"/>
      <c r="L212" s="16"/>
      <c r="M212" s="13"/>
      <c r="N212" s="12"/>
      <c r="O212" s="14"/>
      <c r="P212" s="14"/>
      <c r="Q212" s="14"/>
      <c r="R212" s="14"/>
      <c r="S212" s="14"/>
      <c r="T212" s="14"/>
      <c r="U212" s="14"/>
      <c r="V212" s="14"/>
      <c r="W212" s="15"/>
    </row>
    <row r="213" spans="1:23" x14ac:dyDescent="0.3">
      <c r="A213" s="145">
        <v>210</v>
      </c>
      <c r="B213" s="159" t="s">
        <v>127</v>
      </c>
      <c r="C213" s="47">
        <v>2300</v>
      </c>
      <c r="D213" s="38" t="s">
        <v>60</v>
      </c>
      <c r="E213" s="158">
        <f>8</f>
        <v>8</v>
      </c>
      <c r="F213" s="157">
        <v>16091</v>
      </c>
      <c r="G213" s="149">
        <f t="shared" si="3"/>
        <v>2.5937875269843527E-5</v>
      </c>
      <c r="K213" s="12"/>
      <c r="L213" s="16"/>
      <c r="M213" s="13"/>
      <c r="N213" s="12"/>
      <c r="O213" s="14"/>
      <c r="P213" s="14"/>
      <c r="Q213" s="14"/>
      <c r="R213" s="14"/>
      <c r="S213" s="14"/>
      <c r="T213" s="14"/>
      <c r="U213" s="14"/>
      <c r="V213" s="14"/>
      <c r="W213" s="15"/>
    </row>
    <row r="214" spans="1:23" x14ac:dyDescent="0.3">
      <c r="A214" s="145">
        <v>211</v>
      </c>
      <c r="B214" s="150" t="s">
        <v>196</v>
      </c>
      <c r="C214" s="47">
        <v>3500</v>
      </c>
      <c r="D214" s="38" t="s">
        <v>58</v>
      </c>
      <c r="E214" s="158">
        <f>5</f>
        <v>5</v>
      </c>
      <c r="F214" s="157">
        <v>15910</v>
      </c>
      <c r="G214" s="149">
        <f t="shared" si="3"/>
        <v>2.564611245685231E-5</v>
      </c>
      <c r="K214" s="12"/>
      <c r="L214" s="16"/>
      <c r="M214" s="13"/>
      <c r="N214" s="12"/>
      <c r="O214" s="14"/>
      <c r="P214" s="14"/>
      <c r="Q214" s="14"/>
      <c r="R214" s="14"/>
      <c r="S214" s="14"/>
      <c r="T214" s="14"/>
      <c r="U214" s="14"/>
      <c r="V214" s="14"/>
      <c r="W214" s="15"/>
    </row>
    <row r="215" spans="1:23" x14ac:dyDescent="0.3">
      <c r="A215" s="145">
        <v>212</v>
      </c>
      <c r="B215" s="160" t="s">
        <v>158</v>
      </c>
      <c r="C215" s="47">
        <v>2800</v>
      </c>
      <c r="D215" s="38" t="s">
        <v>63</v>
      </c>
      <c r="E215" s="158">
        <f>6</f>
        <v>6</v>
      </c>
      <c r="F215" s="157">
        <v>15272</v>
      </c>
      <c r="G215" s="149">
        <f t="shared" si="3"/>
        <v>2.4617688839789345E-5</v>
      </c>
      <c r="K215" s="12"/>
      <c r="L215" s="16"/>
      <c r="M215" s="13"/>
      <c r="N215" s="12"/>
      <c r="O215" s="14"/>
      <c r="P215" s="14"/>
      <c r="Q215" s="14"/>
      <c r="R215" s="14"/>
      <c r="S215" s="14"/>
      <c r="T215" s="14"/>
      <c r="U215" s="14"/>
      <c r="V215" s="14"/>
      <c r="W215" s="15"/>
    </row>
    <row r="216" spans="1:23" x14ac:dyDescent="0.3">
      <c r="A216" s="63">
        <v>213</v>
      </c>
      <c r="B216" s="146" t="s">
        <v>109</v>
      </c>
      <c r="C216" s="47">
        <v>4200</v>
      </c>
      <c r="D216" s="38" t="s">
        <v>61</v>
      </c>
      <c r="E216" s="158">
        <f>4</f>
        <v>4</v>
      </c>
      <c r="F216" s="157">
        <v>15272</v>
      </c>
      <c r="G216" s="149">
        <f t="shared" si="3"/>
        <v>2.4617688839789345E-5</v>
      </c>
      <c r="K216" s="12"/>
      <c r="L216" s="16"/>
      <c r="M216" s="13"/>
      <c r="N216" s="12"/>
      <c r="O216" s="14"/>
      <c r="P216" s="14"/>
      <c r="Q216" s="14"/>
      <c r="R216" s="14"/>
      <c r="S216" s="14"/>
      <c r="T216" s="14"/>
      <c r="U216" s="14"/>
      <c r="V216" s="14"/>
      <c r="W216" s="15"/>
    </row>
    <row r="217" spans="1:23" x14ac:dyDescent="0.3">
      <c r="A217" s="145">
        <v>214</v>
      </c>
      <c r="B217" s="154" t="s">
        <v>240</v>
      </c>
      <c r="C217" s="47">
        <v>800</v>
      </c>
      <c r="D217" s="38" t="s">
        <v>64</v>
      </c>
      <c r="E217" s="147">
        <f>11+10</f>
        <v>21</v>
      </c>
      <c r="F217" s="148">
        <f>8000+7270</f>
        <v>15270</v>
      </c>
      <c r="G217" s="149">
        <f t="shared" si="3"/>
        <v>2.4614464941303253E-5</v>
      </c>
      <c r="K217" s="12"/>
      <c r="L217" s="16"/>
      <c r="M217" s="13"/>
      <c r="N217" s="12"/>
      <c r="O217" s="14"/>
      <c r="P217" s="14"/>
      <c r="Q217" s="14"/>
      <c r="R217" s="14"/>
      <c r="S217" s="14"/>
      <c r="T217" s="14"/>
      <c r="U217" s="14"/>
      <c r="V217" s="14"/>
      <c r="W217" s="15"/>
    </row>
    <row r="218" spans="1:23" x14ac:dyDescent="0.3">
      <c r="A218" s="145">
        <v>215</v>
      </c>
      <c r="B218" s="160" t="s">
        <v>148</v>
      </c>
      <c r="C218" s="47">
        <v>3000</v>
      </c>
      <c r="D218" s="38" t="s">
        <v>61</v>
      </c>
      <c r="E218" s="158">
        <f>5</f>
        <v>5</v>
      </c>
      <c r="F218" s="157">
        <v>13637</v>
      </c>
      <c r="G218" s="149">
        <f t="shared" si="3"/>
        <v>2.1982151827410115E-5</v>
      </c>
      <c r="K218" s="12"/>
      <c r="L218" s="16"/>
      <c r="M218" s="13"/>
      <c r="N218" s="12"/>
      <c r="O218" s="14"/>
      <c r="P218" s="14"/>
      <c r="Q218" s="14"/>
      <c r="R218" s="14"/>
      <c r="S218" s="14"/>
      <c r="T218" s="14"/>
      <c r="U218" s="14"/>
      <c r="V218" s="14"/>
      <c r="W218" s="15"/>
    </row>
    <row r="219" spans="1:23" x14ac:dyDescent="0.3">
      <c r="A219" s="145">
        <v>216</v>
      </c>
      <c r="B219" s="160" t="s">
        <v>157</v>
      </c>
      <c r="C219" s="47">
        <v>3000</v>
      </c>
      <c r="D219" s="38" t="s">
        <v>62</v>
      </c>
      <c r="E219" s="158">
        <f>5</f>
        <v>5</v>
      </c>
      <c r="F219" s="157">
        <v>13636</v>
      </c>
      <c r="G219" s="149">
        <f t="shared" si="3"/>
        <v>2.198053987816707E-5</v>
      </c>
      <c r="K219" s="12"/>
      <c r="L219" s="16"/>
      <c r="M219" s="13"/>
      <c r="N219" s="12"/>
      <c r="O219" s="14"/>
      <c r="P219" s="14"/>
      <c r="Q219" s="14"/>
      <c r="R219" s="14"/>
      <c r="S219" s="14"/>
      <c r="T219" s="14"/>
      <c r="U219" s="14"/>
      <c r="V219" s="14"/>
      <c r="W219" s="15"/>
    </row>
    <row r="220" spans="1:23" x14ac:dyDescent="0.3">
      <c r="A220" s="63">
        <v>217</v>
      </c>
      <c r="B220" s="154" t="s">
        <v>256</v>
      </c>
      <c r="C220" s="47">
        <v>500</v>
      </c>
      <c r="D220" s="38" t="s">
        <v>70</v>
      </c>
      <c r="E220" s="158">
        <f>29</f>
        <v>29</v>
      </c>
      <c r="F220" s="157">
        <v>13183</v>
      </c>
      <c r="G220" s="149">
        <f t="shared" si="3"/>
        <v>2.1250326871067504E-5</v>
      </c>
      <c r="K220" s="12"/>
      <c r="L220" s="16"/>
      <c r="M220" s="13"/>
      <c r="N220" s="12"/>
      <c r="O220" s="14"/>
      <c r="P220" s="14"/>
      <c r="Q220" s="14"/>
      <c r="R220" s="14"/>
      <c r="S220" s="14"/>
      <c r="T220" s="14"/>
      <c r="U220" s="14"/>
      <c r="V220" s="14"/>
      <c r="W220" s="15"/>
    </row>
    <row r="221" spans="1:23" x14ac:dyDescent="0.3">
      <c r="A221" s="145">
        <v>218</v>
      </c>
      <c r="B221" s="160" t="s">
        <v>161</v>
      </c>
      <c r="C221" s="47">
        <v>3500</v>
      </c>
      <c r="D221" s="38" t="s">
        <v>58</v>
      </c>
      <c r="E221" s="158">
        <f>4</f>
        <v>4</v>
      </c>
      <c r="F221" s="157">
        <v>12727</v>
      </c>
      <c r="G221" s="149">
        <f t="shared" si="3"/>
        <v>2.0515278016238804E-5</v>
      </c>
      <c r="K221" s="12"/>
      <c r="L221" s="16"/>
      <c r="M221" s="13"/>
      <c r="N221" s="12"/>
      <c r="O221" s="14"/>
      <c r="P221" s="14"/>
      <c r="Q221" s="14"/>
      <c r="R221" s="14"/>
      <c r="S221" s="14"/>
      <c r="T221" s="14"/>
      <c r="U221" s="14"/>
      <c r="V221" s="14"/>
      <c r="W221" s="15"/>
    </row>
    <row r="222" spans="1:23" x14ac:dyDescent="0.3">
      <c r="A222" s="145">
        <v>219</v>
      </c>
      <c r="B222" s="160" t="s">
        <v>98</v>
      </c>
      <c r="C222" s="47">
        <v>3200</v>
      </c>
      <c r="D222" s="38" t="s">
        <v>63</v>
      </c>
      <c r="E222" s="158">
        <f>4</f>
        <v>4</v>
      </c>
      <c r="F222" s="157">
        <v>11636</v>
      </c>
      <c r="G222" s="149">
        <f t="shared" si="3"/>
        <v>1.8756641392076272E-5</v>
      </c>
      <c r="K222" s="12"/>
      <c r="L222" s="16"/>
      <c r="M222" s="13"/>
      <c r="N222" s="12"/>
      <c r="O222" s="14"/>
      <c r="P222" s="14"/>
      <c r="Q222" s="14"/>
      <c r="R222" s="14"/>
      <c r="S222" s="14"/>
      <c r="T222" s="14"/>
      <c r="U222" s="14"/>
      <c r="V222" s="14"/>
      <c r="W222" s="15"/>
    </row>
    <row r="223" spans="1:23" x14ac:dyDescent="0.3">
      <c r="A223" s="145">
        <v>220</v>
      </c>
      <c r="B223" s="150" t="s">
        <v>29</v>
      </c>
      <c r="C223" s="47">
        <v>3000</v>
      </c>
      <c r="D223" s="38" t="s">
        <v>63</v>
      </c>
      <c r="E223" s="147">
        <f>3+1</f>
        <v>4</v>
      </c>
      <c r="F223" s="148">
        <f>8182+2909</f>
        <v>11091</v>
      </c>
      <c r="G223" s="149">
        <f t="shared" si="3"/>
        <v>1.7878129054616529E-5</v>
      </c>
      <c r="K223" s="12"/>
      <c r="L223" s="16"/>
      <c r="M223" s="13"/>
      <c r="N223" s="12"/>
      <c r="O223" s="14"/>
      <c r="P223" s="14"/>
      <c r="Q223" s="14"/>
      <c r="R223" s="14"/>
      <c r="S223" s="14"/>
      <c r="T223" s="14"/>
      <c r="U223" s="14"/>
      <c r="V223" s="14"/>
      <c r="W223" s="15"/>
    </row>
    <row r="224" spans="1:23" x14ac:dyDescent="0.3">
      <c r="A224" s="63">
        <v>221</v>
      </c>
      <c r="B224" s="160" t="s">
        <v>100</v>
      </c>
      <c r="C224" s="47">
        <v>3000</v>
      </c>
      <c r="D224" s="38" t="s">
        <v>63</v>
      </c>
      <c r="E224" s="158">
        <f>4</f>
        <v>4</v>
      </c>
      <c r="F224" s="157">
        <v>10910</v>
      </c>
      <c r="G224" s="149">
        <f t="shared" si="3"/>
        <v>1.7586366241625312E-5</v>
      </c>
      <c r="K224" s="12"/>
      <c r="L224" s="16"/>
      <c r="M224" s="13"/>
      <c r="N224" s="12"/>
      <c r="O224" s="14"/>
      <c r="P224" s="14"/>
      <c r="Q224" s="14"/>
      <c r="R224" s="14"/>
      <c r="S224" s="14"/>
      <c r="T224" s="14"/>
      <c r="U224" s="14"/>
      <c r="V224" s="14"/>
      <c r="W224" s="15"/>
    </row>
    <row r="225" spans="1:23" x14ac:dyDescent="0.3">
      <c r="A225" s="145">
        <v>222</v>
      </c>
      <c r="B225" s="160" t="s">
        <v>95</v>
      </c>
      <c r="C225" s="47">
        <v>3000</v>
      </c>
      <c r="D225" s="38" t="s">
        <v>62</v>
      </c>
      <c r="E225" s="158">
        <f>4</f>
        <v>4</v>
      </c>
      <c r="F225" s="157">
        <v>10909</v>
      </c>
      <c r="G225" s="149">
        <f t="shared" si="3"/>
        <v>1.7584754292382267E-5</v>
      </c>
      <c r="K225" s="12"/>
      <c r="L225" s="16"/>
      <c r="M225" s="13"/>
      <c r="N225" s="12"/>
      <c r="O225" s="14"/>
      <c r="P225" s="14"/>
      <c r="Q225" s="14"/>
      <c r="R225" s="14"/>
      <c r="S225" s="14"/>
      <c r="T225" s="14"/>
      <c r="U225" s="14"/>
      <c r="V225" s="14"/>
      <c r="W225" s="15"/>
    </row>
    <row r="226" spans="1:23" x14ac:dyDescent="0.3">
      <c r="A226" s="145">
        <v>223</v>
      </c>
      <c r="B226" s="160" t="s">
        <v>102</v>
      </c>
      <c r="C226" s="47">
        <v>3000</v>
      </c>
      <c r="D226" s="38" t="s">
        <v>62</v>
      </c>
      <c r="E226" s="158">
        <f>4</f>
        <v>4</v>
      </c>
      <c r="F226" s="157">
        <v>10909</v>
      </c>
      <c r="G226" s="149">
        <f t="shared" si="3"/>
        <v>1.7584754292382267E-5</v>
      </c>
      <c r="K226" s="12"/>
      <c r="L226" s="16"/>
      <c r="M226" s="13"/>
      <c r="N226" s="12"/>
      <c r="O226" s="14"/>
      <c r="P226" s="14"/>
      <c r="Q226" s="14"/>
      <c r="R226" s="14"/>
      <c r="S226" s="14"/>
      <c r="T226" s="14"/>
      <c r="U226" s="14"/>
      <c r="V226" s="14"/>
      <c r="W226" s="15"/>
    </row>
    <row r="227" spans="1:23" x14ac:dyDescent="0.3">
      <c r="A227" s="145">
        <v>224</v>
      </c>
      <c r="B227" s="150" t="s">
        <v>83</v>
      </c>
      <c r="C227" s="47">
        <v>3500</v>
      </c>
      <c r="D227" s="38" t="s">
        <v>63</v>
      </c>
      <c r="E227" s="158">
        <f>3</f>
        <v>3</v>
      </c>
      <c r="F227" s="157">
        <v>9545</v>
      </c>
      <c r="G227" s="149">
        <f t="shared" si="3"/>
        <v>1.5386055524868342E-5</v>
      </c>
      <c r="K227" s="12"/>
      <c r="L227" s="16"/>
      <c r="M227" s="13"/>
      <c r="N227" s="12"/>
      <c r="O227" s="14"/>
      <c r="P227" s="14"/>
      <c r="Q227" s="14"/>
      <c r="R227" s="14"/>
      <c r="S227" s="14"/>
      <c r="T227" s="14"/>
      <c r="U227" s="14"/>
      <c r="V227" s="14"/>
      <c r="W227" s="15"/>
    </row>
    <row r="228" spans="1:23" x14ac:dyDescent="0.3">
      <c r="A228" s="63">
        <v>225</v>
      </c>
      <c r="B228" s="160" t="s">
        <v>159</v>
      </c>
      <c r="C228" s="47">
        <v>3500</v>
      </c>
      <c r="D228" s="38" t="s">
        <v>61</v>
      </c>
      <c r="E228" s="158">
        <f>3</f>
        <v>3</v>
      </c>
      <c r="F228" s="157">
        <v>9545</v>
      </c>
      <c r="G228" s="149">
        <f t="shared" si="3"/>
        <v>1.5386055524868342E-5</v>
      </c>
      <c r="K228" s="12"/>
      <c r="L228" s="16"/>
      <c r="M228" s="13"/>
      <c r="N228" s="12"/>
      <c r="O228" s="14"/>
      <c r="P228" s="14"/>
      <c r="Q228" s="14"/>
      <c r="R228" s="14"/>
      <c r="S228" s="14"/>
      <c r="T228" s="14"/>
      <c r="U228" s="14"/>
      <c r="V228" s="14"/>
      <c r="W228" s="15"/>
    </row>
    <row r="229" spans="1:23" x14ac:dyDescent="0.3">
      <c r="A229" s="145">
        <v>226</v>
      </c>
      <c r="B229" s="160" t="s">
        <v>151</v>
      </c>
      <c r="C229" s="47">
        <v>3200</v>
      </c>
      <c r="D229" s="38" t="s">
        <v>61</v>
      </c>
      <c r="E229" s="158">
        <f>3</f>
        <v>3</v>
      </c>
      <c r="F229" s="157">
        <v>8727</v>
      </c>
      <c r="G229" s="149">
        <f t="shared" si="3"/>
        <v>1.4067481044057204E-5</v>
      </c>
      <c r="K229" s="12"/>
      <c r="L229" s="16"/>
      <c r="M229" s="13"/>
      <c r="N229" s="12"/>
      <c r="O229" s="14"/>
      <c r="P229" s="14"/>
      <c r="Q229" s="14"/>
      <c r="R229" s="14"/>
      <c r="S229" s="14"/>
      <c r="T229" s="14"/>
      <c r="U229" s="14"/>
      <c r="V229" s="14"/>
      <c r="W229" s="15"/>
    </row>
    <row r="230" spans="1:23" x14ac:dyDescent="0.3">
      <c r="A230" s="145">
        <v>227</v>
      </c>
      <c r="B230" s="160" t="s">
        <v>216</v>
      </c>
      <c r="C230" s="47">
        <v>3000</v>
      </c>
      <c r="D230" s="38" t="s">
        <v>58</v>
      </c>
      <c r="E230" s="158">
        <f>3</f>
        <v>3</v>
      </c>
      <c r="F230" s="157">
        <v>8182</v>
      </c>
      <c r="G230" s="149">
        <f t="shared" si="3"/>
        <v>1.3188968706597461E-5</v>
      </c>
      <c r="K230" s="12"/>
      <c r="L230" s="16"/>
      <c r="M230" s="13"/>
      <c r="N230" s="12"/>
      <c r="O230" s="14"/>
      <c r="P230" s="14"/>
      <c r="Q230" s="14"/>
      <c r="R230" s="14"/>
      <c r="S230" s="14"/>
      <c r="T230" s="14"/>
      <c r="U230" s="14"/>
      <c r="V230" s="14"/>
      <c r="W230" s="15"/>
    </row>
    <row r="231" spans="1:23" x14ac:dyDescent="0.3">
      <c r="A231" s="145">
        <v>228</v>
      </c>
      <c r="B231" s="160" t="s">
        <v>97</v>
      </c>
      <c r="C231" s="47">
        <v>3000</v>
      </c>
      <c r="D231" s="38" t="s">
        <v>63</v>
      </c>
      <c r="E231" s="158">
        <f>4</f>
        <v>4</v>
      </c>
      <c r="F231" s="157">
        <v>8182</v>
      </c>
      <c r="G231" s="149">
        <f t="shared" si="3"/>
        <v>1.3188968706597461E-5</v>
      </c>
      <c r="K231" s="12"/>
      <c r="L231" s="16"/>
      <c r="M231" s="13"/>
      <c r="N231" s="12"/>
      <c r="O231" s="14"/>
      <c r="P231" s="14"/>
      <c r="Q231" s="14"/>
      <c r="R231" s="14"/>
      <c r="S231" s="14"/>
      <c r="T231" s="14"/>
      <c r="U231" s="14"/>
      <c r="V231" s="14"/>
      <c r="W231" s="15"/>
    </row>
    <row r="232" spans="1:23" x14ac:dyDescent="0.3">
      <c r="A232" s="63">
        <v>229</v>
      </c>
      <c r="B232" s="154" t="s">
        <v>276</v>
      </c>
      <c r="C232" s="47">
        <v>300</v>
      </c>
      <c r="D232" s="38" t="s">
        <v>70</v>
      </c>
      <c r="E232" s="147">
        <f>3+26</f>
        <v>29</v>
      </c>
      <c r="F232" s="148">
        <f>818+7098</f>
        <v>7916</v>
      </c>
      <c r="G232" s="149">
        <f t="shared" si="3"/>
        <v>1.2760190207947384E-5</v>
      </c>
      <c r="K232" s="12"/>
      <c r="L232" s="16"/>
      <c r="M232" s="13"/>
      <c r="N232" s="12"/>
      <c r="O232" s="14"/>
      <c r="P232" s="14"/>
      <c r="Q232" s="14"/>
      <c r="R232" s="14"/>
      <c r="S232" s="14"/>
      <c r="T232" s="14"/>
      <c r="U232" s="14"/>
      <c r="V232" s="14"/>
      <c r="W232" s="15"/>
    </row>
    <row r="233" spans="1:23" x14ac:dyDescent="0.3">
      <c r="A233" s="145">
        <v>230</v>
      </c>
      <c r="B233" s="160" t="s">
        <v>150</v>
      </c>
      <c r="C233" s="47">
        <v>2000</v>
      </c>
      <c r="D233" s="38" t="s">
        <v>61</v>
      </c>
      <c r="E233" s="158">
        <f>4</f>
        <v>4</v>
      </c>
      <c r="F233" s="157">
        <v>7272</v>
      </c>
      <c r="G233" s="149">
        <f t="shared" si="3"/>
        <v>1.1722094895426146E-5</v>
      </c>
      <c r="K233" s="12"/>
      <c r="L233" s="16"/>
      <c r="M233" s="13"/>
      <c r="N233" s="12"/>
      <c r="O233" s="14"/>
      <c r="P233" s="14"/>
      <c r="Q233" s="14"/>
      <c r="R233" s="14"/>
      <c r="S233" s="14"/>
      <c r="T233" s="14"/>
      <c r="U233" s="14"/>
      <c r="V233" s="14"/>
      <c r="W233" s="15"/>
    </row>
    <row r="234" spans="1:23" x14ac:dyDescent="0.3">
      <c r="A234" s="145">
        <v>231</v>
      </c>
      <c r="B234" s="160" t="s">
        <v>137</v>
      </c>
      <c r="C234" s="47">
        <v>3500</v>
      </c>
      <c r="D234" s="38" t="s">
        <v>58</v>
      </c>
      <c r="E234" s="158">
        <f>2</f>
        <v>2</v>
      </c>
      <c r="F234" s="157">
        <v>6364</v>
      </c>
      <c r="G234" s="149">
        <f t="shared" si="3"/>
        <v>1.0258444982740924E-5</v>
      </c>
      <c r="K234" s="12"/>
      <c r="L234" s="16"/>
      <c r="M234" s="13"/>
      <c r="N234" s="12"/>
      <c r="O234" s="14"/>
      <c r="P234" s="14"/>
      <c r="Q234" s="14"/>
      <c r="R234" s="14"/>
      <c r="S234" s="14"/>
      <c r="T234" s="14"/>
      <c r="U234" s="14"/>
      <c r="V234" s="14"/>
      <c r="W234" s="15"/>
    </row>
    <row r="235" spans="1:23" x14ac:dyDescent="0.3">
      <c r="A235" s="145">
        <v>232</v>
      </c>
      <c r="B235" s="160" t="s">
        <v>96</v>
      </c>
      <c r="C235" s="47">
        <v>3200</v>
      </c>
      <c r="D235" s="38" t="s">
        <v>61</v>
      </c>
      <c r="E235" s="158">
        <f>2</f>
        <v>2</v>
      </c>
      <c r="F235" s="157">
        <v>5818</v>
      </c>
      <c r="G235" s="149">
        <f t="shared" si="3"/>
        <v>9.3783206960381361E-6</v>
      </c>
      <c r="K235" s="12"/>
      <c r="L235" s="16"/>
      <c r="M235" s="13"/>
      <c r="N235" s="12"/>
      <c r="O235" s="14"/>
      <c r="P235" s="14"/>
      <c r="Q235" s="14"/>
      <c r="R235" s="14"/>
      <c r="S235" s="14"/>
      <c r="T235" s="14"/>
      <c r="U235" s="14"/>
      <c r="V235" s="14"/>
      <c r="W235" s="15"/>
    </row>
    <row r="236" spans="1:23" x14ac:dyDescent="0.3">
      <c r="A236" s="63">
        <v>233</v>
      </c>
      <c r="B236" s="160" t="s">
        <v>130</v>
      </c>
      <c r="C236" s="47">
        <v>3000</v>
      </c>
      <c r="D236" s="38" t="s">
        <v>61</v>
      </c>
      <c r="E236" s="158">
        <f>2</f>
        <v>2</v>
      </c>
      <c r="F236" s="157">
        <v>5455</v>
      </c>
      <c r="G236" s="149">
        <f t="shared" si="3"/>
        <v>8.7931831208126558E-6</v>
      </c>
      <c r="K236" s="12"/>
      <c r="L236" s="16"/>
      <c r="M236" s="13"/>
      <c r="N236" s="12"/>
      <c r="O236" s="14"/>
      <c r="P236" s="14"/>
      <c r="Q236" s="14"/>
      <c r="R236" s="14"/>
      <c r="S236" s="14"/>
      <c r="T236" s="14"/>
      <c r="U236" s="14"/>
      <c r="V236" s="14"/>
      <c r="W236" s="15"/>
    </row>
    <row r="237" spans="1:23" x14ac:dyDescent="0.3">
      <c r="A237" s="145">
        <v>234</v>
      </c>
      <c r="B237" s="160" t="s">
        <v>145</v>
      </c>
      <c r="C237" s="47">
        <v>3000</v>
      </c>
      <c r="D237" s="38" t="s">
        <v>58</v>
      </c>
      <c r="E237" s="158">
        <f>2</f>
        <v>2</v>
      </c>
      <c r="F237" s="157">
        <v>5455</v>
      </c>
      <c r="G237" s="149">
        <f t="shared" si="3"/>
        <v>8.7931831208126558E-6</v>
      </c>
      <c r="K237" s="12"/>
      <c r="L237" s="16"/>
      <c r="M237" s="13"/>
      <c r="N237" s="12"/>
      <c r="O237" s="14"/>
      <c r="P237" s="14"/>
      <c r="Q237" s="14"/>
      <c r="R237" s="14"/>
      <c r="S237" s="14"/>
      <c r="T237" s="14"/>
      <c r="U237" s="14"/>
      <c r="V237" s="14"/>
      <c r="W237" s="15"/>
    </row>
    <row r="238" spans="1:23" x14ac:dyDescent="0.3">
      <c r="A238" s="145">
        <v>235</v>
      </c>
      <c r="B238" s="160" t="s">
        <v>219</v>
      </c>
      <c r="C238" s="47">
        <v>3000</v>
      </c>
      <c r="D238" s="38" t="s">
        <v>58</v>
      </c>
      <c r="E238" s="158">
        <f>2</f>
        <v>2</v>
      </c>
      <c r="F238" s="157">
        <v>5454</v>
      </c>
      <c r="G238" s="149">
        <f t="shared" si="3"/>
        <v>8.7915711715696097E-6</v>
      </c>
      <c r="K238" s="12"/>
      <c r="L238" s="16"/>
      <c r="M238" s="13"/>
      <c r="N238" s="12"/>
      <c r="O238" s="14"/>
      <c r="P238" s="14"/>
      <c r="Q238" s="14"/>
      <c r="R238" s="14"/>
      <c r="S238" s="14"/>
      <c r="T238" s="14"/>
      <c r="U238" s="14"/>
      <c r="V238" s="14"/>
      <c r="W238" s="15"/>
    </row>
    <row r="239" spans="1:23" x14ac:dyDescent="0.3">
      <c r="A239" s="145">
        <v>236</v>
      </c>
      <c r="B239" s="159" t="s">
        <v>119</v>
      </c>
      <c r="C239" s="47">
        <v>2000</v>
      </c>
      <c r="D239" s="38" t="s">
        <v>60</v>
      </c>
      <c r="E239" s="158">
        <f>3</f>
        <v>3</v>
      </c>
      <c r="F239" s="157">
        <v>5454</v>
      </c>
      <c r="G239" s="149">
        <f t="shared" si="3"/>
        <v>8.7915711715696097E-6</v>
      </c>
      <c r="K239" s="12"/>
      <c r="L239" s="16"/>
      <c r="M239" s="13"/>
      <c r="N239" s="12"/>
      <c r="O239" s="14"/>
      <c r="P239" s="14"/>
      <c r="Q239" s="14"/>
      <c r="R239" s="14"/>
      <c r="S239" s="14"/>
      <c r="T239" s="14"/>
      <c r="U239" s="14"/>
      <c r="V239" s="14"/>
      <c r="W239" s="15"/>
    </row>
    <row r="240" spans="1:23" x14ac:dyDescent="0.3">
      <c r="A240" s="63">
        <v>237</v>
      </c>
      <c r="B240" s="154" t="s">
        <v>132</v>
      </c>
      <c r="C240" s="47">
        <v>2700</v>
      </c>
      <c r="D240" s="38" t="s">
        <v>70</v>
      </c>
      <c r="E240" s="158">
        <f>2</f>
        <v>2</v>
      </c>
      <c r="F240" s="157">
        <v>4909</v>
      </c>
      <c r="G240" s="149">
        <f t="shared" si="3"/>
        <v>7.9130588341098679E-6</v>
      </c>
      <c r="K240" s="12"/>
      <c r="L240" s="16"/>
      <c r="M240" s="13"/>
      <c r="N240" s="12"/>
      <c r="O240" s="14"/>
      <c r="P240" s="14"/>
      <c r="Q240" s="14"/>
      <c r="R240" s="14"/>
      <c r="S240" s="14"/>
      <c r="T240" s="14"/>
      <c r="U240" s="14"/>
      <c r="V240" s="14"/>
      <c r="W240" s="15"/>
    </row>
    <row r="241" spans="1:23" x14ac:dyDescent="0.3">
      <c r="A241" s="145">
        <v>238</v>
      </c>
      <c r="B241" s="151" t="s">
        <v>297</v>
      </c>
      <c r="C241" s="48">
        <v>2500</v>
      </c>
      <c r="D241" s="37" t="s">
        <v>60</v>
      </c>
      <c r="E241" s="152">
        <f>2</f>
        <v>2</v>
      </c>
      <c r="F241" s="153">
        <v>4546</v>
      </c>
      <c r="G241" s="149">
        <f t="shared" si="3"/>
        <v>7.3279212588843875E-6</v>
      </c>
      <c r="K241" s="12"/>
      <c r="L241" s="16"/>
      <c r="M241" s="13"/>
      <c r="N241" s="12"/>
      <c r="O241" s="14"/>
      <c r="P241" s="14"/>
      <c r="Q241" s="14"/>
      <c r="R241" s="14"/>
      <c r="S241" s="14"/>
      <c r="T241" s="14"/>
      <c r="U241" s="14"/>
      <c r="V241" s="14"/>
      <c r="W241" s="15"/>
    </row>
    <row r="242" spans="1:23" x14ac:dyDescent="0.3">
      <c r="A242" s="145">
        <v>239</v>
      </c>
      <c r="B242" s="151" t="s">
        <v>300</v>
      </c>
      <c r="C242" s="48">
        <v>5000</v>
      </c>
      <c r="D242" s="37" t="s">
        <v>60</v>
      </c>
      <c r="E242" s="152">
        <f>1</f>
        <v>1</v>
      </c>
      <c r="F242" s="153">
        <v>4545</v>
      </c>
      <c r="G242" s="149">
        <f t="shared" si="3"/>
        <v>7.3263093096413414E-6</v>
      </c>
    </row>
    <row r="243" spans="1:23" x14ac:dyDescent="0.3">
      <c r="A243" s="145">
        <v>240</v>
      </c>
      <c r="B243" s="159" t="s">
        <v>114</v>
      </c>
      <c r="C243" s="47">
        <v>2000</v>
      </c>
      <c r="D243" s="38" t="s">
        <v>60</v>
      </c>
      <c r="E243" s="158">
        <f>2</f>
        <v>2</v>
      </c>
      <c r="F243" s="157">
        <v>3636</v>
      </c>
      <c r="G243" s="149">
        <f t="shared" si="3"/>
        <v>5.8610474477130731E-6</v>
      </c>
    </row>
    <row r="244" spans="1:23" x14ac:dyDescent="0.3">
      <c r="A244" s="63">
        <v>241</v>
      </c>
      <c r="B244" s="160" t="s">
        <v>0</v>
      </c>
      <c r="C244" s="47">
        <v>3500</v>
      </c>
      <c r="D244" s="38" t="s">
        <v>58</v>
      </c>
      <c r="E244" s="158">
        <f>1</f>
        <v>1</v>
      </c>
      <c r="F244" s="157">
        <v>3182</v>
      </c>
      <c r="G244" s="149">
        <f t="shared" si="3"/>
        <v>5.129222491370462E-6</v>
      </c>
    </row>
    <row r="245" spans="1:23" x14ac:dyDescent="0.3">
      <c r="A245" s="145">
        <v>242</v>
      </c>
      <c r="B245" s="160" t="s">
        <v>146</v>
      </c>
      <c r="C245" s="47">
        <v>3500</v>
      </c>
      <c r="D245" s="38" t="s">
        <v>58</v>
      </c>
      <c r="E245" s="158">
        <f>1</f>
        <v>1</v>
      </c>
      <c r="F245" s="157">
        <v>3182</v>
      </c>
      <c r="G245" s="149">
        <f t="shared" si="3"/>
        <v>5.129222491370462E-6</v>
      </c>
    </row>
    <row r="246" spans="1:23" x14ac:dyDescent="0.3">
      <c r="A246" s="145">
        <v>243</v>
      </c>
      <c r="B246" s="160" t="s">
        <v>213</v>
      </c>
      <c r="C246" s="47">
        <v>3500</v>
      </c>
      <c r="D246" s="38" t="s">
        <v>59</v>
      </c>
      <c r="E246" s="158">
        <f>1</f>
        <v>1</v>
      </c>
      <c r="F246" s="157">
        <v>3182</v>
      </c>
      <c r="G246" s="149">
        <f t="shared" si="3"/>
        <v>5.129222491370462E-6</v>
      </c>
    </row>
    <row r="247" spans="1:23" x14ac:dyDescent="0.3">
      <c r="A247" s="145">
        <v>244</v>
      </c>
      <c r="B247" s="160" t="s">
        <v>140</v>
      </c>
      <c r="C247" s="47">
        <v>3500</v>
      </c>
      <c r="D247" s="38" t="s">
        <v>63</v>
      </c>
      <c r="E247" s="158">
        <f>1</f>
        <v>1</v>
      </c>
      <c r="F247" s="157">
        <v>3182</v>
      </c>
      <c r="G247" s="149">
        <f t="shared" si="3"/>
        <v>5.129222491370462E-6</v>
      </c>
    </row>
    <row r="248" spans="1:23" x14ac:dyDescent="0.3">
      <c r="A248" s="63">
        <v>245</v>
      </c>
      <c r="B248" s="160" t="s">
        <v>131</v>
      </c>
      <c r="C248" s="47">
        <v>3200</v>
      </c>
      <c r="D248" s="38" t="s">
        <v>61</v>
      </c>
      <c r="E248" s="158">
        <f>1</f>
        <v>1</v>
      </c>
      <c r="F248" s="157">
        <v>2909</v>
      </c>
      <c r="G248" s="149">
        <f t="shared" si="3"/>
        <v>4.6891603480190681E-6</v>
      </c>
    </row>
    <row r="249" spans="1:23" x14ac:dyDescent="0.3">
      <c r="A249" s="145">
        <v>246</v>
      </c>
      <c r="B249" s="160" t="s">
        <v>149</v>
      </c>
      <c r="C249" s="47">
        <v>3200</v>
      </c>
      <c r="D249" s="38" t="s">
        <v>61</v>
      </c>
      <c r="E249" s="158">
        <f>1</f>
        <v>1</v>
      </c>
      <c r="F249" s="157">
        <v>2909</v>
      </c>
      <c r="G249" s="149">
        <f t="shared" si="3"/>
        <v>4.6891603480190681E-6</v>
      </c>
    </row>
    <row r="250" spans="1:23" x14ac:dyDescent="0.3">
      <c r="A250" s="145">
        <v>247</v>
      </c>
      <c r="B250" s="160" t="s">
        <v>163</v>
      </c>
      <c r="C250" s="47">
        <v>3200</v>
      </c>
      <c r="D250" s="38" t="s">
        <v>61</v>
      </c>
      <c r="E250" s="158">
        <f>1</f>
        <v>1</v>
      </c>
      <c r="F250" s="157">
        <v>2909</v>
      </c>
      <c r="G250" s="149">
        <f t="shared" si="3"/>
        <v>4.6891603480190681E-6</v>
      </c>
    </row>
    <row r="251" spans="1:23" x14ac:dyDescent="0.3">
      <c r="A251" s="145">
        <v>248</v>
      </c>
      <c r="B251" s="160" t="s">
        <v>101</v>
      </c>
      <c r="C251" s="47">
        <v>3200</v>
      </c>
      <c r="D251" s="38" t="s">
        <v>63</v>
      </c>
      <c r="E251" s="158">
        <f>2</f>
        <v>2</v>
      </c>
      <c r="F251" s="157">
        <v>2909</v>
      </c>
      <c r="G251" s="149">
        <f t="shared" si="3"/>
        <v>4.6891603480190681E-6</v>
      </c>
    </row>
    <row r="252" spans="1:23" x14ac:dyDescent="0.3">
      <c r="A252" s="63">
        <v>249</v>
      </c>
      <c r="B252" s="160" t="s">
        <v>4</v>
      </c>
      <c r="C252" s="47">
        <v>3000</v>
      </c>
      <c r="D252" s="38" t="s">
        <v>61</v>
      </c>
      <c r="E252" s="158">
        <f>1</f>
        <v>1</v>
      </c>
      <c r="F252" s="157">
        <v>2727</v>
      </c>
      <c r="G252" s="149">
        <f t="shared" si="3"/>
        <v>4.3957855857848049E-6</v>
      </c>
    </row>
    <row r="253" spans="1:23" x14ac:dyDescent="0.3">
      <c r="A253" s="145">
        <v>250</v>
      </c>
      <c r="B253" s="160" t="s">
        <v>203</v>
      </c>
      <c r="C253" s="47">
        <v>3000</v>
      </c>
      <c r="D253" s="38" t="s">
        <v>59</v>
      </c>
      <c r="E253" s="158">
        <f>1</f>
        <v>1</v>
      </c>
      <c r="F253" s="157">
        <v>2727</v>
      </c>
      <c r="G253" s="149">
        <f t="shared" si="3"/>
        <v>4.3957855857848049E-6</v>
      </c>
    </row>
    <row r="254" spans="1:23" x14ac:dyDescent="0.3">
      <c r="A254" s="145">
        <v>251</v>
      </c>
      <c r="B254" s="160" t="s">
        <v>138</v>
      </c>
      <c r="C254" s="47">
        <v>3000</v>
      </c>
      <c r="D254" s="38" t="s">
        <v>62</v>
      </c>
      <c r="E254" s="158">
        <f>1</f>
        <v>1</v>
      </c>
      <c r="F254" s="157">
        <v>2727</v>
      </c>
      <c r="G254" s="149">
        <f t="shared" si="3"/>
        <v>4.3957855857848049E-6</v>
      </c>
    </row>
    <row r="255" spans="1:23" x14ac:dyDescent="0.3">
      <c r="A255" s="145">
        <v>252</v>
      </c>
      <c r="B255" s="160" t="s">
        <v>99</v>
      </c>
      <c r="C255" s="47">
        <v>3000</v>
      </c>
      <c r="D255" s="38" t="s">
        <v>63</v>
      </c>
      <c r="E255" s="158">
        <f>1</f>
        <v>1</v>
      </c>
      <c r="F255" s="157">
        <v>2727</v>
      </c>
      <c r="G255" s="149">
        <f t="shared" si="3"/>
        <v>4.3957855857848049E-6</v>
      </c>
    </row>
    <row r="256" spans="1:23" x14ac:dyDescent="0.3">
      <c r="A256" s="63">
        <v>253</v>
      </c>
      <c r="B256" s="154" t="s">
        <v>255</v>
      </c>
      <c r="C256" s="47">
        <v>300</v>
      </c>
      <c r="D256" s="38" t="s">
        <v>70</v>
      </c>
      <c r="E256" s="147">
        <f>3+3</f>
        <v>6</v>
      </c>
      <c r="F256" s="148">
        <f>818+819</f>
        <v>1637</v>
      </c>
      <c r="G256" s="149">
        <f t="shared" si="3"/>
        <v>2.6387609108653195E-6</v>
      </c>
    </row>
    <row r="257" spans="1:17" x14ac:dyDescent="0.3">
      <c r="A257" s="145">
        <v>254</v>
      </c>
      <c r="B257" s="154" t="s">
        <v>274</v>
      </c>
      <c r="C257" s="47">
        <v>300</v>
      </c>
      <c r="D257" s="38" t="s">
        <v>70</v>
      </c>
      <c r="E257" s="158">
        <f>1</f>
        <v>1</v>
      </c>
      <c r="F257" s="157">
        <v>273</v>
      </c>
      <c r="G257" s="149">
        <f t="shared" si="3"/>
        <v>4.4006214335139414E-7</v>
      </c>
    </row>
    <row r="258" spans="1:17" x14ac:dyDescent="0.3">
      <c r="A258" s="145">
        <v>255</v>
      </c>
      <c r="B258" s="159" t="s">
        <v>251</v>
      </c>
      <c r="C258" s="47">
        <v>-1000</v>
      </c>
      <c r="D258" s="38" t="s">
        <v>60</v>
      </c>
      <c r="E258" s="158">
        <f>102</f>
        <v>102</v>
      </c>
      <c r="F258" s="157">
        <v>-92727</v>
      </c>
      <c r="G258" s="149">
        <f t="shared" si="3"/>
        <v>-1.4947121745987078E-4</v>
      </c>
    </row>
    <row r="259" spans="1:17" x14ac:dyDescent="0.3">
      <c r="A259" s="145">
        <v>256</v>
      </c>
      <c r="B259" s="154" t="s">
        <v>241</v>
      </c>
      <c r="C259" s="47">
        <v>-100</v>
      </c>
      <c r="D259" s="38" t="s">
        <v>70</v>
      </c>
      <c r="E259" s="147">
        <f>2652+1446</f>
        <v>4098</v>
      </c>
      <c r="F259" s="157">
        <v>-372140</v>
      </c>
      <c r="G259" s="149">
        <f t="shared" si="3"/>
        <v>-5.9987079130691503E-4</v>
      </c>
    </row>
    <row r="260" spans="1:17" ht="17.25" thickBot="1" x14ac:dyDescent="0.35">
      <c r="A260" s="104">
        <v>257</v>
      </c>
      <c r="B260" s="61" t="s">
        <v>260</v>
      </c>
      <c r="C260" s="49">
        <v>-500</v>
      </c>
      <c r="D260" s="41" t="s">
        <v>70</v>
      </c>
      <c r="E260" s="53">
        <f>3071+1658</f>
        <v>4729</v>
      </c>
      <c r="F260" s="59">
        <v>-2148493</v>
      </c>
      <c r="G260" s="56">
        <f t="shared" ref="G260:G323" si="4">F260/$F$263</f>
        <v>-3.46326166503834E-3</v>
      </c>
    </row>
    <row r="261" spans="1:17" x14ac:dyDescent="0.3">
      <c r="A261" s="119"/>
      <c r="B261" s="101"/>
      <c r="C261" s="102"/>
      <c r="D261" s="144"/>
      <c r="E261" s="103"/>
      <c r="F261" s="75"/>
      <c r="G261" s="76"/>
      <c r="H261" s="142"/>
    </row>
    <row r="262" spans="1:17" x14ac:dyDescent="0.3">
      <c r="A262" s="119"/>
      <c r="B262" s="101"/>
      <c r="C262" s="102"/>
      <c r="D262" s="144"/>
      <c r="E262" s="103"/>
      <c r="F262" s="75"/>
      <c r="G262" s="76"/>
      <c r="H262" s="142"/>
    </row>
    <row r="263" spans="1:17" x14ac:dyDescent="0.3">
      <c r="A263" s="119"/>
      <c r="B263" s="119"/>
      <c r="C263" s="120"/>
      <c r="D263" s="142"/>
      <c r="E263" s="120"/>
      <c r="F263" s="39">
        <f>SUM(F4:F260)</f>
        <v>620366928</v>
      </c>
      <c r="G263" s="143">
        <f>SUM(G4:G260)</f>
        <v>1.0000000000000013</v>
      </c>
      <c r="H263" s="142"/>
      <c r="J263" s="134"/>
      <c r="K263" s="134"/>
      <c r="L263" s="134"/>
      <c r="M263" s="134"/>
      <c r="N263" s="134"/>
      <c r="O263" s="134"/>
      <c r="P263" s="134"/>
      <c r="Q263" s="134"/>
    </row>
    <row r="264" spans="1:17" x14ac:dyDescent="0.3">
      <c r="J264" s="135"/>
      <c r="K264" s="135"/>
      <c r="L264" s="136"/>
      <c r="M264" s="134"/>
      <c r="N264" s="137"/>
      <c r="O264" s="138"/>
      <c r="P264" s="76"/>
      <c r="Q264" s="134"/>
    </row>
    <row r="265" spans="1:17" x14ac:dyDescent="0.3">
      <c r="J265" s="135"/>
      <c r="K265" s="135"/>
      <c r="L265" s="136"/>
      <c r="M265" s="134"/>
      <c r="N265" s="137"/>
      <c r="O265" s="138"/>
      <c r="P265" s="76"/>
      <c r="Q265" s="134"/>
    </row>
    <row r="266" spans="1:17" x14ac:dyDescent="0.3">
      <c r="J266" s="135"/>
      <c r="K266" s="135"/>
      <c r="L266" s="136"/>
      <c r="M266" s="134"/>
      <c r="N266" s="137"/>
      <c r="O266" s="138"/>
      <c r="P266" s="76"/>
      <c r="Q266" s="134"/>
    </row>
    <row r="267" spans="1:17" x14ac:dyDescent="0.3">
      <c r="J267" s="135"/>
      <c r="K267" s="135"/>
      <c r="L267" s="136"/>
      <c r="M267" s="134"/>
      <c r="N267" s="137"/>
      <c r="O267" s="138"/>
      <c r="P267" s="76"/>
      <c r="Q267" s="134"/>
    </row>
    <row r="268" spans="1:17" x14ac:dyDescent="0.3">
      <c r="J268" s="135"/>
      <c r="K268" s="135"/>
      <c r="L268" s="139"/>
      <c r="M268" s="140"/>
      <c r="N268" s="139"/>
      <c r="O268" s="75"/>
      <c r="P268" s="76"/>
      <c r="Q268" s="134"/>
    </row>
    <row r="269" spans="1:17" x14ac:dyDescent="0.3">
      <c r="J269" s="135"/>
      <c r="K269" s="135"/>
      <c r="L269" s="136"/>
      <c r="M269" s="134"/>
      <c r="N269" s="137"/>
      <c r="O269" s="138"/>
      <c r="P269" s="76"/>
      <c r="Q269" s="134"/>
    </row>
    <row r="270" spans="1:17" x14ac:dyDescent="0.3">
      <c r="J270" s="135"/>
      <c r="K270" s="135"/>
      <c r="L270" s="139"/>
      <c r="M270" s="140"/>
      <c r="N270" s="139"/>
      <c r="O270" s="75"/>
      <c r="P270" s="76"/>
      <c r="Q270" s="134"/>
    </row>
    <row r="271" spans="1:17" x14ac:dyDescent="0.3">
      <c r="J271" s="135"/>
      <c r="K271" s="135"/>
      <c r="L271" s="139"/>
      <c r="M271" s="140"/>
      <c r="N271" s="139"/>
      <c r="O271" s="75"/>
      <c r="P271" s="76"/>
      <c r="Q271" s="134"/>
    </row>
    <row r="272" spans="1:17" x14ac:dyDescent="0.3">
      <c r="J272" s="135"/>
      <c r="K272" s="135"/>
      <c r="L272" s="139"/>
      <c r="M272" s="140"/>
      <c r="N272" s="139"/>
      <c r="O272" s="75"/>
      <c r="P272" s="76"/>
      <c r="Q272" s="134"/>
    </row>
    <row r="273" spans="2:17" x14ac:dyDescent="0.3">
      <c r="B273" s="27"/>
      <c r="J273" s="135"/>
      <c r="K273" s="135"/>
      <c r="L273" s="139"/>
      <c r="M273" s="140"/>
      <c r="N273" s="139"/>
      <c r="O273" s="75"/>
      <c r="P273" s="76"/>
      <c r="Q273" s="134"/>
    </row>
    <row r="274" spans="2:17" x14ac:dyDescent="0.3">
      <c r="J274" s="135"/>
      <c r="K274" s="135"/>
      <c r="L274" s="139"/>
      <c r="M274" s="140"/>
      <c r="N274" s="139"/>
      <c r="O274" s="75"/>
      <c r="P274" s="76"/>
      <c r="Q274" s="134"/>
    </row>
    <row r="275" spans="2:17" x14ac:dyDescent="0.3">
      <c r="J275" s="135"/>
      <c r="K275" s="135"/>
      <c r="L275" s="139"/>
      <c r="M275" s="140"/>
      <c r="N275" s="139"/>
      <c r="O275" s="75"/>
      <c r="P275" s="76"/>
      <c r="Q275" s="134"/>
    </row>
    <row r="276" spans="2:17" x14ac:dyDescent="0.3">
      <c r="J276" s="135"/>
      <c r="K276" s="135"/>
      <c r="L276" s="136"/>
      <c r="M276" s="134"/>
      <c r="N276" s="137"/>
      <c r="O276" s="138"/>
      <c r="P276" s="76"/>
      <c r="Q276" s="134"/>
    </row>
    <row r="277" spans="2:17" x14ac:dyDescent="0.3">
      <c r="J277" s="134"/>
      <c r="K277" s="134"/>
      <c r="L277" s="134"/>
      <c r="M277" s="134"/>
      <c r="N277" s="137"/>
      <c r="O277" s="137"/>
      <c r="P277" s="141"/>
      <c r="Q277" s="134"/>
    </row>
    <row r="278" spans="2:17" x14ac:dyDescent="0.3">
      <c r="J278" s="134"/>
      <c r="K278" s="134"/>
      <c r="L278" s="134"/>
      <c r="M278" s="134"/>
      <c r="N278" s="134"/>
      <c r="O278" s="134"/>
      <c r="P278" s="134"/>
      <c r="Q278" s="134"/>
    </row>
    <row r="279" spans="2:17" x14ac:dyDescent="0.3">
      <c r="J279" s="134"/>
      <c r="K279" s="134"/>
      <c r="L279" s="134"/>
      <c r="M279" s="134"/>
      <c r="N279" s="134"/>
      <c r="O279" s="134"/>
      <c r="P279" s="134"/>
      <c r="Q279" s="134"/>
    </row>
  </sheetData>
  <autoFilter ref="A3:G260" xr:uid="{00000000-0001-0000-0000-000000000000}">
    <sortState xmlns:xlrd2="http://schemas.microsoft.com/office/spreadsheetml/2017/richdata2" ref="A4:G260">
      <sortCondition descending="1" ref="G3"/>
    </sortState>
  </autoFilter>
  <mergeCells count="2">
    <mergeCell ref="K3:W3"/>
    <mergeCell ref="A1:G1"/>
  </mergeCells>
  <phoneticPr fontId="3" type="noConversion"/>
  <pageMargins left="0.75" right="0.75" top="1" bottom="1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E227-E76C-4642-9E52-FF75EE482B98}">
  <dimension ref="A1:O134"/>
  <sheetViews>
    <sheetView topLeftCell="A4" workbookViewId="0">
      <selection activeCell="D16" sqref="D16"/>
    </sheetView>
  </sheetViews>
  <sheetFormatPr defaultRowHeight="16.5" x14ac:dyDescent="0.3"/>
  <cols>
    <col min="1" max="1" width="8.125" customWidth="1"/>
    <col min="2" max="2" width="30.5" customWidth="1"/>
    <col min="5" max="5" width="18.875" customWidth="1"/>
    <col min="6" max="6" width="14.25" style="64" customWidth="1"/>
    <col min="7" max="7" width="10.875" bestFit="1" customWidth="1"/>
    <col min="8" max="8" width="13" bestFit="1" customWidth="1"/>
    <col min="10" max="10" width="13" bestFit="1" customWidth="1"/>
  </cols>
  <sheetData>
    <row r="1" spans="1:10" ht="20.25" x14ac:dyDescent="0.3">
      <c r="A1" s="98" t="s">
        <v>316</v>
      </c>
      <c r="B1" s="98"/>
      <c r="C1" s="98"/>
      <c r="D1" s="98"/>
      <c r="E1" s="98"/>
      <c r="F1" s="98"/>
    </row>
    <row r="3" spans="1:10" ht="17.25" thickBot="1" x14ac:dyDescent="0.35">
      <c r="A3" s="88" t="s">
        <v>317</v>
      </c>
      <c r="B3" s="88"/>
      <c r="C3" s="88"/>
      <c r="D3" s="88"/>
      <c r="E3" s="88"/>
      <c r="F3" s="88"/>
    </row>
    <row r="4" spans="1:10" ht="17.25" thickBot="1" x14ac:dyDescent="0.35">
      <c r="A4" s="84" t="s">
        <v>318</v>
      </c>
      <c r="B4" s="85"/>
      <c r="C4" s="85"/>
      <c r="D4" s="86"/>
      <c r="E4" s="79" t="s">
        <v>319</v>
      </c>
      <c r="F4" s="80" t="s">
        <v>320</v>
      </c>
      <c r="H4" s="8"/>
    </row>
    <row r="5" spans="1:10" x14ac:dyDescent="0.3">
      <c r="A5" s="89" t="s">
        <v>323</v>
      </c>
      <c r="B5" s="90"/>
      <c r="C5" s="90"/>
      <c r="D5" s="91"/>
      <c r="E5" s="68">
        <v>383094747</v>
      </c>
      <c r="F5" s="65">
        <f t="shared" ref="F5:F14" si="0">E5/$E$14</f>
        <v>0.61752928744131896</v>
      </c>
    </row>
    <row r="6" spans="1:10" x14ac:dyDescent="0.3">
      <c r="A6" s="92" t="s">
        <v>322</v>
      </c>
      <c r="B6" s="93"/>
      <c r="C6" s="93"/>
      <c r="D6" s="94"/>
      <c r="E6" s="69">
        <v>96249409</v>
      </c>
      <c r="F6" s="66">
        <f t="shared" si="0"/>
        <v>0.15514916198111708</v>
      </c>
    </row>
    <row r="7" spans="1:10" x14ac:dyDescent="0.3">
      <c r="A7" s="92" t="s">
        <v>324</v>
      </c>
      <c r="B7" s="93"/>
      <c r="C7" s="93"/>
      <c r="D7" s="94"/>
      <c r="E7" s="69">
        <v>46013399</v>
      </c>
      <c r="F7" s="66">
        <f t="shared" si="0"/>
        <v>7.4171263687995953E-2</v>
      </c>
    </row>
    <row r="8" spans="1:10" x14ac:dyDescent="0.3">
      <c r="A8" s="92" t="s">
        <v>327</v>
      </c>
      <c r="B8" s="93"/>
      <c r="C8" s="93"/>
      <c r="D8" s="94"/>
      <c r="E8" s="69">
        <v>25689857</v>
      </c>
      <c r="F8" s="66">
        <f t="shared" si="0"/>
        <v>4.1410745545094566E-2</v>
      </c>
    </row>
    <row r="9" spans="1:10" x14ac:dyDescent="0.3">
      <c r="A9" s="92" t="s">
        <v>321</v>
      </c>
      <c r="B9" s="93"/>
      <c r="C9" s="93"/>
      <c r="D9" s="94"/>
      <c r="E9" s="69">
        <v>24385394</v>
      </c>
      <c r="F9" s="66">
        <f t="shared" si="0"/>
        <v>3.930801739966383E-2</v>
      </c>
    </row>
    <row r="10" spans="1:10" x14ac:dyDescent="0.3">
      <c r="A10" s="92" t="s">
        <v>328</v>
      </c>
      <c r="B10" s="93"/>
      <c r="C10" s="93"/>
      <c r="D10" s="94"/>
      <c r="E10" s="69">
        <v>19473139</v>
      </c>
      <c r="F10" s="66">
        <f t="shared" si="0"/>
        <v>3.1389711670767852E-2</v>
      </c>
      <c r="J10" s="17"/>
    </row>
    <row r="11" spans="1:10" x14ac:dyDescent="0.3">
      <c r="A11" s="92" t="s">
        <v>326</v>
      </c>
      <c r="B11" s="93"/>
      <c r="C11" s="93"/>
      <c r="D11" s="94"/>
      <c r="E11" s="69">
        <v>16978084</v>
      </c>
      <c r="F11" s="66">
        <f t="shared" si="0"/>
        <v>2.7367809652161214E-2</v>
      </c>
      <c r="J11" s="16"/>
    </row>
    <row r="12" spans="1:10" x14ac:dyDescent="0.3">
      <c r="A12" s="92" t="s">
        <v>329</v>
      </c>
      <c r="B12" s="93"/>
      <c r="C12" s="93"/>
      <c r="D12" s="94"/>
      <c r="E12" s="78">
        <v>5649742</v>
      </c>
      <c r="F12" s="66">
        <f t="shared" si="0"/>
        <v>9.1070973403018021E-3</v>
      </c>
      <c r="J12" s="16"/>
    </row>
    <row r="13" spans="1:10" ht="17.25" thickBot="1" x14ac:dyDescent="0.35">
      <c r="A13" s="95" t="s">
        <v>325</v>
      </c>
      <c r="B13" s="96"/>
      <c r="C13" s="96"/>
      <c r="D13" s="97"/>
      <c r="E13" s="70">
        <v>2833157</v>
      </c>
      <c r="F13" s="67">
        <f t="shared" si="0"/>
        <v>4.5669052815787755E-3</v>
      </c>
      <c r="J13" s="17"/>
    </row>
    <row r="14" spans="1:10" ht="17.25" thickBot="1" x14ac:dyDescent="0.35">
      <c r="A14" s="84" t="s">
        <v>338</v>
      </c>
      <c r="B14" s="85"/>
      <c r="C14" s="85"/>
      <c r="D14" s="86"/>
      <c r="E14" s="81">
        <f>SUM(E5:E13)</f>
        <v>620366928</v>
      </c>
      <c r="F14" s="82">
        <f t="shared" si="0"/>
        <v>1</v>
      </c>
      <c r="J14" s="17"/>
    </row>
    <row r="15" spans="1:10" x14ac:dyDescent="0.3">
      <c r="J15" s="17"/>
    </row>
    <row r="16" spans="1:10" x14ac:dyDescent="0.3">
      <c r="J16" s="16"/>
    </row>
    <row r="17" spans="1:10" x14ac:dyDescent="0.3">
      <c r="J17" s="16"/>
    </row>
    <row r="18" spans="1:10" x14ac:dyDescent="0.3">
      <c r="J18" s="16"/>
    </row>
    <row r="19" spans="1:10" x14ac:dyDescent="0.3">
      <c r="A19" s="87" t="s">
        <v>345</v>
      </c>
      <c r="B19" s="87"/>
      <c r="C19" s="87"/>
      <c r="D19" s="87"/>
      <c r="E19" s="87"/>
      <c r="F19" s="87"/>
    </row>
    <row r="20" spans="1:10" ht="17.25" thickBot="1" x14ac:dyDescent="0.35">
      <c r="A20" s="23" t="s">
        <v>330</v>
      </c>
    </row>
    <row r="21" spans="1:10" ht="17.25" thickBot="1" x14ac:dyDescent="0.35">
      <c r="A21" s="107" t="s">
        <v>339</v>
      </c>
      <c r="B21" s="107" t="s">
        <v>340</v>
      </c>
      <c r="C21" s="107" t="s">
        <v>341</v>
      </c>
      <c r="D21" s="107" t="s">
        <v>342</v>
      </c>
      <c r="E21" s="107" t="s">
        <v>343</v>
      </c>
      <c r="F21" s="106" t="s">
        <v>344</v>
      </c>
    </row>
    <row r="22" spans="1:10" x14ac:dyDescent="0.3">
      <c r="A22" s="108">
        <v>1</v>
      </c>
      <c r="B22" s="110" t="s">
        <v>24</v>
      </c>
      <c r="C22" s="112">
        <v>3000</v>
      </c>
      <c r="D22" s="114">
        <v>66315</v>
      </c>
      <c r="E22" s="116">
        <v>173671488</v>
      </c>
      <c r="F22" s="40">
        <v>0.27994962362016823</v>
      </c>
    </row>
    <row r="23" spans="1:10" x14ac:dyDescent="0.3">
      <c r="A23" s="108">
        <v>2</v>
      </c>
      <c r="B23" s="110" t="s">
        <v>108</v>
      </c>
      <c r="C23" s="112">
        <v>3700</v>
      </c>
      <c r="D23" s="114">
        <v>13639</v>
      </c>
      <c r="E23" s="116">
        <v>45524488</v>
      </c>
      <c r="F23" s="40">
        <v>7.3383163971629389E-2</v>
      </c>
      <c r="J23" s="8"/>
    </row>
    <row r="24" spans="1:10" x14ac:dyDescent="0.3">
      <c r="A24" s="108">
        <v>4</v>
      </c>
      <c r="B24" s="110" t="s">
        <v>26</v>
      </c>
      <c r="C24" s="112">
        <v>3000</v>
      </c>
      <c r="D24" s="114">
        <v>14264</v>
      </c>
      <c r="E24" s="116">
        <v>37408589</v>
      </c>
      <c r="F24" s="40">
        <v>6.030074672194647E-2</v>
      </c>
    </row>
    <row r="25" spans="1:10" x14ac:dyDescent="0.3">
      <c r="A25" s="108">
        <v>5</v>
      </c>
      <c r="B25" s="110" t="s">
        <v>42</v>
      </c>
      <c r="C25" s="112">
        <v>3300</v>
      </c>
      <c r="D25" s="114">
        <v>11836</v>
      </c>
      <c r="E25" s="116">
        <v>33658455</v>
      </c>
      <c r="F25" s="40">
        <v>5.4255721059327647E-2</v>
      </c>
    </row>
    <row r="26" spans="1:10" x14ac:dyDescent="0.3">
      <c r="A26" s="108">
        <v>6</v>
      </c>
      <c r="B26" s="110" t="s">
        <v>21</v>
      </c>
      <c r="C26" s="112">
        <v>3500</v>
      </c>
      <c r="D26" s="114">
        <v>7988</v>
      </c>
      <c r="E26" s="116">
        <v>23815633</v>
      </c>
      <c r="F26" s="40">
        <v>3.8389591586997042E-2</v>
      </c>
    </row>
    <row r="27" spans="1:10" x14ac:dyDescent="0.3">
      <c r="A27" s="108">
        <v>7</v>
      </c>
      <c r="B27" s="110" t="s">
        <v>41</v>
      </c>
      <c r="C27" s="112">
        <v>3300</v>
      </c>
      <c r="D27" s="114">
        <v>7733</v>
      </c>
      <c r="E27" s="116">
        <v>21671091</v>
      </c>
      <c r="F27" s="40">
        <v>3.4932698733417977E-2</v>
      </c>
    </row>
    <row r="28" spans="1:10" x14ac:dyDescent="0.3">
      <c r="A28" s="108">
        <v>8</v>
      </c>
      <c r="B28" s="110" t="s">
        <v>18</v>
      </c>
      <c r="C28" s="112">
        <v>3500</v>
      </c>
      <c r="D28" s="114">
        <v>2804</v>
      </c>
      <c r="E28" s="116">
        <v>8367504</v>
      </c>
      <c r="F28" s="40">
        <v>1.3487991738979355E-2</v>
      </c>
    </row>
    <row r="29" spans="1:10" x14ac:dyDescent="0.3">
      <c r="A29" s="108">
        <v>15</v>
      </c>
      <c r="B29" s="110" t="s">
        <v>89</v>
      </c>
      <c r="C29" s="112">
        <v>3500</v>
      </c>
      <c r="D29" s="114">
        <v>1748</v>
      </c>
      <c r="E29" s="116">
        <v>5242580</v>
      </c>
      <c r="F29" s="40">
        <v>8.4507728626049515E-3</v>
      </c>
    </row>
    <row r="30" spans="1:10" x14ac:dyDescent="0.3">
      <c r="A30" s="108">
        <v>18</v>
      </c>
      <c r="B30" s="110" t="s">
        <v>91</v>
      </c>
      <c r="C30" s="112">
        <v>3500</v>
      </c>
      <c r="D30" s="114">
        <v>1598</v>
      </c>
      <c r="E30" s="116">
        <v>4691193</v>
      </c>
      <c r="F30" s="40">
        <v>7.5619650053298775E-3</v>
      </c>
    </row>
    <row r="31" spans="1:10" ht="17.25" thickBot="1" x14ac:dyDescent="0.35">
      <c r="A31" s="109">
        <v>19</v>
      </c>
      <c r="B31" s="111" t="s">
        <v>94</v>
      </c>
      <c r="C31" s="113">
        <v>4200</v>
      </c>
      <c r="D31" s="115">
        <v>1131</v>
      </c>
      <c r="E31" s="117">
        <v>4247422</v>
      </c>
      <c r="F31" s="105">
        <v>6.8466286777943775E-3</v>
      </c>
    </row>
    <row r="32" spans="1:10" x14ac:dyDescent="0.3">
      <c r="A32" s="26"/>
      <c r="B32" s="71"/>
      <c r="C32" s="7"/>
      <c r="D32" s="72"/>
      <c r="E32" s="73"/>
      <c r="F32"/>
    </row>
    <row r="33" spans="1:6" ht="17.25" thickBot="1" x14ac:dyDescent="0.35">
      <c r="A33" s="27" t="s">
        <v>285</v>
      </c>
      <c r="B33" s="71"/>
      <c r="C33" s="7"/>
      <c r="D33" s="72"/>
      <c r="E33" s="73"/>
      <c r="F33"/>
    </row>
    <row r="34" spans="1:6" ht="17.25" thickBot="1" x14ac:dyDescent="0.35">
      <c r="A34" s="107" t="s">
        <v>339</v>
      </c>
      <c r="B34" s="107" t="s">
        <v>340</v>
      </c>
      <c r="C34" s="107" t="s">
        <v>341</v>
      </c>
      <c r="D34" s="107" t="s">
        <v>342</v>
      </c>
      <c r="E34" s="107" t="s">
        <v>343</v>
      </c>
      <c r="F34" s="106" t="s">
        <v>344</v>
      </c>
    </row>
    <row r="35" spans="1:6" x14ac:dyDescent="0.3">
      <c r="A35" s="108">
        <v>3</v>
      </c>
      <c r="B35" s="110" t="s">
        <v>20</v>
      </c>
      <c r="C35" s="112">
        <v>3000</v>
      </c>
      <c r="D35" s="114">
        <v>16250</v>
      </c>
      <c r="E35" s="116">
        <v>43111758</v>
      </c>
      <c r="F35" s="40">
        <v>6.9493965674456454E-2</v>
      </c>
    </row>
    <row r="36" spans="1:6" x14ac:dyDescent="0.3">
      <c r="A36" s="108">
        <v>10</v>
      </c>
      <c r="B36" s="110" t="s">
        <v>169</v>
      </c>
      <c r="C36" s="112">
        <v>3500</v>
      </c>
      <c r="D36" s="114">
        <v>2363</v>
      </c>
      <c r="E36" s="116">
        <v>7371377</v>
      </c>
      <c r="F36" s="40">
        <v>1.188228557535227E-2</v>
      </c>
    </row>
    <row r="37" spans="1:6" x14ac:dyDescent="0.3">
      <c r="A37" s="108">
        <v>11</v>
      </c>
      <c r="B37" s="110" t="s">
        <v>12</v>
      </c>
      <c r="C37" s="112">
        <v>3500</v>
      </c>
      <c r="D37" s="114">
        <v>2067</v>
      </c>
      <c r="E37" s="116">
        <v>6252919</v>
      </c>
      <c r="F37" s="40">
        <v>1.0079388048874198E-2</v>
      </c>
    </row>
    <row r="38" spans="1:6" x14ac:dyDescent="0.3">
      <c r="A38" s="108">
        <v>14</v>
      </c>
      <c r="B38" s="110" t="s">
        <v>40</v>
      </c>
      <c r="C38" s="112">
        <v>3500</v>
      </c>
      <c r="D38" s="114">
        <v>1874</v>
      </c>
      <c r="E38" s="116">
        <v>5629656</v>
      </c>
      <c r="F38" s="40">
        <v>9.0747197278059927E-3</v>
      </c>
    </row>
    <row r="39" spans="1:6" x14ac:dyDescent="0.3">
      <c r="A39" s="108">
        <v>28</v>
      </c>
      <c r="B39" s="110" t="s">
        <v>39</v>
      </c>
      <c r="C39" s="112">
        <v>3500</v>
      </c>
      <c r="D39" s="114">
        <v>1097</v>
      </c>
      <c r="E39" s="116">
        <v>3296488</v>
      </c>
      <c r="F39" s="40">
        <v>5.3137713363082435E-3</v>
      </c>
    </row>
    <row r="40" spans="1:6" x14ac:dyDescent="0.3">
      <c r="A40" s="108">
        <v>32</v>
      </c>
      <c r="B40" s="118" t="s">
        <v>50</v>
      </c>
      <c r="C40" s="112">
        <v>3500</v>
      </c>
      <c r="D40" s="114">
        <v>1006</v>
      </c>
      <c r="E40" s="116">
        <v>2982337</v>
      </c>
      <c r="F40" s="40">
        <v>4.807375869656288E-3</v>
      </c>
    </row>
    <row r="41" spans="1:6" x14ac:dyDescent="0.3">
      <c r="A41" s="108">
        <v>35</v>
      </c>
      <c r="B41" s="110" t="s">
        <v>7</v>
      </c>
      <c r="C41" s="112">
        <v>3500</v>
      </c>
      <c r="D41" s="114">
        <v>899</v>
      </c>
      <c r="E41" s="116">
        <v>2710986</v>
      </c>
      <c r="F41" s="40">
        <v>4.3699718306066757E-3</v>
      </c>
    </row>
    <row r="42" spans="1:6" x14ac:dyDescent="0.3">
      <c r="A42" s="108">
        <v>36</v>
      </c>
      <c r="B42" s="110" t="s">
        <v>2</v>
      </c>
      <c r="C42" s="112">
        <v>3500</v>
      </c>
      <c r="D42" s="114">
        <v>884</v>
      </c>
      <c r="E42" s="116">
        <v>2637968</v>
      </c>
      <c r="F42" s="40">
        <v>4.2522705207779874E-3</v>
      </c>
    </row>
    <row r="43" spans="1:6" x14ac:dyDescent="0.3">
      <c r="A43" s="108">
        <v>38</v>
      </c>
      <c r="B43" s="110" t="s">
        <v>11</v>
      </c>
      <c r="C43" s="112">
        <v>3500</v>
      </c>
      <c r="D43" s="114">
        <v>839</v>
      </c>
      <c r="E43" s="116">
        <v>2558264</v>
      </c>
      <c r="F43" s="40">
        <v>4.1237917183102966E-3</v>
      </c>
    </row>
    <row r="44" spans="1:6" ht="17.25" thickBot="1" x14ac:dyDescent="0.35">
      <c r="A44" s="109">
        <v>42</v>
      </c>
      <c r="B44" s="111" t="s">
        <v>28</v>
      </c>
      <c r="C44" s="113">
        <v>3500</v>
      </c>
      <c r="D44" s="115">
        <v>805</v>
      </c>
      <c r="E44" s="117">
        <v>2397599</v>
      </c>
      <c r="F44" s="105">
        <v>3.8648078931764075E-3</v>
      </c>
    </row>
    <row r="45" spans="1:6" x14ac:dyDescent="0.3">
      <c r="A45" s="26"/>
      <c r="B45" s="26"/>
      <c r="C45" s="19"/>
      <c r="D45" s="39"/>
      <c r="E45" s="73"/>
      <c r="F45"/>
    </row>
    <row r="46" spans="1:6" ht="17.25" thickBot="1" x14ac:dyDescent="0.35">
      <c r="A46" s="27" t="s">
        <v>335</v>
      </c>
      <c r="B46" s="71"/>
      <c r="C46" s="7"/>
      <c r="D46" s="74"/>
      <c r="E46" s="73"/>
      <c r="F46"/>
    </row>
    <row r="47" spans="1:6" ht="17.25" thickBot="1" x14ac:dyDescent="0.35">
      <c r="A47" s="107" t="s">
        <v>339</v>
      </c>
      <c r="B47" s="107" t="s">
        <v>340</v>
      </c>
      <c r="C47" s="107" t="s">
        <v>341</v>
      </c>
      <c r="D47" s="107" t="s">
        <v>342</v>
      </c>
      <c r="E47" s="107" t="s">
        <v>343</v>
      </c>
      <c r="F47" s="106" t="s">
        <v>344</v>
      </c>
    </row>
    <row r="48" spans="1:6" x14ac:dyDescent="0.3">
      <c r="A48" s="108">
        <v>17</v>
      </c>
      <c r="B48" s="110" t="s">
        <v>194</v>
      </c>
      <c r="C48" s="112">
        <v>3500</v>
      </c>
      <c r="D48" s="114">
        <v>1634</v>
      </c>
      <c r="E48" s="116">
        <v>4944251</v>
      </c>
      <c r="F48" s="40">
        <v>7.9698816568764611E-3</v>
      </c>
    </row>
    <row r="49" spans="1:6" x14ac:dyDescent="0.3">
      <c r="A49" s="108">
        <v>24</v>
      </c>
      <c r="B49" s="110" t="s">
        <v>13</v>
      </c>
      <c r="C49" s="112">
        <v>3800</v>
      </c>
      <c r="D49" s="114">
        <v>1162</v>
      </c>
      <c r="E49" s="116">
        <v>3692784</v>
      </c>
      <c r="F49" s="40">
        <v>5.9525803735301632E-3</v>
      </c>
    </row>
    <row r="50" spans="1:6" x14ac:dyDescent="0.3">
      <c r="A50" s="108">
        <v>29</v>
      </c>
      <c r="B50" s="110" t="s">
        <v>193</v>
      </c>
      <c r="C50" s="112">
        <v>3500</v>
      </c>
      <c r="D50" s="114">
        <v>1070</v>
      </c>
      <c r="E50" s="116">
        <v>3293700</v>
      </c>
      <c r="F50" s="40">
        <v>5.3092772218186332E-3</v>
      </c>
    </row>
    <row r="51" spans="1:6" x14ac:dyDescent="0.3">
      <c r="A51" s="108">
        <v>30</v>
      </c>
      <c r="B51" s="110" t="s">
        <v>10</v>
      </c>
      <c r="C51" s="112">
        <v>4000</v>
      </c>
      <c r="D51" s="114">
        <v>941</v>
      </c>
      <c r="E51" s="116">
        <v>3062248</v>
      </c>
      <c r="F51" s="40">
        <v>4.9361883456172893E-3</v>
      </c>
    </row>
    <row r="52" spans="1:6" x14ac:dyDescent="0.3">
      <c r="A52" s="108">
        <v>33</v>
      </c>
      <c r="B52" s="110" t="s">
        <v>48</v>
      </c>
      <c r="C52" s="112">
        <v>4300</v>
      </c>
      <c r="D52" s="114">
        <v>895</v>
      </c>
      <c r="E52" s="116">
        <v>2825957</v>
      </c>
      <c r="F52" s="40">
        <v>4.5552992470288484E-3</v>
      </c>
    </row>
    <row r="53" spans="1:6" x14ac:dyDescent="0.3">
      <c r="A53" s="108">
        <v>40</v>
      </c>
      <c r="B53" s="110" t="s">
        <v>23</v>
      </c>
      <c r="C53" s="112">
        <v>4000</v>
      </c>
      <c r="D53" s="114">
        <v>765</v>
      </c>
      <c r="E53" s="116">
        <v>2472012</v>
      </c>
      <c r="F53" s="40">
        <v>3.9847578721991447E-3</v>
      </c>
    </row>
    <row r="54" spans="1:6" x14ac:dyDescent="0.3">
      <c r="A54" s="108">
        <v>41</v>
      </c>
      <c r="B54" s="110" t="s">
        <v>22</v>
      </c>
      <c r="C54" s="112">
        <v>3500</v>
      </c>
      <c r="D54" s="114">
        <v>808</v>
      </c>
      <c r="E54" s="116">
        <v>2431137</v>
      </c>
      <c r="F54" s="40">
        <v>3.9188694468896643E-3</v>
      </c>
    </row>
    <row r="55" spans="1:6" x14ac:dyDescent="0.3">
      <c r="A55" s="108">
        <v>43</v>
      </c>
      <c r="B55" s="110" t="s">
        <v>217</v>
      </c>
      <c r="C55" s="112">
        <v>4300</v>
      </c>
      <c r="D55" s="114">
        <v>689</v>
      </c>
      <c r="E55" s="116">
        <v>2247702</v>
      </c>
      <c r="F55" s="40">
        <v>3.6231815374916311E-3</v>
      </c>
    </row>
    <row r="56" spans="1:6" x14ac:dyDescent="0.3">
      <c r="A56" s="108">
        <v>45</v>
      </c>
      <c r="B56" s="110" t="s">
        <v>214</v>
      </c>
      <c r="C56" s="112">
        <v>3500</v>
      </c>
      <c r="D56" s="114">
        <v>724</v>
      </c>
      <c r="E56" s="116">
        <v>2177762</v>
      </c>
      <c r="F56" s="40">
        <v>3.5104418074330358E-3</v>
      </c>
    </row>
    <row r="57" spans="1:6" ht="17.25" thickBot="1" x14ac:dyDescent="0.35">
      <c r="A57" s="109">
        <v>48</v>
      </c>
      <c r="B57" s="111" t="s">
        <v>52</v>
      </c>
      <c r="C57" s="113">
        <v>4000</v>
      </c>
      <c r="D57" s="115">
        <v>654</v>
      </c>
      <c r="E57" s="117">
        <v>2090831</v>
      </c>
      <c r="F57" s="105">
        <v>3.3703134477858564E-3</v>
      </c>
    </row>
    <row r="58" spans="1:6" x14ac:dyDescent="0.3">
      <c r="A58" s="26"/>
      <c r="B58" s="71"/>
      <c r="C58" s="7"/>
      <c r="D58" s="72"/>
      <c r="E58" s="73"/>
      <c r="F58"/>
    </row>
    <row r="59" spans="1:6" ht="17.25" thickBot="1" x14ac:dyDescent="0.35">
      <c r="A59" s="27" t="s">
        <v>337</v>
      </c>
      <c r="B59" s="71"/>
      <c r="C59" s="7"/>
      <c r="D59" s="72"/>
      <c r="E59" s="73"/>
      <c r="F59"/>
    </row>
    <row r="60" spans="1:6" ht="17.25" thickBot="1" x14ac:dyDescent="0.35">
      <c r="A60" s="107" t="s">
        <v>339</v>
      </c>
      <c r="B60" s="107" t="s">
        <v>340</v>
      </c>
      <c r="C60" s="107" t="s">
        <v>341</v>
      </c>
      <c r="D60" s="107" t="s">
        <v>342</v>
      </c>
      <c r="E60" s="107" t="s">
        <v>343</v>
      </c>
      <c r="F60" s="106" t="s">
        <v>344</v>
      </c>
    </row>
    <row r="61" spans="1:6" x14ac:dyDescent="0.3">
      <c r="A61" s="108">
        <v>23</v>
      </c>
      <c r="B61" s="110" t="s">
        <v>14</v>
      </c>
      <c r="C61" s="112">
        <v>3500</v>
      </c>
      <c r="D61" s="114">
        <v>1241</v>
      </c>
      <c r="E61" s="116">
        <v>3774914</v>
      </c>
      <c r="F61" s="40">
        <v>6.0849697648614823E-3</v>
      </c>
    </row>
    <row r="62" spans="1:6" x14ac:dyDescent="0.3">
      <c r="A62" s="108">
        <v>27</v>
      </c>
      <c r="B62" s="110" t="s">
        <v>43</v>
      </c>
      <c r="C62" s="112">
        <v>3500</v>
      </c>
      <c r="D62" s="114">
        <v>1106</v>
      </c>
      <c r="E62" s="116">
        <v>3369640</v>
      </c>
      <c r="F62" s="40">
        <v>5.4316886473355008E-3</v>
      </c>
    </row>
    <row r="63" spans="1:6" x14ac:dyDescent="0.3">
      <c r="A63" s="108">
        <v>39</v>
      </c>
      <c r="B63" s="110" t="s">
        <v>37</v>
      </c>
      <c r="C63" s="112">
        <v>4000</v>
      </c>
      <c r="D63" s="114">
        <v>747</v>
      </c>
      <c r="E63" s="116">
        <v>2527143</v>
      </c>
      <c r="F63" s="40">
        <v>4.0736262459174803E-3</v>
      </c>
    </row>
    <row r="64" spans="1:6" x14ac:dyDescent="0.3">
      <c r="A64" s="108">
        <v>49</v>
      </c>
      <c r="B64" s="110" t="s">
        <v>33</v>
      </c>
      <c r="C64" s="112">
        <v>3500</v>
      </c>
      <c r="D64" s="114">
        <v>664</v>
      </c>
      <c r="E64" s="116">
        <v>2030056</v>
      </c>
      <c r="F64" s="40">
        <v>3.2723472325397718E-3</v>
      </c>
    </row>
    <row r="65" spans="1:6" x14ac:dyDescent="0.3">
      <c r="A65" s="108">
        <v>56</v>
      </c>
      <c r="B65" s="110" t="s">
        <v>44</v>
      </c>
      <c r="C65" s="112">
        <v>3500</v>
      </c>
      <c r="D65" s="114">
        <v>571</v>
      </c>
      <c r="E65" s="116">
        <v>1746850</v>
      </c>
      <c r="F65" s="40">
        <v>2.8158335352138565E-3</v>
      </c>
    </row>
    <row r="66" spans="1:6" x14ac:dyDescent="0.3">
      <c r="A66" s="108">
        <v>60</v>
      </c>
      <c r="B66" s="110" t="s">
        <v>53</v>
      </c>
      <c r="C66" s="112">
        <v>3500</v>
      </c>
      <c r="D66" s="114">
        <v>515</v>
      </c>
      <c r="E66" s="116">
        <v>1549586</v>
      </c>
      <c r="F66" s="40">
        <v>2.497853979733749E-3</v>
      </c>
    </row>
    <row r="67" spans="1:6" x14ac:dyDescent="0.3">
      <c r="A67" s="108">
        <v>61</v>
      </c>
      <c r="B67" s="110" t="s">
        <v>82</v>
      </c>
      <c r="C67" s="112">
        <v>3500</v>
      </c>
      <c r="D67" s="114">
        <v>504</v>
      </c>
      <c r="E67" s="116">
        <v>1525617</v>
      </c>
      <c r="F67" s="40">
        <v>2.4592171683271934E-3</v>
      </c>
    </row>
    <row r="68" spans="1:6" x14ac:dyDescent="0.3">
      <c r="A68" s="108">
        <v>63</v>
      </c>
      <c r="B68" s="110" t="s">
        <v>54</v>
      </c>
      <c r="C68" s="112">
        <v>3500</v>
      </c>
      <c r="D68" s="114">
        <v>458</v>
      </c>
      <c r="E68" s="116">
        <v>1403211</v>
      </c>
      <c r="F68" s="40">
        <v>2.2619049092829783E-3</v>
      </c>
    </row>
    <row r="69" spans="1:6" x14ac:dyDescent="0.3">
      <c r="A69" s="108">
        <v>64</v>
      </c>
      <c r="B69" s="110" t="s">
        <v>81</v>
      </c>
      <c r="C69" s="112">
        <v>3500</v>
      </c>
      <c r="D69" s="114">
        <v>451</v>
      </c>
      <c r="E69" s="116">
        <v>1371404</v>
      </c>
      <c r="F69" s="40">
        <v>2.2106336397094335E-3</v>
      </c>
    </row>
    <row r="70" spans="1:6" ht="17.25" thickBot="1" x14ac:dyDescent="0.35">
      <c r="A70" s="109">
        <v>79</v>
      </c>
      <c r="B70" s="111" t="s">
        <v>15</v>
      </c>
      <c r="C70" s="113">
        <v>3500</v>
      </c>
      <c r="D70" s="115">
        <v>325</v>
      </c>
      <c r="E70" s="117">
        <v>995934</v>
      </c>
      <c r="F70" s="105">
        <v>1.6053950574231772E-3</v>
      </c>
    </row>
    <row r="71" spans="1:6" x14ac:dyDescent="0.3">
      <c r="E71" s="73"/>
      <c r="F71"/>
    </row>
    <row r="72" spans="1:6" ht="17.25" thickBot="1" x14ac:dyDescent="0.35">
      <c r="A72" s="23" t="s">
        <v>333</v>
      </c>
      <c r="E72" s="73"/>
      <c r="F72"/>
    </row>
    <row r="73" spans="1:6" ht="17.25" thickBot="1" x14ac:dyDescent="0.35">
      <c r="A73" s="107" t="s">
        <v>339</v>
      </c>
      <c r="B73" s="107" t="s">
        <v>340</v>
      </c>
      <c r="C73" s="107" t="s">
        <v>341</v>
      </c>
      <c r="D73" s="107" t="s">
        <v>342</v>
      </c>
      <c r="E73" s="107" t="s">
        <v>343</v>
      </c>
      <c r="F73" s="106" t="s">
        <v>344</v>
      </c>
    </row>
    <row r="74" spans="1:6" x14ac:dyDescent="0.3">
      <c r="A74" s="108">
        <v>12</v>
      </c>
      <c r="B74" s="110" t="s">
        <v>192</v>
      </c>
      <c r="C74" s="112">
        <v>2800</v>
      </c>
      <c r="D74" s="114">
        <v>2351</v>
      </c>
      <c r="E74" s="116">
        <v>5924659</v>
      </c>
      <c r="F74" s="40">
        <v>9.5502495903521147E-3</v>
      </c>
    </row>
    <row r="75" spans="1:6" x14ac:dyDescent="0.3">
      <c r="A75" s="108">
        <v>16</v>
      </c>
      <c r="B75" s="110" t="s">
        <v>191</v>
      </c>
      <c r="C75" s="112">
        <v>2700</v>
      </c>
      <c r="D75" s="114">
        <v>2174</v>
      </c>
      <c r="E75" s="116">
        <v>5220489</v>
      </c>
      <c r="F75" s="40">
        <v>8.415163291876835E-3</v>
      </c>
    </row>
    <row r="76" spans="1:6" x14ac:dyDescent="0.3">
      <c r="A76" s="108">
        <v>50</v>
      </c>
      <c r="B76" s="110" t="s">
        <v>75</v>
      </c>
      <c r="C76" s="112">
        <v>2800</v>
      </c>
      <c r="D76" s="114">
        <v>768</v>
      </c>
      <c r="E76" s="116">
        <v>1929291</v>
      </c>
      <c r="F76" s="40">
        <v>3.1099191670643021E-3</v>
      </c>
    </row>
    <row r="77" spans="1:6" x14ac:dyDescent="0.3">
      <c r="A77" s="108">
        <v>53</v>
      </c>
      <c r="B77" s="110" t="s">
        <v>189</v>
      </c>
      <c r="C77" s="112">
        <v>2800</v>
      </c>
      <c r="D77" s="114">
        <v>733</v>
      </c>
      <c r="E77" s="116">
        <v>1842028</v>
      </c>
      <c r="F77" s="40">
        <v>2.9692556402684317E-3</v>
      </c>
    </row>
    <row r="78" spans="1:6" x14ac:dyDescent="0.3">
      <c r="A78" s="108">
        <v>54</v>
      </c>
      <c r="B78" s="110" t="s">
        <v>188</v>
      </c>
      <c r="C78" s="112">
        <v>1800</v>
      </c>
      <c r="D78" s="114">
        <v>1109</v>
      </c>
      <c r="E78" s="116">
        <v>1803145</v>
      </c>
      <c r="F78" s="40">
        <v>2.9065782178510973E-3</v>
      </c>
    </row>
    <row r="79" spans="1:6" x14ac:dyDescent="0.3">
      <c r="A79" s="108">
        <v>69</v>
      </c>
      <c r="B79" s="110" t="s">
        <v>118</v>
      </c>
      <c r="C79" s="112">
        <v>2800</v>
      </c>
      <c r="D79" s="114">
        <v>496</v>
      </c>
      <c r="E79" s="116">
        <v>1247187</v>
      </c>
      <c r="F79" s="40">
        <v>2.0104021405860629E-3</v>
      </c>
    </row>
    <row r="80" spans="1:6" x14ac:dyDescent="0.3">
      <c r="A80" s="108">
        <v>72</v>
      </c>
      <c r="B80" s="110" t="s">
        <v>257</v>
      </c>
      <c r="C80" s="112">
        <v>2700</v>
      </c>
      <c r="D80" s="114">
        <v>508</v>
      </c>
      <c r="E80" s="116">
        <v>1190553</v>
      </c>
      <c r="F80" s="40">
        <v>1.9191110071554297E-3</v>
      </c>
    </row>
    <row r="81" spans="1:15" x14ac:dyDescent="0.3">
      <c r="A81" s="108">
        <v>74</v>
      </c>
      <c r="B81" s="110" t="s">
        <v>258</v>
      </c>
      <c r="C81" s="112">
        <v>2700</v>
      </c>
      <c r="D81" s="114">
        <v>440</v>
      </c>
      <c r="E81" s="116">
        <v>1053494</v>
      </c>
      <c r="F81" s="40">
        <v>1.6981788558528704E-3</v>
      </c>
    </row>
    <row r="82" spans="1:15" x14ac:dyDescent="0.3">
      <c r="A82" s="108">
        <v>75</v>
      </c>
      <c r="B82" s="110" t="s">
        <v>135</v>
      </c>
      <c r="C82" s="112">
        <v>2800</v>
      </c>
      <c r="D82" s="114">
        <v>405</v>
      </c>
      <c r="E82" s="116">
        <v>1020654</v>
      </c>
      <c r="F82" s="40">
        <v>1.6452424427112595E-3</v>
      </c>
    </row>
    <row r="83" spans="1:15" ht="17.25" thickBot="1" x14ac:dyDescent="0.35">
      <c r="A83" s="109">
        <v>90</v>
      </c>
      <c r="B83" s="111" t="s">
        <v>250</v>
      </c>
      <c r="C83" s="113">
        <v>2700</v>
      </c>
      <c r="D83" s="115">
        <v>339</v>
      </c>
      <c r="E83" s="117">
        <v>807585</v>
      </c>
      <c r="F83" s="105">
        <v>1.3017860294448191E-3</v>
      </c>
    </row>
    <row r="84" spans="1:15" x14ac:dyDescent="0.3">
      <c r="E84" s="73"/>
      <c r="F84"/>
      <c r="O84" s="23"/>
    </row>
    <row r="85" spans="1:15" ht="17.25" thickBot="1" x14ac:dyDescent="0.35">
      <c r="A85" s="23" t="s">
        <v>336</v>
      </c>
      <c r="E85" s="73"/>
      <c r="F85"/>
    </row>
    <row r="86" spans="1:15" ht="17.25" thickBot="1" x14ac:dyDescent="0.35">
      <c r="A86" s="107" t="s">
        <v>339</v>
      </c>
      <c r="B86" s="107" t="s">
        <v>340</v>
      </c>
      <c r="C86" s="107" t="s">
        <v>341</v>
      </c>
      <c r="D86" s="107" t="s">
        <v>342</v>
      </c>
      <c r="E86" s="107" t="s">
        <v>343</v>
      </c>
      <c r="F86" s="106" t="s">
        <v>344</v>
      </c>
    </row>
    <row r="87" spans="1:15" x14ac:dyDescent="0.3">
      <c r="A87" s="108">
        <v>9</v>
      </c>
      <c r="B87" s="108" t="s">
        <v>301</v>
      </c>
      <c r="C87" s="122" t="s">
        <v>346</v>
      </c>
      <c r="D87" s="124">
        <v>113</v>
      </c>
      <c r="E87" s="125">
        <v>8314238</v>
      </c>
      <c r="F87" s="40">
        <v>1.3402129650599299E-2</v>
      </c>
    </row>
    <row r="88" spans="1:15" x14ac:dyDescent="0.3">
      <c r="A88" s="108">
        <v>47</v>
      </c>
      <c r="B88" s="108" t="s">
        <v>298</v>
      </c>
      <c r="C88" s="123">
        <v>3000</v>
      </c>
      <c r="D88" s="124">
        <v>777</v>
      </c>
      <c r="E88" s="125">
        <v>2118879</v>
      </c>
      <c r="F88" s="40">
        <v>3.4155254001547934E-3</v>
      </c>
    </row>
    <row r="89" spans="1:15" x14ac:dyDescent="0.3">
      <c r="A89" s="108">
        <v>70</v>
      </c>
      <c r="B89" s="108" t="s">
        <v>296</v>
      </c>
      <c r="C89" s="123">
        <v>2000</v>
      </c>
      <c r="D89" s="124">
        <v>678</v>
      </c>
      <c r="E89" s="125">
        <v>1232604</v>
      </c>
      <c r="F89" s="40">
        <v>1.9868950847747317E-3</v>
      </c>
    </row>
    <row r="90" spans="1:15" x14ac:dyDescent="0.3">
      <c r="A90" s="108">
        <v>93</v>
      </c>
      <c r="B90" s="108" t="s">
        <v>295</v>
      </c>
      <c r="C90" s="123">
        <v>2000</v>
      </c>
      <c r="D90" s="124">
        <v>435</v>
      </c>
      <c r="E90" s="125">
        <v>790830</v>
      </c>
      <c r="F90" s="40">
        <v>1.2747778198775935E-3</v>
      </c>
    </row>
    <row r="91" spans="1:15" x14ac:dyDescent="0.3">
      <c r="A91" s="108">
        <v>96</v>
      </c>
      <c r="B91" s="110" t="s">
        <v>273</v>
      </c>
      <c r="C91" s="112">
        <v>3000</v>
      </c>
      <c r="D91" s="112">
        <v>277</v>
      </c>
      <c r="E91" s="126">
        <v>747272</v>
      </c>
      <c r="F91" s="40">
        <v>1.204564534749022E-3</v>
      </c>
    </row>
    <row r="92" spans="1:15" x14ac:dyDescent="0.3">
      <c r="A92" s="108">
        <v>97</v>
      </c>
      <c r="B92" s="110" t="s">
        <v>265</v>
      </c>
      <c r="C92" s="112">
        <v>2000</v>
      </c>
      <c r="D92" s="112">
        <v>401</v>
      </c>
      <c r="E92" s="126">
        <v>723638</v>
      </c>
      <c r="F92" s="40">
        <v>1.1664677263388871E-3</v>
      </c>
    </row>
    <row r="93" spans="1:15" x14ac:dyDescent="0.3">
      <c r="A93" s="108">
        <v>100</v>
      </c>
      <c r="B93" s="110" t="s">
        <v>267</v>
      </c>
      <c r="C93" s="112">
        <v>2000</v>
      </c>
      <c r="D93" s="112">
        <v>366</v>
      </c>
      <c r="E93" s="126">
        <v>665454</v>
      </c>
      <c r="F93" s="40">
        <v>1.0726780715815335E-3</v>
      </c>
    </row>
    <row r="94" spans="1:15" x14ac:dyDescent="0.3">
      <c r="A94" s="108">
        <v>107</v>
      </c>
      <c r="B94" s="110" t="s">
        <v>125</v>
      </c>
      <c r="C94" s="112">
        <v>2000</v>
      </c>
      <c r="D94" s="112">
        <v>320</v>
      </c>
      <c r="E94" s="126">
        <v>576363</v>
      </c>
      <c r="F94" s="40">
        <v>9.2906790156937569E-4</v>
      </c>
    </row>
    <row r="95" spans="1:15" x14ac:dyDescent="0.3">
      <c r="A95" s="108">
        <v>123</v>
      </c>
      <c r="B95" s="110" t="s">
        <v>270</v>
      </c>
      <c r="C95" s="112">
        <v>3000</v>
      </c>
      <c r="D95" s="112">
        <v>164</v>
      </c>
      <c r="E95" s="126">
        <v>447273</v>
      </c>
      <c r="F95" s="40">
        <v>7.2098137378464504E-4</v>
      </c>
    </row>
    <row r="96" spans="1:15" ht="17.25" thickBot="1" x14ac:dyDescent="0.35">
      <c r="A96" s="109">
        <v>124</v>
      </c>
      <c r="B96" s="121" t="s">
        <v>347</v>
      </c>
      <c r="C96" s="113">
        <v>2000</v>
      </c>
      <c r="D96" s="113">
        <v>255</v>
      </c>
      <c r="E96" s="127">
        <v>443636</v>
      </c>
      <c r="F96" s="105">
        <v>7.1511871438768892E-4</v>
      </c>
    </row>
    <row r="97" spans="1:6" x14ac:dyDescent="0.3">
      <c r="E97" s="73"/>
      <c r="F97"/>
    </row>
    <row r="98" spans="1:6" ht="17.25" thickBot="1" x14ac:dyDescent="0.35">
      <c r="A98" s="23" t="s">
        <v>334</v>
      </c>
      <c r="E98" s="73"/>
      <c r="F98"/>
    </row>
    <row r="99" spans="1:6" ht="17.25" thickBot="1" x14ac:dyDescent="0.35">
      <c r="A99" s="107" t="s">
        <v>339</v>
      </c>
      <c r="B99" s="107" t="s">
        <v>340</v>
      </c>
      <c r="C99" s="107" t="s">
        <v>341</v>
      </c>
      <c r="D99" s="107" t="s">
        <v>342</v>
      </c>
      <c r="E99" s="107" t="s">
        <v>343</v>
      </c>
      <c r="F99" s="106" t="s">
        <v>344</v>
      </c>
    </row>
    <row r="100" spans="1:6" x14ac:dyDescent="0.3">
      <c r="A100" s="108">
        <v>20</v>
      </c>
      <c r="B100" s="110" t="s">
        <v>195</v>
      </c>
      <c r="C100" s="112">
        <v>3500</v>
      </c>
      <c r="D100" s="114">
        <v>1265</v>
      </c>
      <c r="E100" s="116">
        <v>3904616</v>
      </c>
      <c r="F100" s="40">
        <v>6.2940428055829568E-3</v>
      </c>
    </row>
    <row r="101" spans="1:6" x14ac:dyDescent="0.3">
      <c r="A101" s="108">
        <v>26</v>
      </c>
      <c r="B101" s="110" t="s">
        <v>225</v>
      </c>
      <c r="C101" s="112">
        <v>4000</v>
      </c>
      <c r="D101" s="114">
        <v>1044</v>
      </c>
      <c r="E101" s="116">
        <v>3472633</v>
      </c>
      <c r="F101" s="40">
        <v>5.5977081357244758E-3</v>
      </c>
    </row>
    <row r="102" spans="1:6" x14ac:dyDescent="0.3">
      <c r="A102" s="108">
        <v>31</v>
      </c>
      <c r="B102" s="110" t="s">
        <v>206</v>
      </c>
      <c r="C102" s="112">
        <v>3800</v>
      </c>
      <c r="D102" s="114">
        <v>932</v>
      </c>
      <c r="E102" s="116">
        <v>3035556</v>
      </c>
      <c r="F102" s="40">
        <v>4.8931621964219216E-3</v>
      </c>
    </row>
    <row r="103" spans="1:6" x14ac:dyDescent="0.3">
      <c r="A103" s="108">
        <v>46</v>
      </c>
      <c r="B103" s="110" t="s">
        <v>204</v>
      </c>
      <c r="C103" s="112">
        <v>4000</v>
      </c>
      <c r="D103" s="114">
        <v>649</v>
      </c>
      <c r="E103" s="116">
        <v>2157214</v>
      </c>
      <c r="F103" s="40">
        <v>3.477319474386939E-3</v>
      </c>
    </row>
    <row r="104" spans="1:6" x14ac:dyDescent="0.3">
      <c r="A104" s="108">
        <v>73</v>
      </c>
      <c r="B104" s="110" t="s">
        <v>224</v>
      </c>
      <c r="C104" s="112">
        <v>3500</v>
      </c>
      <c r="D104" s="114">
        <v>380</v>
      </c>
      <c r="E104" s="116">
        <v>1140925</v>
      </c>
      <c r="F104" s="40">
        <v>1.8391131901215726E-3</v>
      </c>
    </row>
    <row r="105" spans="1:6" x14ac:dyDescent="0.3">
      <c r="A105" s="108">
        <v>77</v>
      </c>
      <c r="B105" s="110" t="s">
        <v>200</v>
      </c>
      <c r="C105" s="112">
        <v>3800</v>
      </c>
      <c r="D105" s="114">
        <v>303</v>
      </c>
      <c r="E105" s="116">
        <v>1001854</v>
      </c>
      <c r="F105" s="40">
        <v>1.614937796942006E-3</v>
      </c>
    </row>
    <row r="106" spans="1:6" x14ac:dyDescent="0.3">
      <c r="A106" s="108">
        <v>101</v>
      </c>
      <c r="B106" s="110" t="s">
        <v>177</v>
      </c>
      <c r="C106" s="112">
        <v>4500</v>
      </c>
      <c r="D106" s="114">
        <v>161</v>
      </c>
      <c r="E106" s="116">
        <v>647600</v>
      </c>
      <c r="F106" s="40">
        <v>1.0438983297962009E-3</v>
      </c>
    </row>
    <row r="107" spans="1:6" x14ac:dyDescent="0.3">
      <c r="A107" s="108">
        <v>104</v>
      </c>
      <c r="B107" s="110" t="s">
        <v>221</v>
      </c>
      <c r="C107" s="112">
        <v>4000</v>
      </c>
      <c r="D107" s="114">
        <v>176</v>
      </c>
      <c r="E107" s="116">
        <v>629065</v>
      </c>
      <c r="F107" s="40">
        <v>1.0140208505763544E-3</v>
      </c>
    </row>
    <row r="108" spans="1:6" x14ac:dyDescent="0.3">
      <c r="A108" s="108">
        <v>135</v>
      </c>
      <c r="B108" s="110" t="s">
        <v>207</v>
      </c>
      <c r="C108" s="112">
        <v>4300</v>
      </c>
      <c r="D108" s="114">
        <v>95</v>
      </c>
      <c r="E108" s="116">
        <v>363538</v>
      </c>
      <c r="F108" s="40">
        <v>5.8600480391823851E-4</v>
      </c>
    </row>
    <row r="109" spans="1:6" ht="17.25" thickBot="1" x14ac:dyDescent="0.35">
      <c r="A109" s="109">
        <v>145</v>
      </c>
      <c r="B109" s="111" t="s">
        <v>222</v>
      </c>
      <c r="C109" s="113">
        <v>4500</v>
      </c>
      <c r="D109" s="115">
        <v>56</v>
      </c>
      <c r="E109" s="117">
        <v>229096</v>
      </c>
      <c r="F109" s="105">
        <v>3.6929112378472888E-4</v>
      </c>
    </row>
    <row r="110" spans="1:6" x14ac:dyDescent="0.3">
      <c r="E110" s="73"/>
      <c r="F110"/>
    </row>
    <row r="111" spans="1:6" x14ac:dyDescent="0.3">
      <c r="E111" s="73"/>
      <c r="F111"/>
    </row>
    <row r="112" spans="1:6" ht="17.25" thickBot="1" x14ac:dyDescent="0.35">
      <c r="A112" s="23" t="s">
        <v>331</v>
      </c>
      <c r="E112" s="73"/>
      <c r="F112"/>
    </row>
    <row r="113" spans="1:6" ht="17.25" thickBot="1" x14ac:dyDescent="0.35">
      <c r="A113" s="107" t="s">
        <v>339</v>
      </c>
      <c r="B113" s="107" t="s">
        <v>340</v>
      </c>
      <c r="C113" s="107" t="s">
        <v>341</v>
      </c>
      <c r="D113" s="107" t="s">
        <v>342</v>
      </c>
      <c r="E113" s="107" t="s">
        <v>343</v>
      </c>
      <c r="F113" s="106" t="s">
        <v>344</v>
      </c>
    </row>
    <row r="114" spans="1:6" x14ac:dyDescent="0.3">
      <c r="A114" s="108">
        <v>13</v>
      </c>
      <c r="B114" s="110" t="s">
        <v>73</v>
      </c>
      <c r="C114" s="112">
        <v>500</v>
      </c>
      <c r="D114" s="114">
        <v>12852</v>
      </c>
      <c r="E114" s="116">
        <v>5740765</v>
      </c>
      <c r="F114" s="40">
        <v>9.2538217962515237E-3</v>
      </c>
    </row>
    <row r="115" spans="1:6" x14ac:dyDescent="0.3">
      <c r="A115" s="108">
        <v>58</v>
      </c>
      <c r="B115" s="110" t="s">
        <v>233</v>
      </c>
      <c r="C115" s="112">
        <v>500</v>
      </c>
      <c r="D115" s="114">
        <v>3835</v>
      </c>
      <c r="E115" s="116">
        <v>1697896</v>
      </c>
      <c r="F115" s="40">
        <v>2.7369221719698122E-3</v>
      </c>
    </row>
    <row r="116" spans="1:6" x14ac:dyDescent="0.3">
      <c r="A116" s="108">
        <v>156</v>
      </c>
      <c r="B116" s="110" t="s">
        <v>275</v>
      </c>
      <c r="C116" s="112">
        <v>15000</v>
      </c>
      <c r="D116" s="114">
        <v>14</v>
      </c>
      <c r="E116" s="116">
        <v>190905</v>
      </c>
      <c r="F116" s="40">
        <v>3.0772917024358206E-4</v>
      </c>
    </row>
    <row r="117" spans="1:6" x14ac:dyDescent="0.3">
      <c r="A117" s="108">
        <v>159</v>
      </c>
      <c r="B117" s="110" t="s">
        <v>134</v>
      </c>
      <c r="C117" s="112">
        <v>3500</v>
      </c>
      <c r="D117" s="112">
        <v>58</v>
      </c>
      <c r="E117" s="126">
        <v>162272</v>
      </c>
      <c r="F117" s="40">
        <v>2.6157422756746312E-4</v>
      </c>
    </row>
    <row r="118" spans="1:6" x14ac:dyDescent="0.3">
      <c r="A118" s="108">
        <v>160</v>
      </c>
      <c r="B118" s="110" t="s">
        <v>280</v>
      </c>
      <c r="C118" s="112">
        <v>500</v>
      </c>
      <c r="D118" s="114">
        <v>325</v>
      </c>
      <c r="E118" s="116">
        <v>143250</v>
      </c>
      <c r="F118" s="40">
        <v>2.3091172906625351E-4</v>
      </c>
    </row>
    <row r="119" spans="1:6" x14ac:dyDescent="0.3">
      <c r="A119" s="108">
        <v>170</v>
      </c>
      <c r="B119" s="110" t="s">
        <v>133</v>
      </c>
      <c r="C119" s="112">
        <v>3300</v>
      </c>
      <c r="D119" s="112">
        <v>39</v>
      </c>
      <c r="E119" s="126">
        <v>111000</v>
      </c>
      <c r="F119" s="40">
        <v>1.7892636597803937E-4</v>
      </c>
    </row>
    <row r="120" spans="1:6" x14ac:dyDescent="0.3">
      <c r="A120" s="108">
        <v>181</v>
      </c>
      <c r="B120" s="110" t="s">
        <v>248</v>
      </c>
      <c r="C120" s="112">
        <v>1000</v>
      </c>
      <c r="D120" s="114">
        <v>86</v>
      </c>
      <c r="E120" s="116">
        <v>74538</v>
      </c>
      <c r="F120" s="40">
        <v>1.2015147267811801E-4</v>
      </c>
    </row>
    <row r="121" spans="1:6" x14ac:dyDescent="0.3">
      <c r="A121" s="108">
        <v>206</v>
      </c>
      <c r="B121" s="110" t="s">
        <v>245</v>
      </c>
      <c r="C121" s="112">
        <v>500</v>
      </c>
      <c r="D121" s="114">
        <v>48</v>
      </c>
      <c r="E121" s="116">
        <v>21831</v>
      </c>
      <c r="F121" s="40">
        <v>3.5190463924924118E-5</v>
      </c>
    </row>
    <row r="122" spans="1:6" x14ac:dyDescent="0.3">
      <c r="A122" s="108">
        <v>217</v>
      </c>
      <c r="B122" s="110" t="s">
        <v>256</v>
      </c>
      <c r="C122" s="112">
        <v>500</v>
      </c>
      <c r="D122" s="112">
        <v>29</v>
      </c>
      <c r="E122" s="126">
        <v>13183</v>
      </c>
      <c r="F122" s="40">
        <v>2.1250326871067504E-5</v>
      </c>
    </row>
    <row r="123" spans="1:6" ht="17.25" thickBot="1" x14ac:dyDescent="0.35">
      <c r="A123" s="109">
        <v>229</v>
      </c>
      <c r="B123" s="111" t="s">
        <v>276</v>
      </c>
      <c r="C123" s="113">
        <v>300</v>
      </c>
      <c r="D123" s="115">
        <v>29</v>
      </c>
      <c r="E123" s="117">
        <v>7916</v>
      </c>
      <c r="F123" s="105">
        <v>1.2760190207947384E-5</v>
      </c>
    </row>
    <row r="124" spans="1:6" x14ac:dyDescent="0.3">
      <c r="E124" s="73"/>
      <c r="F124"/>
    </row>
    <row r="125" spans="1:6" ht="17.25" thickBot="1" x14ac:dyDescent="0.35">
      <c r="A125" s="23" t="s">
        <v>332</v>
      </c>
      <c r="E125" s="73"/>
      <c r="F125"/>
    </row>
    <row r="126" spans="1:6" ht="17.25" thickBot="1" x14ac:dyDescent="0.35">
      <c r="A126" s="107" t="s">
        <v>339</v>
      </c>
      <c r="B126" s="107" t="s">
        <v>340</v>
      </c>
      <c r="C126" s="107" t="s">
        <v>341</v>
      </c>
      <c r="D126" s="107" t="s">
        <v>342</v>
      </c>
      <c r="E126" s="107" t="s">
        <v>343</v>
      </c>
      <c r="F126" s="106" t="s">
        <v>344</v>
      </c>
    </row>
    <row r="127" spans="1:6" x14ac:dyDescent="0.3">
      <c r="A127" s="108">
        <v>87</v>
      </c>
      <c r="B127" s="110" t="s">
        <v>72</v>
      </c>
      <c r="C127" s="112">
        <v>1200</v>
      </c>
      <c r="D127" s="114">
        <v>778</v>
      </c>
      <c r="E127" s="116">
        <v>847657</v>
      </c>
      <c r="F127" s="40">
        <v>1.3663800595121343E-3</v>
      </c>
    </row>
    <row r="128" spans="1:6" x14ac:dyDescent="0.3">
      <c r="A128" s="108">
        <v>92</v>
      </c>
      <c r="B128" s="110" t="s">
        <v>227</v>
      </c>
      <c r="C128" s="112">
        <v>3500</v>
      </c>
      <c r="D128" s="114">
        <v>252</v>
      </c>
      <c r="E128" s="116">
        <v>792289</v>
      </c>
      <c r="F128" s="40">
        <v>1.2771296538231966E-3</v>
      </c>
    </row>
    <row r="129" spans="1:6" x14ac:dyDescent="0.3">
      <c r="A129" s="108">
        <v>99</v>
      </c>
      <c r="B129" s="110" t="s">
        <v>278</v>
      </c>
      <c r="C129" s="112">
        <v>3500</v>
      </c>
      <c r="D129" s="114">
        <v>214</v>
      </c>
      <c r="E129" s="116">
        <v>677740</v>
      </c>
      <c r="F129" s="40">
        <v>1.0924824799815893E-3</v>
      </c>
    </row>
    <row r="130" spans="1:6" ht="17.25" thickBot="1" x14ac:dyDescent="0.35">
      <c r="A130" s="109">
        <v>113</v>
      </c>
      <c r="B130" s="111" t="s">
        <v>277</v>
      </c>
      <c r="C130" s="113">
        <v>3500</v>
      </c>
      <c r="D130" s="115">
        <v>162</v>
      </c>
      <c r="E130" s="117">
        <v>515471</v>
      </c>
      <c r="F130" s="105">
        <v>8.3091308826185525E-4</v>
      </c>
    </row>
    <row r="131" spans="1:6" x14ac:dyDescent="0.3">
      <c r="E131" s="8"/>
      <c r="F131" s="73"/>
    </row>
    <row r="132" spans="1:6" x14ac:dyDescent="0.3">
      <c r="F132" s="73"/>
    </row>
    <row r="133" spans="1:6" x14ac:dyDescent="0.3">
      <c r="F133" s="73"/>
    </row>
    <row r="134" spans="1:6" x14ac:dyDescent="0.3">
      <c r="F134" s="73"/>
    </row>
  </sheetData>
  <mergeCells count="14">
    <mergeCell ref="A1:F1"/>
    <mergeCell ref="A4:D4"/>
    <mergeCell ref="A14:D14"/>
    <mergeCell ref="A19:F19"/>
    <mergeCell ref="A3:F3"/>
    <mergeCell ref="A5:D5"/>
    <mergeCell ref="A6:D6"/>
    <mergeCell ref="A8:D8"/>
    <mergeCell ref="A7:D7"/>
    <mergeCell ref="A9:D9"/>
    <mergeCell ref="A10:D10"/>
    <mergeCell ref="A11:D11"/>
    <mergeCell ref="A12:D12"/>
    <mergeCell ref="A13:D1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8D03-7560-4807-9E9D-6DE50C10B719}">
  <dimension ref="A1:W310"/>
  <sheetViews>
    <sheetView topLeftCell="A31" workbookViewId="0">
      <selection activeCell="B37" sqref="B37"/>
    </sheetView>
  </sheetViews>
  <sheetFormatPr defaultColWidth="9.125" defaultRowHeight="16.5" x14ac:dyDescent="0.3"/>
  <cols>
    <col min="2" max="2" width="25.875" customWidth="1"/>
    <col min="3" max="3" width="9.375" style="8" bestFit="1" customWidth="1"/>
    <col min="5" max="5" width="14.75" style="8" customWidth="1"/>
    <col min="6" max="6" width="30.75" style="5" customWidth="1"/>
    <col min="13" max="13" width="11.375" customWidth="1"/>
  </cols>
  <sheetData>
    <row r="1" spans="1:23" x14ac:dyDescent="0.3">
      <c r="A1" s="99" t="s">
        <v>309</v>
      </c>
      <c r="B1" s="100"/>
      <c r="C1" s="100"/>
      <c r="D1" s="100"/>
      <c r="E1" s="100"/>
      <c r="F1" s="100"/>
      <c r="G1" s="100"/>
    </row>
    <row r="3" spans="1:23" x14ac:dyDescent="0.3">
      <c r="A3" s="24" t="s">
        <v>307</v>
      </c>
      <c r="B3" s="2" t="s">
        <v>282</v>
      </c>
      <c r="C3" s="6" t="s">
        <v>57</v>
      </c>
      <c r="D3" s="2" t="s">
        <v>56</v>
      </c>
      <c r="E3" s="6" t="s">
        <v>55</v>
      </c>
      <c r="F3" s="3" t="s">
        <v>197</v>
      </c>
      <c r="G3" s="25" t="s">
        <v>308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</row>
    <row r="4" spans="1:23" x14ac:dyDescent="0.3">
      <c r="B4" s="1" t="s">
        <v>65</v>
      </c>
      <c r="C4" s="7">
        <v>0</v>
      </c>
      <c r="D4" s="1" t="s">
        <v>70</v>
      </c>
      <c r="E4" s="9">
        <f>14+35</f>
        <v>49</v>
      </c>
      <c r="F4" s="4" t="s">
        <v>305</v>
      </c>
      <c r="J4" s="23" t="s">
        <v>306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3">
      <c r="B5" s="1" t="s">
        <v>68</v>
      </c>
      <c r="C5" s="7">
        <v>0</v>
      </c>
      <c r="D5" s="1" t="s">
        <v>70</v>
      </c>
      <c r="E5" s="9">
        <f>364+298+1</f>
        <v>663</v>
      </c>
      <c r="F5" s="4" t="s">
        <v>305</v>
      </c>
      <c r="K5" s="12"/>
      <c r="L5" s="13"/>
      <c r="M5" s="13"/>
      <c r="N5" s="12"/>
      <c r="O5" s="14"/>
      <c r="P5" s="14"/>
      <c r="Q5" s="14"/>
      <c r="R5" s="14"/>
      <c r="S5" s="14"/>
      <c r="T5" s="14"/>
      <c r="U5" s="14"/>
      <c r="V5" s="14"/>
      <c r="W5" s="15"/>
    </row>
    <row r="6" spans="1:23" x14ac:dyDescent="0.3">
      <c r="B6" s="1" t="s">
        <v>247</v>
      </c>
      <c r="C6" s="7">
        <v>0</v>
      </c>
      <c r="D6" s="1" t="s">
        <v>70</v>
      </c>
      <c r="E6" s="7">
        <f>4</f>
        <v>4</v>
      </c>
      <c r="F6" s="4" t="s">
        <v>305</v>
      </c>
      <c r="J6" s="23" t="s">
        <v>310</v>
      </c>
      <c r="K6" s="12"/>
      <c r="L6" s="16"/>
      <c r="M6" s="13"/>
      <c r="N6" s="12"/>
      <c r="O6" s="14"/>
      <c r="P6" s="14"/>
      <c r="Q6" s="14"/>
      <c r="R6" s="14"/>
      <c r="S6" s="14"/>
      <c r="T6" s="14"/>
      <c r="U6" s="14"/>
      <c r="V6" s="14"/>
      <c r="W6" s="15"/>
    </row>
    <row r="7" spans="1:23" x14ac:dyDescent="0.3">
      <c r="B7" s="1" t="s">
        <v>234</v>
      </c>
      <c r="C7" s="7">
        <v>0</v>
      </c>
      <c r="D7" s="1" t="s">
        <v>70</v>
      </c>
      <c r="E7" s="7">
        <f>15</f>
        <v>15</v>
      </c>
      <c r="F7" s="4" t="s">
        <v>305</v>
      </c>
      <c r="J7" s="23" t="s">
        <v>311</v>
      </c>
      <c r="K7" s="12"/>
      <c r="L7" s="13"/>
      <c r="M7" s="13"/>
      <c r="N7" s="12"/>
      <c r="O7" s="14"/>
      <c r="P7" s="14"/>
      <c r="Q7" s="14"/>
      <c r="R7" s="14"/>
      <c r="S7" s="14"/>
      <c r="T7" s="14"/>
      <c r="U7" s="14"/>
      <c r="V7" s="14"/>
      <c r="W7" s="15"/>
    </row>
    <row r="8" spans="1:23" x14ac:dyDescent="0.3">
      <c r="B8" s="1" t="s">
        <v>66</v>
      </c>
      <c r="C8" s="7">
        <v>0</v>
      </c>
      <c r="D8" s="1" t="s">
        <v>70</v>
      </c>
      <c r="E8" s="7">
        <f>5</f>
        <v>5</v>
      </c>
      <c r="F8" s="4" t="s">
        <v>305</v>
      </c>
      <c r="J8" s="23" t="s">
        <v>312</v>
      </c>
      <c r="K8" s="12"/>
      <c r="L8" s="16"/>
      <c r="M8" s="13"/>
      <c r="N8" s="12"/>
      <c r="O8" s="14"/>
      <c r="P8" s="14"/>
      <c r="Q8" s="14"/>
      <c r="R8" s="14"/>
      <c r="S8" s="14"/>
      <c r="T8" s="14"/>
      <c r="U8" s="14"/>
      <c r="V8" s="14"/>
      <c r="W8" s="15"/>
    </row>
    <row r="9" spans="1:23" x14ac:dyDescent="0.3">
      <c r="B9" s="1" t="s">
        <v>69</v>
      </c>
      <c r="C9" s="7">
        <v>0</v>
      </c>
      <c r="D9" s="1" t="s">
        <v>70</v>
      </c>
      <c r="E9" s="7">
        <f>2</f>
        <v>2</v>
      </c>
      <c r="F9" s="4" t="s">
        <v>305</v>
      </c>
      <c r="J9" s="23" t="s">
        <v>313</v>
      </c>
      <c r="K9" s="28"/>
      <c r="L9" s="13"/>
      <c r="M9" s="13"/>
      <c r="N9" s="12"/>
      <c r="O9" s="14"/>
      <c r="P9" s="14"/>
      <c r="Q9" s="14"/>
      <c r="R9" s="14"/>
      <c r="S9" s="14"/>
      <c r="T9" s="14"/>
      <c r="U9" s="14"/>
      <c r="V9" s="14"/>
      <c r="W9" s="15"/>
    </row>
    <row r="10" spans="1:23" x14ac:dyDescent="0.3">
      <c r="B10" s="1" t="s">
        <v>232</v>
      </c>
      <c r="C10" s="7">
        <v>0</v>
      </c>
      <c r="D10" s="1" t="s">
        <v>70</v>
      </c>
      <c r="E10" s="9">
        <f>7503+3355</f>
        <v>10858</v>
      </c>
      <c r="F10" s="4" t="s">
        <v>305</v>
      </c>
      <c r="K10" s="12"/>
      <c r="L10" s="13"/>
      <c r="M10" s="13"/>
      <c r="N10" s="12"/>
      <c r="O10" s="14"/>
      <c r="P10" s="14"/>
      <c r="Q10" s="14"/>
      <c r="R10" s="14"/>
      <c r="S10" s="14"/>
      <c r="T10" s="14"/>
      <c r="U10" s="14"/>
      <c r="V10" s="14"/>
      <c r="W10" s="15"/>
    </row>
    <row r="11" spans="1:23" x14ac:dyDescent="0.3">
      <c r="B11" s="1" t="s">
        <v>67</v>
      </c>
      <c r="C11" s="7">
        <v>0</v>
      </c>
      <c r="D11" s="1" t="s">
        <v>70</v>
      </c>
      <c r="E11" s="9">
        <f>11+21</f>
        <v>32</v>
      </c>
      <c r="F11" s="4" t="s">
        <v>305</v>
      </c>
      <c r="K11" s="12"/>
      <c r="L11" s="13"/>
      <c r="M11" s="13"/>
      <c r="N11" s="12"/>
      <c r="O11" s="14"/>
      <c r="P11" s="14"/>
      <c r="Q11" s="14"/>
      <c r="R11" s="14"/>
      <c r="S11" s="14"/>
      <c r="T11" s="14"/>
      <c r="U11" s="14"/>
      <c r="V11" s="14"/>
      <c r="W11" s="15"/>
    </row>
    <row r="12" spans="1:23" x14ac:dyDescent="0.3">
      <c r="B12" s="1" t="s">
        <v>190</v>
      </c>
      <c r="C12" s="7">
        <v>0</v>
      </c>
      <c r="D12" s="1" t="s">
        <v>70</v>
      </c>
      <c r="E12" s="7">
        <f>3</f>
        <v>3</v>
      </c>
      <c r="F12" s="4" t="s">
        <v>305</v>
      </c>
      <c r="K12" s="12"/>
      <c r="L12" s="16"/>
      <c r="M12" s="13"/>
      <c r="N12" s="12"/>
      <c r="O12" s="14"/>
      <c r="P12" s="14"/>
      <c r="Q12" s="14"/>
      <c r="R12" s="14"/>
      <c r="S12" s="14"/>
      <c r="T12" s="14"/>
      <c r="U12" s="14"/>
      <c r="V12" s="14"/>
      <c r="W12" s="15"/>
    </row>
    <row r="13" spans="1:23" x14ac:dyDescent="0.3">
      <c r="B13" s="1" t="s">
        <v>74</v>
      </c>
      <c r="C13" s="7">
        <v>0</v>
      </c>
      <c r="D13" s="1" t="s">
        <v>70</v>
      </c>
      <c r="E13" s="7">
        <f>21</f>
        <v>21</v>
      </c>
      <c r="F13" s="4" t="s">
        <v>305</v>
      </c>
      <c r="K13" s="12"/>
      <c r="L13" s="16"/>
      <c r="M13" s="13"/>
      <c r="N13" s="12"/>
      <c r="O13" s="14"/>
      <c r="P13" s="14"/>
      <c r="Q13" s="14"/>
      <c r="R13" s="14"/>
      <c r="S13" s="14"/>
      <c r="T13" s="14"/>
      <c r="U13" s="14"/>
      <c r="V13" s="14"/>
      <c r="W13" s="15"/>
    </row>
    <row r="14" spans="1:23" x14ac:dyDescent="0.3">
      <c r="B14" s="1" t="s">
        <v>229</v>
      </c>
      <c r="C14" s="7">
        <v>0</v>
      </c>
      <c r="D14" s="1" t="s">
        <v>70</v>
      </c>
      <c r="E14" s="7">
        <f>50</f>
        <v>50</v>
      </c>
      <c r="F14" s="4" t="s">
        <v>305</v>
      </c>
      <c r="K14" s="12"/>
      <c r="L14" s="16"/>
      <c r="M14" s="13"/>
      <c r="N14" s="12"/>
      <c r="O14" s="14"/>
      <c r="P14" s="14"/>
      <c r="Q14" s="14"/>
      <c r="R14" s="14"/>
      <c r="S14" s="14"/>
      <c r="T14" s="14"/>
      <c r="U14" s="14"/>
      <c r="V14" s="14"/>
      <c r="W14" s="15"/>
    </row>
    <row r="15" spans="1:23" x14ac:dyDescent="0.3">
      <c r="B15" s="1" t="s">
        <v>249</v>
      </c>
      <c r="C15" s="7">
        <v>0</v>
      </c>
      <c r="D15" s="1" t="s">
        <v>70</v>
      </c>
      <c r="E15" s="7">
        <f>118</f>
        <v>118</v>
      </c>
      <c r="F15" s="4" t="s">
        <v>305</v>
      </c>
      <c r="K15" s="12"/>
      <c r="L15" s="16"/>
      <c r="M15" s="13"/>
      <c r="N15" s="12"/>
      <c r="O15" s="14"/>
      <c r="P15" s="14"/>
      <c r="Q15" s="14"/>
      <c r="R15" s="14"/>
      <c r="S15" s="14"/>
      <c r="T15" s="14"/>
      <c r="U15" s="14"/>
      <c r="V15" s="14"/>
      <c r="W15" s="15"/>
    </row>
    <row r="16" spans="1:23" x14ac:dyDescent="0.3">
      <c r="B16" s="1" t="s">
        <v>231</v>
      </c>
      <c r="C16" s="7">
        <v>0</v>
      </c>
      <c r="D16" s="1" t="s">
        <v>70</v>
      </c>
      <c r="E16" s="7">
        <f>75</f>
        <v>75</v>
      </c>
      <c r="F16" s="4" t="s">
        <v>305</v>
      </c>
      <c r="K16" s="12"/>
      <c r="L16" s="16"/>
      <c r="M16" s="13"/>
      <c r="N16" s="12"/>
      <c r="O16" s="14"/>
      <c r="P16" s="14"/>
      <c r="Q16" s="14"/>
      <c r="R16" s="14"/>
      <c r="S16" s="14"/>
      <c r="T16" s="14"/>
      <c r="U16" s="14"/>
      <c r="V16" s="14"/>
      <c r="W16" s="15"/>
    </row>
    <row r="17" spans="2:23" x14ac:dyDescent="0.3">
      <c r="B17" s="1" t="s">
        <v>228</v>
      </c>
      <c r="C17" s="7">
        <v>0</v>
      </c>
      <c r="D17" s="1" t="s">
        <v>70</v>
      </c>
      <c r="E17" s="7">
        <f>78</f>
        <v>78</v>
      </c>
      <c r="F17" s="4" t="s">
        <v>305</v>
      </c>
      <c r="K17" s="12"/>
      <c r="L17" s="16"/>
      <c r="M17" s="13"/>
      <c r="N17" s="12"/>
      <c r="O17" s="14"/>
      <c r="P17" s="14"/>
      <c r="Q17" s="14"/>
      <c r="R17" s="14"/>
      <c r="S17" s="14"/>
      <c r="T17" s="14"/>
      <c r="U17" s="14"/>
      <c r="V17" s="14"/>
      <c r="W17" s="15"/>
    </row>
    <row r="18" spans="2:23" x14ac:dyDescent="0.3">
      <c r="B18" s="1" t="s">
        <v>237</v>
      </c>
      <c r="C18" s="7">
        <v>0</v>
      </c>
      <c r="D18" s="1" t="s">
        <v>70</v>
      </c>
      <c r="E18" s="9">
        <f>107+119</f>
        <v>226</v>
      </c>
      <c r="F18" s="4" t="s">
        <v>305</v>
      </c>
      <c r="K18" s="12"/>
      <c r="L18" s="16"/>
      <c r="M18" s="13"/>
      <c r="N18" s="12"/>
      <c r="O18" s="14"/>
      <c r="P18" s="14"/>
      <c r="Q18" s="14"/>
      <c r="R18" s="14"/>
      <c r="S18" s="14"/>
      <c r="T18" s="14"/>
      <c r="U18" s="14"/>
      <c r="V18" s="14"/>
      <c r="W18" s="15"/>
    </row>
    <row r="19" spans="2:23" x14ac:dyDescent="0.3">
      <c r="B19" s="1" t="s">
        <v>246</v>
      </c>
      <c r="C19" s="7">
        <v>0</v>
      </c>
      <c r="D19" s="1" t="s">
        <v>70</v>
      </c>
      <c r="E19" s="7">
        <f>14</f>
        <v>14</v>
      </c>
      <c r="F19" s="4" t="s">
        <v>305</v>
      </c>
      <c r="K19" s="12"/>
      <c r="L19" s="16"/>
      <c r="M19" s="13"/>
      <c r="N19" s="12"/>
      <c r="O19" s="14"/>
      <c r="P19" s="14"/>
      <c r="Q19" s="14"/>
      <c r="R19" s="14"/>
      <c r="S19" s="14"/>
      <c r="T19" s="14"/>
      <c r="U19" s="14"/>
      <c r="V19" s="14"/>
      <c r="W19" s="15"/>
    </row>
    <row r="20" spans="2:23" x14ac:dyDescent="0.3">
      <c r="B20" s="1" t="s">
        <v>239</v>
      </c>
      <c r="C20" s="7">
        <v>0</v>
      </c>
      <c r="D20" s="1" t="s">
        <v>70</v>
      </c>
      <c r="E20" s="9">
        <f>88+111</f>
        <v>199</v>
      </c>
      <c r="F20" s="4" t="s">
        <v>305</v>
      </c>
      <c r="K20" s="12"/>
      <c r="L20" s="16"/>
      <c r="M20" s="13"/>
      <c r="N20" s="12"/>
      <c r="O20" s="14"/>
      <c r="P20" s="14"/>
      <c r="Q20" s="14"/>
      <c r="R20" s="14"/>
      <c r="S20" s="14"/>
      <c r="T20" s="14"/>
      <c r="U20" s="14"/>
      <c r="V20" s="14"/>
      <c r="W20" s="15"/>
    </row>
    <row r="21" spans="2:23" x14ac:dyDescent="0.3">
      <c r="B21" s="1" t="s">
        <v>76</v>
      </c>
      <c r="C21" s="7">
        <v>0</v>
      </c>
      <c r="D21" s="1" t="s">
        <v>70</v>
      </c>
      <c r="E21" s="9">
        <f>263+71</f>
        <v>334</v>
      </c>
      <c r="F21" s="4" t="s">
        <v>305</v>
      </c>
      <c r="K21" s="12"/>
      <c r="L21" s="13"/>
      <c r="M21" s="13"/>
      <c r="N21" s="12"/>
      <c r="O21" s="14"/>
      <c r="P21" s="14"/>
      <c r="Q21" s="14"/>
      <c r="R21" s="14"/>
      <c r="S21" s="14"/>
      <c r="T21" s="14"/>
      <c r="U21" s="14"/>
      <c r="V21" s="14"/>
      <c r="W21" s="15"/>
    </row>
    <row r="22" spans="2:23" x14ac:dyDescent="0.3">
      <c r="B22" s="1" t="s">
        <v>77</v>
      </c>
      <c r="C22" s="7">
        <v>0</v>
      </c>
      <c r="D22" s="1" t="s">
        <v>70</v>
      </c>
      <c r="E22" s="9">
        <f>1470+1133</f>
        <v>2603</v>
      </c>
      <c r="F22" s="4" t="s">
        <v>305</v>
      </c>
      <c r="K22" s="12"/>
      <c r="L22" s="13"/>
      <c r="M22" s="13"/>
      <c r="N22" s="12"/>
      <c r="O22" s="14"/>
      <c r="P22" s="14"/>
      <c r="Q22" s="14"/>
      <c r="R22" s="14"/>
      <c r="S22" s="14"/>
      <c r="T22" s="14"/>
      <c r="U22" s="14"/>
      <c r="V22" s="14"/>
      <c r="W22" s="15"/>
    </row>
    <row r="23" spans="2:23" x14ac:dyDescent="0.3">
      <c r="B23" s="1" t="s">
        <v>252</v>
      </c>
      <c r="C23" s="7">
        <v>0</v>
      </c>
      <c r="D23" s="1" t="s">
        <v>70</v>
      </c>
      <c r="E23" s="9">
        <f>6+6</f>
        <v>12</v>
      </c>
      <c r="F23" s="4" t="s">
        <v>305</v>
      </c>
      <c r="K23" s="12"/>
      <c r="L23" s="13"/>
      <c r="M23" s="13"/>
      <c r="N23" s="12"/>
      <c r="O23" s="14"/>
      <c r="P23" s="14"/>
      <c r="Q23" s="14"/>
      <c r="R23" s="14"/>
      <c r="S23" s="14"/>
      <c r="T23" s="14"/>
      <c r="U23" s="14"/>
      <c r="V23" s="14"/>
      <c r="W23" s="15"/>
    </row>
    <row r="24" spans="2:23" x14ac:dyDescent="0.3">
      <c r="B24" s="1" t="s">
        <v>253</v>
      </c>
      <c r="C24" s="7">
        <v>0</v>
      </c>
      <c r="D24" s="1" t="s">
        <v>70</v>
      </c>
      <c r="E24" s="7">
        <f>2</f>
        <v>2</v>
      </c>
      <c r="F24" s="4" t="s">
        <v>305</v>
      </c>
      <c r="K24" s="12"/>
      <c r="L24" s="13"/>
      <c r="M24" s="13"/>
      <c r="N24" s="12"/>
      <c r="O24" s="14"/>
      <c r="P24" s="14"/>
      <c r="Q24" s="14"/>
      <c r="R24" s="14"/>
      <c r="S24" s="14"/>
      <c r="T24" s="14"/>
      <c r="U24" s="14"/>
      <c r="V24" s="14"/>
      <c r="W24" s="15"/>
    </row>
    <row r="25" spans="2:23" x14ac:dyDescent="0.3">
      <c r="B25" s="1" t="s">
        <v>254</v>
      </c>
      <c r="C25" s="7">
        <v>0</v>
      </c>
      <c r="D25" s="1" t="s">
        <v>70</v>
      </c>
      <c r="E25" s="9">
        <f>34008+15641</f>
        <v>49649</v>
      </c>
      <c r="F25" s="4" t="s">
        <v>305</v>
      </c>
      <c r="K25" s="12"/>
      <c r="L25" s="13"/>
      <c r="M25" s="13"/>
      <c r="N25" s="12"/>
      <c r="O25" s="14"/>
      <c r="P25" s="14"/>
      <c r="Q25" s="14"/>
      <c r="R25" s="14"/>
      <c r="S25" s="14"/>
      <c r="T25" s="14"/>
      <c r="U25" s="14"/>
      <c r="V25" s="14"/>
      <c r="W25" s="15"/>
    </row>
    <row r="26" spans="2:23" x14ac:dyDescent="0.3">
      <c r="B26" s="1" t="s">
        <v>79</v>
      </c>
      <c r="C26" s="7">
        <v>0</v>
      </c>
      <c r="D26" s="1" t="s">
        <v>70</v>
      </c>
      <c r="E26" s="7">
        <f>5</f>
        <v>5</v>
      </c>
      <c r="F26" s="4" t="s">
        <v>305</v>
      </c>
      <c r="K26" s="12"/>
      <c r="L26" s="13"/>
      <c r="M26" s="13"/>
      <c r="N26" s="12"/>
      <c r="O26" s="14"/>
      <c r="P26" s="14"/>
      <c r="Q26" s="14"/>
      <c r="R26" s="14"/>
      <c r="S26" s="14"/>
      <c r="T26" s="14"/>
      <c r="U26" s="14"/>
      <c r="V26" s="14"/>
      <c r="W26" s="15"/>
    </row>
    <row r="27" spans="2:23" x14ac:dyDescent="0.3">
      <c r="B27" s="1" t="s">
        <v>80</v>
      </c>
      <c r="C27" s="7">
        <v>0</v>
      </c>
      <c r="D27" s="1" t="s">
        <v>70</v>
      </c>
      <c r="E27" s="9">
        <f>940+684</f>
        <v>1624</v>
      </c>
      <c r="F27" s="4" t="s">
        <v>305</v>
      </c>
      <c r="K27" s="12"/>
      <c r="L27" s="13"/>
      <c r="M27" s="13"/>
      <c r="N27" s="12"/>
      <c r="O27" s="14"/>
      <c r="P27" s="14"/>
      <c r="Q27" s="14"/>
      <c r="R27" s="14"/>
      <c r="S27" s="14"/>
      <c r="T27" s="14"/>
      <c r="U27" s="14"/>
      <c r="V27" s="14"/>
      <c r="W27" s="15"/>
    </row>
    <row r="28" spans="2:23" x14ac:dyDescent="0.3">
      <c r="B28" s="1" t="s">
        <v>78</v>
      </c>
      <c r="C28" s="7">
        <v>0</v>
      </c>
      <c r="D28" s="1" t="s">
        <v>70</v>
      </c>
      <c r="E28" s="7">
        <f>297</f>
        <v>297</v>
      </c>
      <c r="F28" s="4" t="s">
        <v>305</v>
      </c>
      <c r="K28" s="12"/>
      <c r="L28" s="16"/>
      <c r="M28" s="13"/>
      <c r="N28" s="12"/>
      <c r="O28" s="14"/>
      <c r="P28" s="14"/>
      <c r="Q28" s="14"/>
      <c r="R28" s="14"/>
      <c r="S28" s="14"/>
      <c r="T28" s="14"/>
      <c r="U28" s="14"/>
      <c r="V28" s="14"/>
      <c r="W28" s="15"/>
    </row>
    <row r="29" spans="2:23" x14ac:dyDescent="0.3">
      <c r="B29" s="1" t="s">
        <v>243</v>
      </c>
      <c r="C29" s="7">
        <v>0</v>
      </c>
      <c r="D29" s="1" t="s">
        <v>70</v>
      </c>
      <c r="E29" s="7">
        <f>4</f>
        <v>4</v>
      </c>
      <c r="F29" s="4" t="s">
        <v>305</v>
      </c>
      <c r="K29" s="12"/>
      <c r="L29" s="16"/>
      <c r="M29" s="13"/>
      <c r="N29" s="12"/>
      <c r="O29" s="14"/>
      <c r="P29" s="14"/>
      <c r="Q29" s="14"/>
      <c r="R29" s="14"/>
      <c r="S29" s="14"/>
      <c r="T29" s="14"/>
      <c r="U29" s="14"/>
      <c r="V29" s="14"/>
      <c r="W29" s="15"/>
    </row>
    <row r="30" spans="2:23" x14ac:dyDescent="0.3">
      <c r="B30" s="1" t="s">
        <v>6</v>
      </c>
      <c r="C30" s="7">
        <v>0</v>
      </c>
      <c r="D30" s="1" t="s">
        <v>60</v>
      </c>
      <c r="E30" s="7">
        <f>6</f>
        <v>6</v>
      </c>
      <c r="F30" s="4" t="s">
        <v>305</v>
      </c>
      <c r="K30" s="12"/>
      <c r="L30" s="13"/>
      <c r="M30" s="13"/>
      <c r="N30" s="12"/>
      <c r="O30" s="14"/>
      <c r="P30" s="14"/>
      <c r="Q30" s="14"/>
      <c r="R30" s="14"/>
      <c r="S30" s="14"/>
      <c r="T30" s="14"/>
      <c r="U30" s="14"/>
      <c r="V30" s="14"/>
      <c r="W30" s="15"/>
    </row>
    <row r="31" spans="2:23" x14ac:dyDescent="0.3">
      <c r="B31" s="1" t="s">
        <v>9</v>
      </c>
      <c r="C31" s="7">
        <v>0</v>
      </c>
      <c r="D31" s="1" t="s">
        <v>60</v>
      </c>
      <c r="E31" s="7">
        <f>3</f>
        <v>3</v>
      </c>
      <c r="F31" s="4" t="s">
        <v>305</v>
      </c>
      <c r="K31" s="12"/>
      <c r="L31" s="16"/>
      <c r="M31" s="13"/>
      <c r="N31" s="12"/>
      <c r="O31" s="14"/>
      <c r="P31" s="14"/>
      <c r="Q31" s="14"/>
      <c r="R31" s="14"/>
      <c r="S31" s="14"/>
      <c r="T31" s="14"/>
      <c r="U31" s="14"/>
      <c r="V31" s="14"/>
      <c r="W31" s="15"/>
    </row>
    <row r="32" spans="2:23" x14ac:dyDescent="0.3">
      <c r="B32" s="1" t="s">
        <v>117</v>
      </c>
      <c r="C32" s="7">
        <v>0</v>
      </c>
      <c r="D32" s="1" t="s">
        <v>60</v>
      </c>
      <c r="E32" s="7">
        <f>28</f>
        <v>28</v>
      </c>
      <c r="F32" s="4" t="s">
        <v>305</v>
      </c>
      <c r="K32" s="12"/>
      <c r="L32" s="16"/>
      <c r="M32" s="13"/>
      <c r="N32" s="12"/>
      <c r="O32" s="14"/>
      <c r="P32" s="14"/>
      <c r="Q32" s="14"/>
      <c r="R32" s="14"/>
      <c r="S32" s="14"/>
      <c r="T32" s="14"/>
      <c r="U32" s="14"/>
      <c r="V32" s="14"/>
      <c r="W32" s="15"/>
    </row>
    <row r="33" spans="2:23" x14ac:dyDescent="0.3">
      <c r="B33" s="1" t="s">
        <v>115</v>
      </c>
      <c r="C33" s="7">
        <v>0</v>
      </c>
      <c r="D33" s="1" t="s">
        <v>60</v>
      </c>
      <c r="E33" s="7">
        <f>21</f>
        <v>21</v>
      </c>
      <c r="F33" s="4" t="s">
        <v>305</v>
      </c>
      <c r="K33" s="12"/>
      <c r="L33" s="16"/>
      <c r="M33" s="13"/>
      <c r="N33" s="12"/>
      <c r="O33" s="14"/>
      <c r="P33" s="14"/>
      <c r="Q33" s="14"/>
      <c r="R33" s="14"/>
      <c r="S33" s="14"/>
      <c r="T33" s="14"/>
      <c r="U33" s="14"/>
      <c r="V33" s="14"/>
      <c r="W33" s="15"/>
    </row>
    <row r="34" spans="2:23" x14ac:dyDescent="0.3">
      <c r="B34" s="1" t="s">
        <v>235</v>
      </c>
      <c r="C34" s="7">
        <v>500</v>
      </c>
      <c r="D34" s="1" t="s">
        <v>60</v>
      </c>
      <c r="E34" s="7" t="s">
        <v>305</v>
      </c>
      <c r="F34" s="4" t="s">
        <v>305</v>
      </c>
      <c r="K34" s="12"/>
      <c r="L34" s="16"/>
      <c r="M34" s="13"/>
      <c r="N34" s="12"/>
      <c r="O34" s="14"/>
      <c r="P34" s="14"/>
      <c r="Q34" s="14"/>
      <c r="R34" s="14"/>
      <c r="S34" s="14"/>
      <c r="T34" s="14"/>
      <c r="U34" s="14"/>
      <c r="V34" s="14"/>
      <c r="W34" s="15"/>
    </row>
    <row r="35" spans="2:23" x14ac:dyDescent="0.3">
      <c r="B35" s="1" t="s">
        <v>74</v>
      </c>
      <c r="C35" s="7">
        <v>0</v>
      </c>
      <c r="D35" s="1" t="s">
        <v>60</v>
      </c>
      <c r="E35" s="7">
        <f>90</f>
        <v>90</v>
      </c>
      <c r="F35" s="4" t="s">
        <v>305</v>
      </c>
      <c r="K35" s="12"/>
      <c r="L35" s="17"/>
      <c r="M35" s="13"/>
      <c r="N35" s="12"/>
      <c r="O35" s="14"/>
      <c r="P35" s="14"/>
      <c r="Q35" s="14"/>
      <c r="R35" s="14"/>
      <c r="S35" s="14"/>
      <c r="T35" s="14"/>
      <c r="U35" s="14"/>
      <c r="V35" s="14"/>
      <c r="W35" s="15"/>
    </row>
    <row r="36" spans="2:23" x14ac:dyDescent="0.3">
      <c r="B36" s="1" t="s">
        <v>238</v>
      </c>
      <c r="C36" s="7">
        <v>0</v>
      </c>
      <c r="D36" s="1" t="s">
        <v>60</v>
      </c>
      <c r="E36" s="7">
        <f>25</f>
        <v>25</v>
      </c>
      <c r="F36" s="4" t="s">
        <v>305</v>
      </c>
      <c r="K36" s="12"/>
      <c r="L36" s="16"/>
      <c r="M36" s="13"/>
      <c r="N36" s="12"/>
      <c r="O36" s="14"/>
      <c r="P36" s="14"/>
      <c r="Q36" s="14"/>
      <c r="R36" s="14"/>
      <c r="S36" s="14"/>
      <c r="T36" s="14"/>
      <c r="U36" s="14"/>
      <c r="V36" s="14"/>
      <c r="W36" s="15"/>
    </row>
    <row r="37" spans="2:23" x14ac:dyDescent="0.3">
      <c r="B37" s="1" t="s">
        <v>141</v>
      </c>
      <c r="C37" s="7">
        <v>3500</v>
      </c>
      <c r="D37" s="1" t="s">
        <v>63</v>
      </c>
      <c r="E37" s="7">
        <f>1</f>
        <v>1</v>
      </c>
      <c r="F37" s="4" t="s">
        <v>305</v>
      </c>
      <c r="K37" s="12"/>
      <c r="L37" s="16"/>
      <c r="M37" s="13"/>
      <c r="N37" s="12"/>
      <c r="O37" s="14"/>
      <c r="P37" s="14"/>
      <c r="Q37" s="14"/>
      <c r="R37" s="14"/>
      <c r="S37" s="14"/>
      <c r="T37" s="14"/>
      <c r="U37" s="14"/>
      <c r="V37" s="14"/>
      <c r="W37" s="15"/>
    </row>
    <row r="38" spans="2:23" x14ac:dyDescent="0.3">
      <c r="B38" s="1" t="s">
        <v>24</v>
      </c>
      <c r="C38" s="7">
        <v>3000</v>
      </c>
      <c r="D38" s="1" t="s">
        <v>63</v>
      </c>
      <c r="E38" s="9">
        <f>44734+273+220+21088</f>
        <v>66315</v>
      </c>
      <c r="F38" s="10">
        <f>117192034+727272+580851+55171331</f>
        <v>173671488</v>
      </c>
      <c r="K38" s="12"/>
      <c r="L38" s="13"/>
      <c r="M38" s="13"/>
      <c r="N38" s="12"/>
      <c r="O38" s="14"/>
      <c r="P38" s="14"/>
      <c r="Q38" s="14"/>
      <c r="R38" s="14"/>
      <c r="S38" s="14"/>
      <c r="T38" s="14"/>
      <c r="U38" s="14"/>
      <c r="V38" s="14"/>
      <c r="W38" s="15"/>
    </row>
    <row r="39" spans="2:23" x14ac:dyDescent="0.3">
      <c r="B39" s="1" t="s">
        <v>108</v>
      </c>
      <c r="C39" s="7">
        <v>3700</v>
      </c>
      <c r="D39" s="1" t="s">
        <v>63</v>
      </c>
      <c r="E39" s="9">
        <f>9348+18+9+4264</f>
        <v>13639</v>
      </c>
      <c r="F39" s="10">
        <f>31220124+60552+26912+14216900</f>
        <v>45524488</v>
      </c>
      <c r="K39" s="12"/>
      <c r="L39" s="13"/>
      <c r="M39" s="13"/>
      <c r="N39" s="12"/>
      <c r="O39" s="14"/>
      <c r="P39" s="14"/>
      <c r="Q39" s="14"/>
      <c r="R39" s="14"/>
      <c r="S39" s="14"/>
      <c r="T39" s="14"/>
      <c r="U39" s="14"/>
      <c r="V39" s="14"/>
      <c r="W39" s="15"/>
    </row>
    <row r="40" spans="2:23" x14ac:dyDescent="0.3">
      <c r="B40" s="1" t="s">
        <v>20</v>
      </c>
      <c r="C40" s="7">
        <v>3000</v>
      </c>
      <c r="D40" s="1" t="s">
        <v>61</v>
      </c>
      <c r="E40" s="9">
        <f>10822+5428</f>
        <v>16250</v>
      </c>
      <c r="F40" s="10">
        <f>28749372+14362386</f>
        <v>43111758</v>
      </c>
      <c r="K40" s="12"/>
      <c r="L40" s="16"/>
      <c r="M40" s="13"/>
      <c r="N40" s="12"/>
      <c r="O40" s="14"/>
      <c r="P40" s="14"/>
      <c r="Q40" s="14"/>
      <c r="R40" s="14"/>
      <c r="S40" s="14"/>
      <c r="T40" s="14"/>
      <c r="U40" s="14"/>
      <c r="V40" s="14"/>
      <c r="W40" s="15"/>
    </row>
    <row r="41" spans="2:23" x14ac:dyDescent="0.3">
      <c r="B41" s="1" t="s">
        <v>26</v>
      </c>
      <c r="C41" s="7">
        <v>3000</v>
      </c>
      <c r="D41" s="1" t="s">
        <v>63</v>
      </c>
      <c r="E41" s="9">
        <f>8085+34+6145</f>
        <v>14264</v>
      </c>
      <c r="F41" s="10">
        <f>21250790+89991+16067808</f>
        <v>37408589</v>
      </c>
      <c r="K41" s="12"/>
      <c r="L41" s="16"/>
      <c r="M41" s="13"/>
      <c r="N41" s="12"/>
      <c r="O41" s="14"/>
      <c r="P41" s="14"/>
      <c r="Q41" s="14"/>
      <c r="R41" s="14"/>
      <c r="S41" s="14"/>
      <c r="T41" s="14"/>
      <c r="U41" s="14"/>
      <c r="V41" s="14"/>
      <c r="W41" s="15"/>
    </row>
    <row r="42" spans="2:23" x14ac:dyDescent="0.3">
      <c r="B42" s="1" t="s">
        <v>42</v>
      </c>
      <c r="C42" s="7">
        <v>3300</v>
      </c>
      <c r="D42" s="1" t="s">
        <v>63</v>
      </c>
      <c r="E42" s="9">
        <f>7901+28+56+3851</f>
        <v>11836</v>
      </c>
      <c r="F42" s="10">
        <f>22437273+73182+165000+10983000</f>
        <v>33658455</v>
      </c>
      <c r="K42" s="12"/>
      <c r="L42" s="13"/>
      <c r="M42" s="16"/>
      <c r="N42" s="12"/>
      <c r="O42" s="14"/>
      <c r="P42" s="14"/>
      <c r="Q42" s="14"/>
      <c r="R42" s="14"/>
      <c r="S42" s="14"/>
      <c r="T42" s="14"/>
      <c r="U42" s="14"/>
      <c r="V42" s="14"/>
      <c r="W42" s="15"/>
    </row>
    <row r="43" spans="2:23" x14ac:dyDescent="0.3">
      <c r="B43" s="1" t="s">
        <v>21</v>
      </c>
      <c r="C43" s="7">
        <v>3500</v>
      </c>
      <c r="D43" s="1" t="s">
        <v>63</v>
      </c>
      <c r="E43" s="9">
        <f>5350+54+11+2573</f>
        <v>7988</v>
      </c>
      <c r="F43" s="10">
        <f>15887279+154728+31820+7741806</f>
        <v>23815633</v>
      </c>
      <c r="K43" s="12"/>
      <c r="L43" s="13"/>
      <c r="M43" s="13"/>
      <c r="N43" s="12"/>
      <c r="O43" s="14"/>
      <c r="P43" s="14"/>
      <c r="Q43" s="14"/>
      <c r="R43" s="14"/>
      <c r="S43" s="14"/>
      <c r="T43" s="14"/>
      <c r="U43" s="14"/>
      <c r="V43" s="14"/>
      <c r="W43" s="15"/>
    </row>
    <row r="44" spans="2:23" x14ac:dyDescent="0.3">
      <c r="B44" s="1" t="s">
        <v>41</v>
      </c>
      <c r="C44" s="7">
        <v>3300</v>
      </c>
      <c r="D44" s="1" t="s">
        <v>63</v>
      </c>
      <c r="E44" s="9">
        <f>4127+15+3591</f>
        <v>7733</v>
      </c>
      <c r="F44" s="10">
        <f>11615091+39000+10017000</f>
        <v>21671091</v>
      </c>
      <c r="K44" s="12"/>
      <c r="L44" s="16"/>
      <c r="M44" s="13"/>
      <c r="N44" s="12"/>
      <c r="O44" s="14"/>
      <c r="P44" s="14"/>
      <c r="Q44" s="14"/>
      <c r="R44" s="14"/>
      <c r="S44" s="14"/>
      <c r="T44" s="14"/>
      <c r="U44" s="14"/>
      <c r="V44" s="14"/>
      <c r="W44" s="15"/>
    </row>
    <row r="45" spans="2:23" x14ac:dyDescent="0.3">
      <c r="B45" s="1" t="s">
        <v>18</v>
      </c>
      <c r="C45" s="7">
        <v>3500</v>
      </c>
      <c r="D45" s="1" t="s">
        <v>63</v>
      </c>
      <c r="E45" s="9">
        <f>1482+1322</f>
        <v>2804</v>
      </c>
      <c r="F45" s="10">
        <f>4450462+3917042</f>
        <v>8367504</v>
      </c>
      <c r="K45" s="12"/>
      <c r="L45" s="16"/>
      <c r="M45" s="13"/>
      <c r="N45" s="12"/>
      <c r="O45" s="14"/>
      <c r="P45" s="14"/>
      <c r="Q45" s="14"/>
      <c r="R45" s="14"/>
      <c r="S45" s="14"/>
      <c r="T45" s="14"/>
      <c r="U45" s="14"/>
      <c r="V45" s="14"/>
      <c r="W45" s="15"/>
    </row>
    <row r="46" spans="2:23" x14ac:dyDescent="0.3">
      <c r="B46" s="1" t="s">
        <v>169</v>
      </c>
      <c r="C46" s="7">
        <v>3500</v>
      </c>
      <c r="D46" s="1" t="s">
        <v>61</v>
      </c>
      <c r="E46" s="9">
        <f>1477+2+2+786+96</f>
        <v>2363</v>
      </c>
      <c r="F46" s="10">
        <f>4633524+6364+6364+2419670+305455</f>
        <v>7371377</v>
      </c>
      <c r="K46" s="12"/>
      <c r="L46" s="16"/>
      <c r="M46" s="13"/>
      <c r="N46" s="12"/>
      <c r="O46" s="14"/>
      <c r="P46" s="14"/>
      <c r="Q46" s="14"/>
      <c r="R46" s="14"/>
      <c r="S46" s="14"/>
      <c r="T46" s="14"/>
      <c r="U46" s="14"/>
      <c r="V46" s="14"/>
      <c r="W46" s="15"/>
    </row>
    <row r="47" spans="2:23" x14ac:dyDescent="0.3">
      <c r="B47" s="1" t="s">
        <v>12</v>
      </c>
      <c r="C47" s="7">
        <v>3500</v>
      </c>
      <c r="D47" s="1" t="s">
        <v>61</v>
      </c>
      <c r="E47" s="9">
        <f>1323+1+743</f>
        <v>2067</v>
      </c>
      <c r="F47" s="10">
        <f>3990335+3364+2259220</f>
        <v>6252919</v>
      </c>
      <c r="K47" s="12"/>
      <c r="L47" s="13"/>
      <c r="M47" s="13"/>
      <c r="N47" s="12"/>
      <c r="O47" s="14"/>
      <c r="P47" s="14"/>
      <c r="Q47" s="14"/>
      <c r="R47" s="14"/>
      <c r="S47" s="14"/>
      <c r="T47" s="14"/>
      <c r="U47" s="14"/>
      <c r="V47" s="14"/>
      <c r="W47" s="15"/>
    </row>
    <row r="48" spans="2:23" x14ac:dyDescent="0.3">
      <c r="B48" s="1" t="s">
        <v>192</v>
      </c>
      <c r="C48" s="7">
        <v>2800</v>
      </c>
      <c r="D48" s="1" t="s">
        <v>64</v>
      </c>
      <c r="E48" s="9">
        <f>1514+4+833</f>
        <v>2351</v>
      </c>
      <c r="F48" s="10">
        <f>3830901+10180+2083578</f>
        <v>5924659</v>
      </c>
      <c r="K48" s="12"/>
      <c r="L48" s="13"/>
      <c r="M48" s="13"/>
      <c r="N48" s="12"/>
      <c r="O48" s="14"/>
      <c r="P48" s="14"/>
      <c r="Q48" s="14"/>
      <c r="R48" s="14"/>
      <c r="S48" s="14"/>
      <c r="T48" s="14"/>
      <c r="U48" s="14"/>
      <c r="V48" s="14"/>
      <c r="W48" s="15"/>
    </row>
    <row r="49" spans="2:23" x14ac:dyDescent="0.3">
      <c r="B49" s="1" t="s">
        <v>73</v>
      </c>
      <c r="C49" s="7">
        <v>500</v>
      </c>
      <c r="D49" s="1" t="s">
        <v>70</v>
      </c>
      <c r="E49" s="9">
        <f>8429+4423</f>
        <v>12852</v>
      </c>
      <c r="F49" s="10">
        <f>3768453+1972312</f>
        <v>5740765</v>
      </c>
      <c r="K49" s="12"/>
      <c r="L49" s="13"/>
      <c r="M49" s="13"/>
      <c r="N49" s="12"/>
      <c r="O49" s="14"/>
      <c r="P49" s="14"/>
      <c r="Q49" s="14"/>
      <c r="R49" s="14"/>
      <c r="S49" s="14"/>
      <c r="T49" s="14"/>
      <c r="U49" s="14"/>
      <c r="V49" s="14"/>
      <c r="W49" s="15"/>
    </row>
    <row r="50" spans="2:23" x14ac:dyDescent="0.3">
      <c r="B50" s="1" t="s">
        <v>40</v>
      </c>
      <c r="C50" s="7">
        <v>3500</v>
      </c>
      <c r="D50" s="1" t="s">
        <v>61</v>
      </c>
      <c r="E50" s="9">
        <f>1218+6+634+16</f>
        <v>1874</v>
      </c>
      <c r="F50" s="10">
        <f>3665457+16818+1896472+50909</f>
        <v>5629656</v>
      </c>
      <c r="K50" s="12"/>
      <c r="L50" s="13"/>
      <c r="M50" s="13"/>
      <c r="N50" s="12"/>
      <c r="O50" s="14"/>
      <c r="P50" s="14"/>
      <c r="Q50" s="14"/>
      <c r="R50" s="14"/>
      <c r="S50" s="14"/>
      <c r="T50" s="14"/>
      <c r="U50" s="14"/>
      <c r="V50" s="14"/>
      <c r="W50" s="15"/>
    </row>
    <row r="51" spans="2:23" x14ac:dyDescent="0.3">
      <c r="B51" s="1" t="s">
        <v>89</v>
      </c>
      <c r="C51" s="7">
        <v>3500</v>
      </c>
      <c r="D51" s="1" t="s">
        <v>63</v>
      </c>
      <c r="E51" s="9">
        <f>1255+10+22+1+4+456</f>
        <v>1748</v>
      </c>
      <c r="F51" s="10">
        <f>3771047+26909+66818+3182+12728+1361896</f>
        <v>5242580</v>
      </c>
      <c r="K51" s="12"/>
      <c r="L51" s="17"/>
      <c r="M51" s="13"/>
      <c r="N51" s="12"/>
      <c r="O51" s="14"/>
      <c r="P51" s="14"/>
      <c r="Q51" s="14"/>
      <c r="R51" s="14"/>
      <c r="S51" s="14"/>
      <c r="T51" s="14"/>
      <c r="U51" s="14"/>
      <c r="V51" s="14"/>
      <c r="W51" s="15"/>
    </row>
    <row r="52" spans="2:23" x14ac:dyDescent="0.3">
      <c r="B52" s="1" t="s">
        <v>191</v>
      </c>
      <c r="C52" s="7">
        <v>2700</v>
      </c>
      <c r="D52" s="1" t="s">
        <v>64</v>
      </c>
      <c r="E52" s="9">
        <f>1227+6+941</f>
        <v>2174</v>
      </c>
      <c r="F52" s="10">
        <f>2988918+14730+2216841</f>
        <v>5220489</v>
      </c>
      <c r="K52" s="12"/>
      <c r="L52" s="13"/>
      <c r="M52" s="16"/>
      <c r="N52" s="12"/>
      <c r="O52" s="14"/>
      <c r="P52" s="14"/>
      <c r="Q52" s="14"/>
      <c r="R52" s="14"/>
      <c r="S52" s="14"/>
      <c r="T52" s="14"/>
      <c r="U52" s="14"/>
      <c r="V52" s="14"/>
      <c r="W52" s="15"/>
    </row>
    <row r="53" spans="2:23" x14ac:dyDescent="0.3">
      <c r="B53" s="1" t="s">
        <v>194</v>
      </c>
      <c r="C53" s="7">
        <v>3500</v>
      </c>
      <c r="D53" s="1" t="s">
        <v>58</v>
      </c>
      <c r="E53" s="9">
        <f>1220+4+1+409</f>
        <v>1634</v>
      </c>
      <c r="F53" s="10">
        <f>3683638+12728+3182+1244703</f>
        <v>4944251</v>
      </c>
      <c r="K53" s="12"/>
      <c r="L53" s="13"/>
      <c r="M53" s="16"/>
      <c r="N53" s="12"/>
      <c r="O53" s="14"/>
      <c r="P53" s="14"/>
      <c r="Q53" s="14"/>
      <c r="R53" s="14"/>
      <c r="S53" s="14"/>
      <c r="T53" s="14"/>
      <c r="U53" s="14"/>
      <c r="V53" s="14"/>
      <c r="W53" s="15"/>
    </row>
    <row r="54" spans="2:23" x14ac:dyDescent="0.3">
      <c r="B54" s="1" t="s">
        <v>91</v>
      </c>
      <c r="C54" s="7">
        <v>3500</v>
      </c>
      <c r="D54" s="1" t="s">
        <v>63</v>
      </c>
      <c r="E54" s="9">
        <f>992+7+11+588</f>
        <v>1598</v>
      </c>
      <c r="F54" s="10">
        <f>2917729+20182+31820+1721462</f>
        <v>4691193</v>
      </c>
      <c r="K54" s="12"/>
      <c r="L54" s="13"/>
      <c r="M54" s="13"/>
      <c r="N54" s="12"/>
      <c r="O54" s="14"/>
      <c r="P54" s="14"/>
      <c r="Q54" s="14"/>
      <c r="R54" s="14"/>
      <c r="S54" s="14"/>
      <c r="T54" s="14"/>
      <c r="U54" s="14"/>
      <c r="V54" s="14"/>
      <c r="W54" s="15"/>
    </row>
    <row r="55" spans="2:23" x14ac:dyDescent="0.3">
      <c r="B55" s="1" t="s">
        <v>94</v>
      </c>
      <c r="C55" s="7">
        <v>4200</v>
      </c>
      <c r="D55" s="1" t="s">
        <v>63</v>
      </c>
      <c r="E55" s="9">
        <f>718+2+1+410</f>
        <v>1131</v>
      </c>
      <c r="F55" s="10">
        <f>2684544+7636+3818+1551424</f>
        <v>4247422</v>
      </c>
      <c r="K55" s="12"/>
      <c r="L55" s="13"/>
      <c r="M55" s="13"/>
      <c r="N55" s="12"/>
      <c r="O55" s="14"/>
      <c r="P55" s="14"/>
      <c r="Q55" s="14"/>
      <c r="R55" s="14"/>
      <c r="S55" s="14"/>
      <c r="T55" s="14"/>
      <c r="U55" s="14"/>
      <c r="V55" s="14"/>
      <c r="W55" s="15"/>
    </row>
    <row r="56" spans="2:23" x14ac:dyDescent="0.3">
      <c r="B56" s="1" t="s">
        <v>195</v>
      </c>
      <c r="C56" s="7">
        <v>3500</v>
      </c>
      <c r="D56" s="1" t="s">
        <v>59</v>
      </c>
      <c r="E56" s="9">
        <f>872+4+389</f>
        <v>1265</v>
      </c>
      <c r="F56" s="10">
        <f>2707729+12728+1184159</f>
        <v>3904616</v>
      </c>
      <c r="K56" s="12"/>
      <c r="L56" s="13"/>
      <c r="M56" s="13"/>
      <c r="N56" s="12"/>
      <c r="O56" s="14"/>
      <c r="P56" s="14"/>
      <c r="Q56" s="14"/>
      <c r="R56" s="14"/>
      <c r="S56" s="14"/>
      <c r="T56" s="14"/>
      <c r="U56" s="14"/>
      <c r="V56" s="14"/>
      <c r="W56" s="15"/>
    </row>
    <row r="57" spans="2:23" x14ac:dyDescent="0.3">
      <c r="B57" s="1" t="s">
        <v>178</v>
      </c>
      <c r="C57" s="7">
        <v>4000</v>
      </c>
      <c r="D57" s="1" t="s">
        <v>63</v>
      </c>
      <c r="E57" s="9">
        <f>746+3+3+336</f>
        <v>1088</v>
      </c>
      <c r="F57" s="10">
        <f>2659090+10909+10908+1203516</f>
        <v>3884423</v>
      </c>
      <c r="K57" s="12"/>
      <c r="L57" s="13"/>
      <c r="M57" s="16"/>
      <c r="N57" s="12"/>
      <c r="O57" s="14"/>
      <c r="P57" s="14"/>
      <c r="Q57" s="14"/>
      <c r="R57" s="14"/>
      <c r="S57" s="14"/>
      <c r="T57" s="14"/>
      <c r="U57" s="14"/>
      <c r="V57" s="14"/>
      <c r="W57" s="15"/>
    </row>
    <row r="58" spans="2:23" x14ac:dyDescent="0.3">
      <c r="B58" s="1" t="s">
        <v>47</v>
      </c>
      <c r="C58" s="7">
        <v>3300</v>
      </c>
      <c r="D58" s="1" t="s">
        <v>63</v>
      </c>
      <c r="E58" s="9">
        <f>747+566</f>
        <v>1313</v>
      </c>
      <c r="F58" s="10">
        <f>2170182+1650000</f>
        <v>3820182</v>
      </c>
      <c r="K58" s="12"/>
      <c r="L58" s="13"/>
      <c r="M58" s="16"/>
      <c r="N58" s="12"/>
      <c r="O58" s="14"/>
      <c r="P58" s="14"/>
      <c r="Q58" s="14"/>
      <c r="R58" s="14"/>
      <c r="S58" s="14"/>
      <c r="T58" s="14"/>
      <c r="U58" s="14"/>
      <c r="V58" s="14"/>
      <c r="W58" s="15"/>
    </row>
    <row r="59" spans="2:23" x14ac:dyDescent="0.3">
      <c r="B59" s="1" t="s">
        <v>14</v>
      </c>
      <c r="C59" s="7">
        <v>3500</v>
      </c>
      <c r="D59" s="1" t="s">
        <v>62</v>
      </c>
      <c r="E59" s="9">
        <f>639+602</f>
        <v>1241</v>
      </c>
      <c r="F59" s="10">
        <f>1935718+1839196</f>
        <v>3774914</v>
      </c>
      <c r="K59" s="12"/>
      <c r="L59" s="13"/>
      <c r="M59" s="16"/>
      <c r="N59" s="12"/>
      <c r="O59" s="14"/>
      <c r="P59" s="14"/>
      <c r="Q59" s="14"/>
      <c r="R59" s="14"/>
      <c r="S59" s="14"/>
      <c r="T59" s="14"/>
      <c r="U59" s="14"/>
      <c r="V59" s="14"/>
      <c r="W59" s="15"/>
    </row>
    <row r="60" spans="2:23" x14ac:dyDescent="0.3">
      <c r="B60" s="1" t="s">
        <v>13</v>
      </c>
      <c r="C60" s="7">
        <v>3800</v>
      </c>
      <c r="D60" s="1" t="s">
        <v>58</v>
      </c>
      <c r="E60" s="9">
        <f>829+6+326+1</f>
        <v>1162</v>
      </c>
      <c r="F60" s="10">
        <f>2632372+20730+1036500+3182</f>
        <v>3692784</v>
      </c>
      <c r="K60" s="12"/>
      <c r="L60" s="16"/>
      <c r="M60" s="16"/>
      <c r="N60" s="12"/>
      <c r="O60" s="14"/>
      <c r="P60" s="14"/>
      <c r="Q60" s="14"/>
      <c r="R60" s="14"/>
      <c r="S60" s="14"/>
      <c r="T60" s="14"/>
      <c r="U60" s="14"/>
      <c r="V60" s="14"/>
      <c r="W60" s="15"/>
    </row>
    <row r="61" spans="2:23" x14ac:dyDescent="0.3">
      <c r="B61" s="1" t="s">
        <v>45</v>
      </c>
      <c r="C61" s="7">
        <v>3500</v>
      </c>
      <c r="D61" s="1" t="s">
        <v>63</v>
      </c>
      <c r="E61" s="9">
        <f>849+3+1+349</f>
        <v>1202</v>
      </c>
      <c r="F61" s="10">
        <f>2510453+10091+3182+1034150</f>
        <v>3557876</v>
      </c>
      <c r="K61" s="12"/>
      <c r="L61" s="16"/>
      <c r="M61" s="13"/>
      <c r="N61" s="12"/>
      <c r="O61" s="14"/>
      <c r="P61" s="14"/>
      <c r="Q61" s="14"/>
      <c r="R61" s="14"/>
      <c r="S61" s="14"/>
      <c r="T61" s="14"/>
      <c r="U61" s="14"/>
      <c r="V61" s="14"/>
      <c r="W61" s="15"/>
    </row>
    <row r="62" spans="2:23" x14ac:dyDescent="0.3">
      <c r="B62" s="1" t="s">
        <v>225</v>
      </c>
      <c r="C62" s="7">
        <v>4000</v>
      </c>
      <c r="D62" s="1" t="s">
        <v>59</v>
      </c>
      <c r="E62" s="9">
        <f>777+1+7+259</f>
        <v>1044</v>
      </c>
      <c r="F62" s="10">
        <f>2596357+3636+25452+847188</f>
        <v>3472633</v>
      </c>
      <c r="K62" s="12"/>
      <c r="L62" s="16"/>
      <c r="M62" s="13"/>
      <c r="N62" s="12"/>
      <c r="O62" s="14"/>
      <c r="P62" s="14"/>
      <c r="Q62" s="14"/>
      <c r="R62" s="14"/>
      <c r="S62" s="14"/>
      <c r="T62" s="14"/>
      <c r="U62" s="14"/>
      <c r="V62" s="14"/>
      <c r="W62" s="15"/>
    </row>
    <row r="63" spans="2:23" x14ac:dyDescent="0.3">
      <c r="B63" s="1" t="s">
        <v>43</v>
      </c>
      <c r="C63" s="7">
        <v>3500</v>
      </c>
      <c r="D63" s="1" t="s">
        <v>62</v>
      </c>
      <c r="E63" s="9">
        <f>586+520</f>
        <v>1106</v>
      </c>
      <c r="F63" s="10">
        <f>1781822+1587818</f>
        <v>3369640</v>
      </c>
      <c r="K63" s="12"/>
      <c r="L63" s="16"/>
      <c r="M63" s="13"/>
      <c r="N63" s="12"/>
      <c r="O63" s="14"/>
      <c r="P63" s="14"/>
      <c r="Q63" s="14"/>
      <c r="R63" s="14"/>
      <c r="S63" s="14"/>
      <c r="T63" s="14"/>
      <c r="U63" s="14"/>
      <c r="V63" s="14"/>
      <c r="W63" s="15"/>
    </row>
    <row r="64" spans="2:23" x14ac:dyDescent="0.3">
      <c r="B64" s="21" t="s">
        <v>39</v>
      </c>
      <c r="C64" s="7">
        <v>3500</v>
      </c>
      <c r="D64" s="1" t="s">
        <v>61</v>
      </c>
      <c r="E64" s="9">
        <f>365+712+20</f>
        <v>1097</v>
      </c>
      <c r="F64" s="10">
        <f>1081819+2154214+60455</f>
        <v>3296488</v>
      </c>
      <c r="K64" s="12"/>
      <c r="L64" s="16"/>
      <c r="M64" s="13"/>
      <c r="N64" s="12"/>
      <c r="O64" s="14"/>
      <c r="P64" s="14"/>
      <c r="Q64" s="14"/>
      <c r="R64" s="14"/>
      <c r="S64" s="14"/>
      <c r="T64" s="14"/>
      <c r="U64" s="14"/>
      <c r="V64" s="14"/>
      <c r="W64" s="15"/>
    </row>
    <row r="65" spans="2:23" x14ac:dyDescent="0.3">
      <c r="B65" s="30" t="s">
        <v>193</v>
      </c>
      <c r="C65" s="7">
        <v>3500</v>
      </c>
      <c r="D65" s="1" t="s">
        <v>58</v>
      </c>
      <c r="E65" s="9">
        <f>827+3+240</f>
        <v>1070</v>
      </c>
      <c r="F65" s="10">
        <f>2545454+9546+738700</f>
        <v>3293700</v>
      </c>
      <c r="K65" s="12"/>
      <c r="L65" s="16"/>
      <c r="M65" s="13"/>
      <c r="N65" s="12"/>
      <c r="O65" s="14"/>
      <c r="P65" s="14"/>
      <c r="Q65" s="14"/>
      <c r="R65" s="14"/>
      <c r="S65" s="14"/>
      <c r="T65" s="14"/>
      <c r="U65" s="14"/>
      <c r="V65" s="14"/>
      <c r="W65" s="15"/>
    </row>
    <row r="66" spans="2:23" x14ac:dyDescent="0.3">
      <c r="B66" s="1" t="s">
        <v>10</v>
      </c>
      <c r="C66" s="7">
        <v>4000</v>
      </c>
      <c r="D66" s="1" t="s">
        <v>58</v>
      </c>
      <c r="E66" s="9">
        <f>665+2+1+273</f>
        <v>941</v>
      </c>
      <c r="F66" s="10">
        <f>2185451+7272+3636+865889</f>
        <v>3062248</v>
      </c>
      <c r="K66" s="12"/>
      <c r="L66" s="16"/>
      <c r="M66" s="13"/>
      <c r="N66" s="12"/>
      <c r="O66" s="14"/>
      <c r="P66" s="14"/>
      <c r="Q66" s="14"/>
      <c r="R66" s="14"/>
      <c r="S66" s="14"/>
      <c r="T66" s="14"/>
      <c r="U66" s="14"/>
      <c r="V66" s="14"/>
      <c r="W66" s="15"/>
    </row>
    <row r="67" spans="2:23" x14ac:dyDescent="0.3">
      <c r="B67" s="1" t="s">
        <v>206</v>
      </c>
      <c r="C67" s="7">
        <v>3800</v>
      </c>
      <c r="D67" s="1" t="s">
        <v>59</v>
      </c>
      <c r="E67" s="9">
        <f>705+6+221</f>
        <v>932</v>
      </c>
      <c r="F67" s="10">
        <f>2309279+20730+705547</f>
        <v>3035556</v>
      </c>
      <c r="K67" s="12"/>
      <c r="L67" s="17"/>
      <c r="M67" s="13"/>
      <c r="N67" s="12"/>
      <c r="O67" s="14"/>
      <c r="P67" s="14"/>
      <c r="Q67" s="14"/>
      <c r="R67" s="14"/>
      <c r="S67" s="14"/>
      <c r="T67" s="14"/>
      <c r="U67" s="14"/>
      <c r="V67" s="14"/>
      <c r="W67" s="15"/>
    </row>
    <row r="68" spans="2:23" x14ac:dyDescent="0.3">
      <c r="B68" s="29" t="s">
        <v>50</v>
      </c>
      <c r="C68" s="7">
        <v>3500</v>
      </c>
      <c r="D68" s="1" t="s">
        <v>61</v>
      </c>
      <c r="E68" s="9">
        <f>619+3+384</f>
        <v>1006</v>
      </c>
      <c r="F68" s="10">
        <f>1848637+7272+1126428</f>
        <v>2982337</v>
      </c>
      <c r="K68" s="12"/>
      <c r="L68" s="17"/>
      <c r="M68" s="13"/>
      <c r="N68" s="12"/>
      <c r="O68" s="14"/>
      <c r="P68" s="14"/>
      <c r="Q68" s="14"/>
      <c r="R68" s="14"/>
      <c r="S68" s="14"/>
      <c r="T68" s="14"/>
      <c r="U68" s="14"/>
      <c r="V68" s="14"/>
      <c r="W68" s="15"/>
    </row>
    <row r="69" spans="2:23" x14ac:dyDescent="0.3">
      <c r="B69" s="1" t="s">
        <v>48</v>
      </c>
      <c r="C69" s="7">
        <v>4300</v>
      </c>
      <c r="D69" s="1" t="s">
        <v>58</v>
      </c>
      <c r="E69" s="9">
        <f>575+4+1+315</f>
        <v>895</v>
      </c>
      <c r="F69" s="10">
        <f>1820162+15636+3909+986250</f>
        <v>2825957</v>
      </c>
      <c r="K69" s="12"/>
      <c r="L69" s="17"/>
      <c r="M69" s="13"/>
      <c r="N69" s="12"/>
      <c r="O69" s="14"/>
      <c r="P69" s="14"/>
      <c r="Q69" s="14"/>
      <c r="R69" s="14"/>
      <c r="S69" s="14"/>
      <c r="T69" s="14"/>
      <c r="U69" s="14"/>
      <c r="V69" s="14"/>
      <c r="W69" s="15"/>
    </row>
    <row r="70" spans="2:23" x14ac:dyDescent="0.3">
      <c r="B70" s="1" t="s">
        <v>90</v>
      </c>
      <c r="C70" s="7">
        <v>3500</v>
      </c>
      <c r="D70" s="1" t="s">
        <v>63</v>
      </c>
      <c r="E70" s="9">
        <f>504+1+422</f>
        <v>927</v>
      </c>
      <c r="F70" s="10">
        <f>1529549+3182+1253708</f>
        <v>2786439</v>
      </c>
      <c r="K70" s="12"/>
      <c r="L70" s="16"/>
      <c r="M70" s="13"/>
      <c r="N70" s="12"/>
      <c r="O70" s="14"/>
      <c r="P70" s="14"/>
      <c r="Q70" s="14"/>
      <c r="R70" s="14"/>
      <c r="S70" s="14"/>
      <c r="T70" s="14"/>
      <c r="U70" s="14"/>
      <c r="V70" s="14"/>
      <c r="W70" s="15"/>
    </row>
    <row r="71" spans="2:23" x14ac:dyDescent="0.3">
      <c r="B71" s="1" t="s">
        <v>7</v>
      </c>
      <c r="C71" s="7">
        <v>3500</v>
      </c>
      <c r="D71" s="1" t="s">
        <v>61</v>
      </c>
      <c r="E71" s="9">
        <f>462+437</f>
        <v>899</v>
      </c>
      <c r="F71" s="10">
        <f>1400002+1310984</f>
        <v>2710986</v>
      </c>
      <c r="K71" s="12"/>
      <c r="L71" s="16"/>
      <c r="M71" s="13"/>
      <c r="N71" s="12"/>
      <c r="O71" s="14"/>
      <c r="P71" s="14"/>
      <c r="Q71" s="14"/>
      <c r="R71" s="14"/>
      <c r="S71" s="14"/>
      <c r="T71" s="14"/>
      <c r="U71" s="14"/>
      <c r="V71" s="14"/>
      <c r="W71" s="15"/>
    </row>
    <row r="72" spans="2:23" x14ac:dyDescent="0.3">
      <c r="B72" s="1" t="s">
        <v>2</v>
      </c>
      <c r="C72" s="7">
        <v>3500</v>
      </c>
      <c r="D72" s="1" t="s">
        <v>61</v>
      </c>
      <c r="E72" s="9">
        <f>555+1+3+322+3</f>
        <v>884</v>
      </c>
      <c r="F72" s="10">
        <f>1654549+964328+9546+9545</f>
        <v>2637968</v>
      </c>
      <c r="K72" s="12"/>
      <c r="L72" s="16"/>
      <c r="M72" s="13"/>
      <c r="N72" s="12"/>
      <c r="O72" s="14"/>
      <c r="P72" s="14"/>
      <c r="Q72" s="14"/>
      <c r="R72" s="14"/>
      <c r="S72" s="14"/>
      <c r="T72" s="14"/>
      <c r="U72" s="14"/>
      <c r="V72" s="14"/>
      <c r="W72" s="15"/>
    </row>
    <row r="73" spans="2:23" x14ac:dyDescent="0.3">
      <c r="B73" s="1" t="s">
        <v>46</v>
      </c>
      <c r="C73" s="7">
        <v>3500</v>
      </c>
      <c r="D73" s="1" t="s">
        <v>63</v>
      </c>
      <c r="E73" s="9">
        <f>483+395</f>
        <v>878</v>
      </c>
      <c r="F73" s="10">
        <f>1427729+1142338</f>
        <v>2570067</v>
      </c>
      <c r="K73" s="12"/>
      <c r="L73" s="16"/>
      <c r="M73" s="13"/>
      <c r="N73" s="12"/>
      <c r="O73" s="14"/>
      <c r="P73" s="14"/>
      <c r="Q73" s="14"/>
      <c r="R73" s="14"/>
      <c r="S73" s="14"/>
      <c r="T73" s="14"/>
      <c r="U73" s="14"/>
      <c r="V73" s="14"/>
      <c r="W73" s="15"/>
    </row>
    <row r="74" spans="2:23" x14ac:dyDescent="0.3">
      <c r="B74" s="1" t="s">
        <v>11</v>
      </c>
      <c r="C74" s="7">
        <v>3500</v>
      </c>
      <c r="D74" s="1" t="s">
        <v>61</v>
      </c>
      <c r="E74" s="9">
        <f>379+460</f>
        <v>839</v>
      </c>
      <c r="F74" s="10">
        <f>1174094+1384170</f>
        <v>2558264</v>
      </c>
      <c r="K74" s="12"/>
      <c r="L74" s="16"/>
      <c r="M74" s="13"/>
      <c r="N74" s="12"/>
      <c r="O74" s="14"/>
      <c r="P74" s="14"/>
      <c r="Q74" s="14"/>
      <c r="R74" s="14"/>
      <c r="S74" s="14"/>
      <c r="T74" s="14"/>
      <c r="U74" s="14"/>
      <c r="V74" s="14"/>
      <c r="W74" s="15"/>
    </row>
    <row r="75" spans="2:23" x14ac:dyDescent="0.3">
      <c r="B75" s="1" t="s">
        <v>37</v>
      </c>
      <c r="C75" s="7">
        <v>4000</v>
      </c>
      <c r="D75" s="1" t="s">
        <v>62</v>
      </c>
      <c r="E75" s="9">
        <f>371+376</f>
        <v>747</v>
      </c>
      <c r="F75" s="10">
        <f>1283631+1243512</f>
        <v>2527143</v>
      </c>
      <c r="K75" s="12"/>
      <c r="L75" s="16"/>
      <c r="M75" s="13"/>
      <c r="N75" s="12"/>
      <c r="O75" s="14"/>
      <c r="P75" s="14"/>
      <c r="Q75" s="14"/>
      <c r="R75" s="14"/>
      <c r="S75" s="14"/>
      <c r="T75" s="14"/>
      <c r="U75" s="14"/>
      <c r="V75" s="14"/>
      <c r="W75" s="15"/>
    </row>
    <row r="76" spans="2:23" x14ac:dyDescent="0.3">
      <c r="B76" s="1" t="s">
        <v>23</v>
      </c>
      <c r="C76" s="7">
        <v>4000</v>
      </c>
      <c r="D76" s="1" t="s">
        <v>58</v>
      </c>
      <c r="E76" s="9">
        <f>520+243+2</f>
        <v>765</v>
      </c>
      <c r="F76" s="10">
        <f>1693908+774468+3636</f>
        <v>2472012</v>
      </c>
      <c r="K76" s="12"/>
      <c r="L76" s="16"/>
      <c r="M76" s="13"/>
      <c r="N76" s="12"/>
      <c r="O76" s="14"/>
      <c r="P76" s="14"/>
      <c r="Q76" s="14"/>
      <c r="R76" s="14"/>
      <c r="S76" s="14"/>
      <c r="T76" s="14"/>
      <c r="U76" s="14"/>
      <c r="V76" s="14"/>
      <c r="W76" s="15"/>
    </row>
    <row r="77" spans="2:23" x14ac:dyDescent="0.3">
      <c r="B77" s="1" t="s">
        <v>22</v>
      </c>
      <c r="C77" s="7">
        <v>3500</v>
      </c>
      <c r="D77" s="1" t="s">
        <v>58</v>
      </c>
      <c r="E77" s="9">
        <f>572+236</f>
        <v>808</v>
      </c>
      <c r="F77" s="10">
        <f>1746820+684317</f>
        <v>2431137</v>
      </c>
      <c r="K77" s="12"/>
      <c r="L77" s="16"/>
      <c r="M77" s="13"/>
      <c r="N77" s="12"/>
      <c r="O77" s="14"/>
      <c r="P77" s="14"/>
      <c r="Q77" s="14"/>
      <c r="R77" s="14"/>
      <c r="S77" s="14"/>
      <c r="T77" s="14"/>
      <c r="U77" s="14"/>
      <c r="V77" s="14"/>
      <c r="W77" s="15"/>
    </row>
    <row r="78" spans="2:23" x14ac:dyDescent="0.3">
      <c r="B78" s="1" t="s">
        <v>28</v>
      </c>
      <c r="C78" s="7">
        <v>3500</v>
      </c>
      <c r="D78" s="1" t="s">
        <v>61</v>
      </c>
      <c r="E78" s="9">
        <f>494+9+302</f>
        <v>805</v>
      </c>
      <c r="F78" s="10">
        <f>1460457+30272+906870</f>
        <v>2397599</v>
      </c>
      <c r="K78" s="12"/>
      <c r="L78" s="16"/>
      <c r="M78" s="13"/>
      <c r="N78" s="12"/>
      <c r="O78" s="14"/>
      <c r="P78" s="14"/>
      <c r="Q78" s="14"/>
      <c r="R78" s="14"/>
      <c r="S78" s="14"/>
      <c r="T78" s="14"/>
      <c r="U78" s="14"/>
      <c r="V78" s="14"/>
      <c r="W78" s="15"/>
    </row>
    <row r="79" spans="2:23" x14ac:dyDescent="0.3">
      <c r="B79" t="s">
        <v>301</v>
      </c>
      <c r="C79" s="19">
        <v>2862700</v>
      </c>
      <c r="D79" t="s">
        <v>60</v>
      </c>
      <c r="E79" s="8">
        <f>1</f>
        <v>1</v>
      </c>
      <c r="F79" s="5">
        <v>2342209</v>
      </c>
      <c r="K79" s="12"/>
      <c r="L79" s="16"/>
      <c r="M79" s="13"/>
      <c r="N79" s="12"/>
      <c r="O79" s="14"/>
      <c r="P79" s="14"/>
      <c r="Q79" s="14"/>
      <c r="R79" s="14"/>
      <c r="S79" s="14"/>
      <c r="T79" s="14"/>
      <c r="U79" s="14"/>
      <c r="V79" s="14"/>
      <c r="W79" s="15"/>
    </row>
    <row r="80" spans="2:23" x14ac:dyDescent="0.3">
      <c r="B80" t="s">
        <v>301</v>
      </c>
      <c r="C80" s="19">
        <v>2812000</v>
      </c>
      <c r="D80" t="s">
        <v>60</v>
      </c>
      <c r="E80" s="8">
        <f>1</f>
        <v>1</v>
      </c>
      <c r="F80" s="5">
        <v>2300727</v>
      </c>
      <c r="K80" s="12"/>
      <c r="L80" s="16"/>
      <c r="M80" s="13"/>
      <c r="N80" s="12"/>
      <c r="O80" s="14"/>
      <c r="P80" s="14"/>
      <c r="Q80" s="14"/>
      <c r="R80" s="14"/>
      <c r="S80" s="14"/>
      <c r="T80" s="14"/>
      <c r="U80" s="14"/>
      <c r="V80" s="14"/>
      <c r="W80" s="15"/>
    </row>
    <row r="81" spans="2:23" x14ac:dyDescent="0.3">
      <c r="B81" s="1" t="s">
        <v>217</v>
      </c>
      <c r="C81" s="7">
        <v>4300</v>
      </c>
      <c r="D81" s="1" t="s">
        <v>58</v>
      </c>
      <c r="E81" s="9">
        <f>478+2+209</f>
        <v>689</v>
      </c>
      <c r="F81" s="10">
        <f>1540173+7818+699711</f>
        <v>2247702</v>
      </c>
      <c r="K81" s="12"/>
      <c r="L81" s="16"/>
      <c r="M81" s="13"/>
      <c r="N81" s="12"/>
      <c r="O81" s="14"/>
      <c r="P81" s="14"/>
      <c r="Q81" s="14"/>
      <c r="R81" s="14"/>
      <c r="S81" s="14"/>
      <c r="T81" s="14"/>
      <c r="U81" s="14"/>
      <c r="V81" s="14"/>
      <c r="W81" s="15"/>
    </row>
    <row r="82" spans="2:23" x14ac:dyDescent="0.3">
      <c r="B82" s="1" t="s">
        <v>27</v>
      </c>
      <c r="C82" s="7">
        <v>3500</v>
      </c>
      <c r="D82" s="1" t="s">
        <v>61</v>
      </c>
      <c r="E82" s="9">
        <f>354+385</f>
        <v>739</v>
      </c>
      <c r="F82" s="10">
        <f>1062732+1155066</f>
        <v>2217798</v>
      </c>
      <c r="K82" s="12"/>
      <c r="L82" s="16"/>
      <c r="M82" s="13"/>
      <c r="N82" s="12"/>
      <c r="O82" s="14"/>
      <c r="P82" s="14"/>
      <c r="Q82" s="14"/>
      <c r="R82" s="14"/>
      <c r="S82" s="14"/>
      <c r="T82" s="14"/>
      <c r="U82" s="14"/>
      <c r="V82" s="14"/>
      <c r="W82" s="15"/>
    </row>
    <row r="83" spans="2:23" x14ac:dyDescent="0.3">
      <c r="B83" s="1" t="s">
        <v>214</v>
      </c>
      <c r="C83" s="7">
        <v>3500</v>
      </c>
      <c r="D83" s="1" t="s">
        <v>58</v>
      </c>
      <c r="E83" s="9">
        <f>526+198</f>
        <v>724</v>
      </c>
      <c r="F83" s="10">
        <f>1592274+585488</f>
        <v>2177762</v>
      </c>
      <c r="K83" s="12"/>
      <c r="L83" s="16"/>
      <c r="M83" s="13"/>
      <c r="N83" s="12"/>
      <c r="O83" s="14"/>
      <c r="P83" s="14"/>
      <c r="Q83" s="14"/>
      <c r="R83" s="14"/>
      <c r="S83" s="14"/>
      <c r="T83" s="14"/>
      <c r="U83" s="14"/>
      <c r="V83" s="14"/>
      <c r="W83" s="15"/>
    </row>
    <row r="84" spans="2:23" x14ac:dyDescent="0.3">
      <c r="B84" s="1" t="s">
        <v>204</v>
      </c>
      <c r="C84" s="7">
        <v>4000</v>
      </c>
      <c r="D84" s="1" t="s">
        <v>59</v>
      </c>
      <c r="E84" s="9">
        <f>481+2+166</f>
        <v>649</v>
      </c>
      <c r="F84" s="10">
        <f>1589998+7272+559944</f>
        <v>2157214</v>
      </c>
      <c r="K84" s="12"/>
      <c r="L84" s="16"/>
      <c r="M84" s="13"/>
      <c r="N84" s="12"/>
      <c r="O84" s="14"/>
      <c r="P84" s="14"/>
      <c r="Q84" s="14"/>
      <c r="R84" s="14"/>
      <c r="S84" s="14"/>
      <c r="T84" s="14"/>
      <c r="U84" s="14"/>
      <c r="V84" s="14"/>
      <c r="W84" s="15"/>
    </row>
    <row r="85" spans="2:23" x14ac:dyDescent="0.3">
      <c r="B85" t="s">
        <v>298</v>
      </c>
      <c r="C85" s="19">
        <v>3000</v>
      </c>
      <c r="D85" t="s">
        <v>60</v>
      </c>
      <c r="E85" s="8">
        <f>777</f>
        <v>777</v>
      </c>
      <c r="F85" s="5">
        <v>2118879</v>
      </c>
      <c r="K85" s="12"/>
      <c r="L85" s="16"/>
      <c r="M85" s="13"/>
      <c r="N85" s="12"/>
      <c r="O85" s="14"/>
      <c r="P85" s="14"/>
      <c r="Q85" s="14"/>
      <c r="R85" s="14"/>
      <c r="S85" s="14"/>
      <c r="T85" s="14"/>
      <c r="U85" s="14"/>
      <c r="V85" s="14"/>
      <c r="W85" s="15"/>
    </row>
    <row r="86" spans="2:23" x14ac:dyDescent="0.3">
      <c r="B86" s="1" t="s">
        <v>52</v>
      </c>
      <c r="C86" s="7">
        <v>4000</v>
      </c>
      <c r="D86" s="1" t="s">
        <v>58</v>
      </c>
      <c r="E86" s="9">
        <f>428+2+224</f>
        <v>654</v>
      </c>
      <c r="F86" s="10">
        <f>1363631+7272+719928</f>
        <v>2090831</v>
      </c>
      <c r="K86" s="12"/>
      <c r="L86" s="16"/>
      <c r="M86" s="13"/>
      <c r="N86" s="12"/>
      <c r="O86" s="14"/>
      <c r="P86" s="14"/>
      <c r="Q86" s="14"/>
      <c r="R86" s="14"/>
      <c r="S86" s="14"/>
      <c r="T86" s="14"/>
      <c r="U86" s="14"/>
      <c r="V86" s="14"/>
      <c r="W86" s="15"/>
    </row>
    <row r="87" spans="2:23" x14ac:dyDescent="0.3">
      <c r="B87" s="1" t="s">
        <v>33</v>
      </c>
      <c r="C87" s="7">
        <v>3500</v>
      </c>
      <c r="D87" s="1" t="s">
        <v>62</v>
      </c>
      <c r="E87" s="9">
        <f>369+1+294</f>
        <v>664</v>
      </c>
      <c r="F87" s="10">
        <f>1126368+3182+900506</f>
        <v>2030056</v>
      </c>
      <c r="K87" s="12"/>
      <c r="L87" s="16"/>
      <c r="M87" s="13"/>
      <c r="N87" s="12"/>
      <c r="O87" s="14"/>
      <c r="P87" s="14"/>
      <c r="Q87" s="14"/>
      <c r="R87" s="14"/>
      <c r="S87" s="14"/>
      <c r="T87" s="14"/>
      <c r="U87" s="14"/>
      <c r="V87" s="14"/>
      <c r="W87" s="15"/>
    </row>
    <row r="88" spans="2:23" x14ac:dyDescent="0.3">
      <c r="B88" s="1" t="s">
        <v>75</v>
      </c>
      <c r="C88" s="7">
        <v>2800</v>
      </c>
      <c r="D88" s="1" t="s">
        <v>64</v>
      </c>
      <c r="E88" s="9">
        <f>403+365</f>
        <v>768</v>
      </c>
      <c r="F88" s="10">
        <f>1023271+906020</f>
        <v>1929291</v>
      </c>
      <c r="K88" s="12"/>
      <c r="L88" s="16"/>
      <c r="M88" s="13"/>
      <c r="N88" s="12"/>
      <c r="O88" s="14"/>
      <c r="P88" s="14"/>
      <c r="Q88" s="14"/>
      <c r="R88" s="14"/>
      <c r="S88" s="14"/>
      <c r="T88" s="14"/>
      <c r="U88" s="14"/>
      <c r="V88" s="14"/>
      <c r="W88" s="15"/>
    </row>
    <row r="89" spans="2:23" x14ac:dyDescent="0.3">
      <c r="B89" s="1" t="s">
        <v>16</v>
      </c>
      <c r="C89" s="7">
        <v>4000</v>
      </c>
      <c r="D89" s="1" t="s">
        <v>58</v>
      </c>
      <c r="E89" s="9">
        <f>402+1+178</f>
        <v>581</v>
      </c>
      <c r="F89" s="10">
        <f>1323635+3636+578124</f>
        <v>1905395</v>
      </c>
      <c r="K89" s="12"/>
      <c r="L89" s="16"/>
      <c r="M89" s="13"/>
      <c r="N89" s="12"/>
      <c r="O89" s="14"/>
      <c r="P89" s="14"/>
      <c r="Q89" s="14"/>
      <c r="R89" s="14"/>
      <c r="S89" s="14"/>
      <c r="T89" s="14"/>
      <c r="U89" s="14"/>
      <c r="V89" s="14"/>
      <c r="W89" s="15"/>
    </row>
    <row r="90" spans="2:23" x14ac:dyDescent="0.3">
      <c r="B90" s="1" t="s">
        <v>83</v>
      </c>
      <c r="C90" s="7">
        <v>3500</v>
      </c>
      <c r="D90" s="1" t="s">
        <v>61</v>
      </c>
      <c r="E90" s="9">
        <f>482+2+160</f>
        <v>644</v>
      </c>
      <c r="F90" s="10">
        <f>1444545+6727+448662</f>
        <v>1899934</v>
      </c>
      <c r="K90" s="12"/>
      <c r="L90" s="16"/>
      <c r="M90" s="13"/>
      <c r="N90" s="12"/>
      <c r="O90" s="14"/>
      <c r="P90" s="14"/>
      <c r="Q90" s="14"/>
      <c r="R90" s="14"/>
      <c r="S90" s="14"/>
      <c r="T90" s="14"/>
      <c r="U90" s="14"/>
      <c r="V90" s="14"/>
      <c r="W90" s="15"/>
    </row>
    <row r="91" spans="2:23" x14ac:dyDescent="0.3">
      <c r="B91" s="1" t="s">
        <v>189</v>
      </c>
      <c r="C91" s="7">
        <v>2800</v>
      </c>
      <c r="D91" s="1" t="s">
        <v>64</v>
      </c>
      <c r="E91" s="9">
        <f>507+1+225</f>
        <v>733</v>
      </c>
      <c r="F91" s="10">
        <f>1280360+2545+559123</f>
        <v>1842028</v>
      </c>
      <c r="K91" s="12"/>
      <c r="L91" s="16"/>
      <c r="M91" s="13"/>
      <c r="N91" s="12"/>
      <c r="O91" s="14"/>
      <c r="P91" s="14"/>
      <c r="Q91" s="14"/>
      <c r="R91" s="14"/>
      <c r="S91" s="14"/>
      <c r="T91" s="14"/>
      <c r="U91" s="14"/>
      <c r="V91" s="14"/>
      <c r="W91" s="15"/>
    </row>
    <row r="92" spans="2:23" x14ac:dyDescent="0.3">
      <c r="B92" s="1" t="s">
        <v>188</v>
      </c>
      <c r="C92" s="7">
        <v>1800</v>
      </c>
      <c r="D92" s="1" t="s">
        <v>64</v>
      </c>
      <c r="E92" s="9">
        <f>761+348</f>
        <v>1109</v>
      </c>
      <c r="F92" s="10">
        <f>1243633+559512</f>
        <v>1803145</v>
      </c>
      <c r="K92" s="12"/>
      <c r="L92" s="16"/>
      <c r="M92" s="13"/>
      <c r="N92" s="12"/>
      <c r="O92" s="14"/>
      <c r="P92" s="14"/>
      <c r="Q92" s="14"/>
      <c r="R92" s="14"/>
      <c r="S92" s="14"/>
      <c r="T92" s="14"/>
      <c r="U92" s="14"/>
      <c r="V92" s="14"/>
      <c r="W92" s="15"/>
    </row>
    <row r="93" spans="2:23" x14ac:dyDescent="0.3">
      <c r="B93" s="18" t="s">
        <v>293</v>
      </c>
      <c r="C93" s="7">
        <v>3800</v>
      </c>
      <c r="D93" s="1" t="s">
        <v>58</v>
      </c>
      <c r="E93" s="9">
        <f>451+3+2+79</f>
        <v>535</v>
      </c>
      <c r="F93" s="10">
        <f>1499282+10365+6910+262580</f>
        <v>1779137</v>
      </c>
      <c r="K93" s="12"/>
      <c r="L93" s="16"/>
      <c r="M93" s="13"/>
      <c r="N93" s="12"/>
      <c r="O93" s="14"/>
      <c r="P93" s="14"/>
      <c r="Q93" s="14"/>
      <c r="R93" s="14"/>
      <c r="S93" s="14"/>
      <c r="T93" s="14"/>
      <c r="U93" s="14"/>
      <c r="V93" s="14"/>
      <c r="W93" s="15"/>
    </row>
    <row r="94" spans="2:23" x14ac:dyDescent="0.3">
      <c r="B94" s="1" t="s">
        <v>44</v>
      </c>
      <c r="C94" s="7">
        <v>3500</v>
      </c>
      <c r="D94" s="1" t="s">
        <v>62</v>
      </c>
      <c r="E94" s="9">
        <f>391+1+1+178</f>
        <v>571</v>
      </c>
      <c r="F94" s="10">
        <f>1193182+3182+3182+547304</f>
        <v>1746850</v>
      </c>
      <c r="K94" s="12"/>
      <c r="L94" s="16"/>
      <c r="M94" s="13"/>
      <c r="N94" s="12"/>
      <c r="O94" s="14"/>
      <c r="P94" s="14"/>
      <c r="Q94" s="14"/>
      <c r="R94" s="14"/>
      <c r="S94" s="14"/>
      <c r="T94" s="14"/>
      <c r="U94" s="14"/>
      <c r="V94" s="14"/>
      <c r="W94" s="15"/>
    </row>
    <row r="95" spans="2:23" x14ac:dyDescent="0.3">
      <c r="B95" s="1" t="s">
        <v>5</v>
      </c>
      <c r="C95" s="7">
        <v>3500</v>
      </c>
      <c r="D95" s="1" t="s">
        <v>61</v>
      </c>
      <c r="E95" s="9">
        <f>373+1+3+193</f>
        <v>570</v>
      </c>
      <c r="F95" s="10">
        <f>1139093+3636+9546+579124</f>
        <v>1731399</v>
      </c>
      <c r="K95" s="12"/>
      <c r="L95" s="16"/>
      <c r="M95" s="13"/>
      <c r="N95" s="12"/>
      <c r="O95" s="14"/>
      <c r="P95" s="14"/>
      <c r="Q95" s="14"/>
      <c r="R95" s="14"/>
      <c r="S95" s="14"/>
      <c r="T95" s="14"/>
      <c r="U95" s="14"/>
      <c r="V95" s="14"/>
      <c r="W95" s="15"/>
    </row>
    <row r="96" spans="2:23" x14ac:dyDescent="0.3">
      <c r="B96" s="1" t="s">
        <v>233</v>
      </c>
      <c r="C96" s="7">
        <v>500</v>
      </c>
      <c r="D96" s="1" t="s">
        <v>70</v>
      </c>
      <c r="E96" s="9">
        <f>2459+1371+5</f>
        <v>3835</v>
      </c>
      <c r="F96" s="10">
        <v>1697896</v>
      </c>
      <c r="K96" s="12"/>
      <c r="L96" s="16"/>
      <c r="M96" s="13"/>
      <c r="N96" s="12"/>
      <c r="O96" s="14"/>
      <c r="P96" s="14"/>
      <c r="Q96" s="14"/>
      <c r="R96" s="14"/>
      <c r="S96" s="14"/>
      <c r="T96" s="14"/>
      <c r="U96" s="14"/>
      <c r="V96" s="14"/>
      <c r="W96" s="15"/>
    </row>
    <row r="97" spans="2:23" x14ac:dyDescent="0.3">
      <c r="B97" s="1" t="s">
        <v>107</v>
      </c>
      <c r="C97" s="7">
        <v>4200</v>
      </c>
      <c r="D97" s="1" t="s">
        <v>63</v>
      </c>
      <c r="E97" s="9">
        <f>302+130</f>
        <v>432</v>
      </c>
      <c r="F97" s="10">
        <f>1137820+484886</f>
        <v>1622706</v>
      </c>
      <c r="K97" s="12"/>
      <c r="L97" s="16"/>
      <c r="M97" s="13"/>
      <c r="N97" s="12"/>
      <c r="O97" s="14"/>
      <c r="P97" s="14"/>
      <c r="Q97" s="14"/>
      <c r="R97" s="14"/>
      <c r="S97" s="14"/>
      <c r="T97" s="14"/>
      <c r="U97" s="14"/>
      <c r="V97" s="14"/>
      <c r="W97" s="15"/>
    </row>
    <row r="98" spans="2:23" x14ac:dyDescent="0.3">
      <c r="B98" s="1" t="s">
        <v>53</v>
      </c>
      <c r="C98" s="7">
        <v>3500</v>
      </c>
      <c r="D98" s="1" t="s">
        <v>62</v>
      </c>
      <c r="E98" s="9">
        <f>286+229</f>
        <v>515</v>
      </c>
      <c r="F98" s="10">
        <f>868638+680948</f>
        <v>1549586</v>
      </c>
      <c r="K98" s="12"/>
      <c r="L98" s="16"/>
      <c r="M98" s="13"/>
      <c r="N98" s="12"/>
      <c r="O98" s="14"/>
      <c r="P98" s="14"/>
      <c r="Q98" s="14"/>
      <c r="R98" s="14"/>
      <c r="S98" s="14"/>
      <c r="T98" s="14"/>
      <c r="U98" s="14"/>
      <c r="V98" s="14"/>
      <c r="W98" s="15"/>
    </row>
    <row r="99" spans="2:23" x14ac:dyDescent="0.3">
      <c r="B99" s="1" t="s">
        <v>82</v>
      </c>
      <c r="C99" s="7">
        <v>3500</v>
      </c>
      <c r="D99" s="1" t="s">
        <v>62</v>
      </c>
      <c r="E99" s="9">
        <f>344+3+157</f>
        <v>504</v>
      </c>
      <c r="F99" s="10">
        <f>1035589+9546+480482</f>
        <v>1525617</v>
      </c>
      <c r="K99" s="12"/>
      <c r="L99" s="16"/>
      <c r="M99" s="13"/>
      <c r="N99" s="12"/>
      <c r="O99" s="14"/>
      <c r="P99" s="14"/>
      <c r="Q99" s="14"/>
      <c r="R99" s="14"/>
      <c r="S99" s="14"/>
      <c r="T99" s="14"/>
      <c r="U99" s="14"/>
      <c r="V99" s="14"/>
      <c r="W99" s="15"/>
    </row>
    <row r="100" spans="2:23" x14ac:dyDescent="0.3">
      <c r="B100" s="1" t="s">
        <v>8</v>
      </c>
      <c r="C100" s="7">
        <v>3500</v>
      </c>
      <c r="D100" s="1" t="s">
        <v>61</v>
      </c>
      <c r="E100" s="9">
        <f>319+147+3</f>
        <v>469</v>
      </c>
      <c r="F100" s="10">
        <f>967277+439116+10091</f>
        <v>1416484</v>
      </c>
      <c r="K100" s="12"/>
      <c r="L100" s="16"/>
      <c r="M100" s="13"/>
      <c r="N100" s="12"/>
      <c r="O100" s="14"/>
      <c r="P100" s="14"/>
      <c r="Q100" s="14"/>
      <c r="R100" s="14"/>
      <c r="S100" s="14"/>
      <c r="T100" s="14"/>
      <c r="U100" s="14"/>
      <c r="V100" s="14"/>
      <c r="W100" s="15"/>
    </row>
    <row r="101" spans="2:23" x14ac:dyDescent="0.3">
      <c r="B101" s="1" t="s">
        <v>54</v>
      </c>
      <c r="C101" s="7">
        <v>3500</v>
      </c>
      <c r="D101" s="1" t="s">
        <v>62</v>
      </c>
      <c r="E101" s="9">
        <f>303+1+154</f>
        <v>458</v>
      </c>
      <c r="F101" s="10">
        <f>925911+477300</f>
        <v>1403211</v>
      </c>
      <c r="K101" s="12"/>
      <c r="L101" s="16"/>
      <c r="M101" s="13"/>
      <c r="N101" s="12"/>
      <c r="O101" s="14"/>
      <c r="P101" s="14"/>
      <c r="Q101" s="14"/>
      <c r="R101" s="14"/>
      <c r="S101" s="14"/>
      <c r="T101" s="14"/>
      <c r="U101" s="14"/>
      <c r="V101" s="14"/>
      <c r="W101" s="15"/>
    </row>
    <row r="102" spans="2:23" x14ac:dyDescent="0.3">
      <c r="B102" s="1" t="s">
        <v>81</v>
      </c>
      <c r="C102" s="7">
        <v>3500</v>
      </c>
      <c r="D102" s="1" t="s">
        <v>62</v>
      </c>
      <c r="E102" s="9">
        <f>224+227</f>
        <v>451</v>
      </c>
      <c r="F102" s="10">
        <f>684092+687312</f>
        <v>1371404</v>
      </c>
      <c r="K102" s="12"/>
      <c r="L102" s="16"/>
      <c r="M102" s="13"/>
      <c r="N102" s="12"/>
      <c r="O102" s="14"/>
      <c r="P102" s="14"/>
      <c r="Q102" s="14"/>
      <c r="R102" s="14"/>
      <c r="S102" s="14"/>
      <c r="T102" s="14"/>
      <c r="U102" s="14"/>
      <c r="V102" s="14"/>
      <c r="W102" s="15"/>
    </row>
    <row r="103" spans="2:23" x14ac:dyDescent="0.3">
      <c r="B103" s="1" t="s">
        <v>1</v>
      </c>
      <c r="C103" s="7">
        <v>3500</v>
      </c>
      <c r="D103" s="1" t="s">
        <v>61</v>
      </c>
      <c r="E103" s="9">
        <f>440+415</f>
        <v>855</v>
      </c>
      <c r="F103" s="4">
        <f>1293096</f>
        <v>1293096</v>
      </c>
      <c r="K103" s="12"/>
      <c r="L103" s="16"/>
      <c r="M103" s="13"/>
      <c r="N103" s="12"/>
      <c r="O103" s="14"/>
      <c r="P103" s="14"/>
      <c r="Q103" s="14"/>
      <c r="R103" s="14"/>
      <c r="S103" s="14"/>
      <c r="T103" s="14"/>
      <c r="U103" s="14"/>
      <c r="V103" s="14"/>
      <c r="W103" s="15"/>
    </row>
    <row r="104" spans="2:23" x14ac:dyDescent="0.3">
      <c r="B104" s="1" t="s">
        <v>51</v>
      </c>
      <c r="C104" s="7">
        <v>4000</v>
      </c>
      <c r="D104" s="1" t="s">
        <v>58</v>
      </c>
      <c r="E104" s="9">
        <f>313+7+80</f>
        <v>400</v>
      </c>
      <c r="F104" s="10">
        <f>1003635+21816+3636+261792</f>
        <v>1290879</v>
      </c>
      <c r="K104" s="12"/>
      <c r="L104" s="16"/>
      <c r="M104" s="13"/>
      <c r="N104" s="12"/>
      <c r="O104" s="14"/>
      <c r="P104" s="14"/>
      <c r="Q104" s="14"/>
      <c r="R104" s="14"/>
      <c r="S104" s="14"/>
      <c r="T104" s="14"/>
      <c r="U104" s="14"/>
      <c r="V104" s="14"/>
      <c r="W104" s="15"/>
    </row>
    <row r="105" spans="2:23" x14ac:dyDescent="0.3">
      <c r="B105" s="1" t="s">
        <v>49</v>
      </c>
      <c r="C105" s="7">
        <v>3500</v>
      </c>
      <c r="D105" s="1" t="s">
        <v>61</v>
      </c>
      <c r="E105" s="9">
        <f>205+1+229</f>
        <v>435</v>
      </c>
      <c r="F105" s="10">
        <f>575909+3636+690494</f>
        <v>1270039</v>
      </c>
      <c r="K105" s="12"/>
      <c r="L105" s="16"/>
      <c r="M105" s="13"/>
      <c r="N105" s="12"/>
      <c r="O105" s="14"/>
      <c r="P105" s="14"/>
      <c r="Q105" s="14"/>
      <c r="R105" s="14"/>
      <c r="S105" s="14"/>
      <c r="T105" s="14"/>
      <c r="U105" s="14"/>
      <c r="V105" s="14"/>
      <c r="W105" s="15"/>
    </row>
    <row r="106" spans="2:23" x14ac:dyDescent="0.3">
      <c r="B106" s="1" t="s">
        <v>202</v>
      </c>
      <c r="C106" s="7">
        <v>4000</v>
      </c>
      <c r="D106" s="1" t="s">
        <v>58</v>
      </c>
      <c r="E106" s="9">
        <f>269+4+109</f>
        <v>382</v>
      </c>
      <c r="F106" s="10">
        <f>901812+14544+341784</f>
        <v>1258140</v>
      </c>
      <c r="K106" s="12"/>
      <c r="L106" s="16"/>
      <c r="M106" s="13"/>
      <c r="N106" s="12"/>
      <c r="O106" s="14"/>
      <c r="P106" s="14"/>
      <c r="Q106" s="14"/>
      <c r="R106" s="14"/>
      <c r="S106" s="14"/>
      <c r="T106" s="14"/>
      <c r="U106" s="14"/>
      <c r="V106" s="14"/>
      <c r="W106" s="15"/>
    </row>
    <row r="107" spans="2:23" x14ac:dyDescent="0.3">
      <c r="B107" s="1" t="s">
        <v>118</v>
      </c>
      <c r="C107" s="7">
        <v>2800</v>
      </c>
      <c r="D107" s="1" t="s">
        <v>64</v>
      </c>
      <c r="E107" s="9">
        <f>305+191</f>
        <v>496</v>
      </c>
      <c r="F107" s="10">
        <f>771272+475915</f>
        <v>1247187</v>
      </c>
      <c r="K107" s="12"/>
      <c r="L107" s="16"/>
      <c r="M107" s="13"/>
      <c r="N107" s="12"/>
      <c r="O107" s="14"/>
      <c r="P107" s="14"/>
      <c r="Q107" s="14"/>
      <c r="R107" s="14"/>
      <c r="S107" s="14"/>
      <c r="T107" s="14"/>
      <c r="U107" s="14"/>
      <c r="V107" s="14"/>
      <c r="W107" s="15"/>
    </row>
    <row r="108" spans="2:23" x14ac:dyDescent="0.3">
      <c r="B108" t="s">
        <v>296</v>
      </c>
      <c r="C108" s="19">
        <v>2000</v>
      </c>
      <c r="D108" t="s">
        <v>60</v>
      </c>
      <c r="E108" s="8">
        <f>678</f>
        <v>678</v>
      </c>
      <c r="F108" s="5">
        <v>1232604</v>
      </c>
      <c r="K108" s="12"/>
      <c r="L108" s="16"/>
      <c r="M108" s="13"/>
      <c r="N108" s="12"/>
      <c r="O108" s="14"/>
      <c r="P108" s="14"/>
      <c r="Q108" s="14"/>
      <c r="R108" s="14"/>
      <c r="S108" s="14"/>
      <c r="T108" s="14"/>
      <c r="U108" s="14"/>
      <c r="V108" s="14"/>
      <c r="W108" s="15"/>
    </row>
    <row r="109" spans="2:23" x14ac:dyDescent="0.3">
      <c r="B109" s="1" t="s">
        <v>88</v>
      </c>
      <c r="C109" s="7">
        <v>3500</v>
      </c>
      <c r="D109" s="1" t="s">
        <v>63</v>
      </c>
      <c r="E109" s="7">
        <f>398</f>
        <v>398</v>
      </c>
      <c r="F109" s="4">
        <v>1218640</v>
      </c>
      <c r="K109" s="12"/>
      <c r="L109" s="16"/>
      <c r="M109" s="13"/>
      <c r="N109" s="12"/>
      <c r="O109" s="14"/>
      <c r="P109" s="14"/>
      <c r="Q109" s="14"/>
      <c r="R109" s="14"/>
      <c r="S109" s="14"/>
      <c r="T109" s="14"/>
      <c r="U109" s="14"/>
      <c r="V109" s="14"/>
      <c r="W109" s="15"/>
    </row>
    <row r="110" spans="2:23" x14ac:dyDescent="0.3">
      <c r="B110" s="1" t="s">
        <v>257</v>
      </c>
      <c r="C110" s="7">
        <v>2700</v>
      </c>
      <c r="D110" s="1" t="s">
        <v>64</v>
      </c>
      <c r="E110" s="9">
        <f>289+2+217</f>
        <v>508</v>
      </c>
      <c r="F110" s="10">
        <f>684823+4910+500820</f>
        <v>1190553</v>
      </c>
      <c r="K110" s="12"/>
      <c r="L110" s="17"/>
      <c r="M110" s="13"/>
      <c r="N110" s="12"/>
      <c r="O110" s="14"/>
      <c r="P110" s="14"/>
      <c r="Q110" s="14"/>
      <c r="R110" s="14"/>
      <c r="S110" s="14"/>
      <c r="T110" s="14"/>
      <c r="U110" s="14"/>
      <c r="V110" s="14"/>
      <c r="W110" s="15"/>
    </row>
    <row r="111" spans="2:23" x14ac:dyDescent="0.3">
      <c r="B111" s="1" t="s">
        <v>224</v>
      </c>
      <c r="C111" s="7">
        <v>3500</v>
      </c>
      <c r="D111" s="1" t="s">
        <v>59</v>
      </c>
      <c r="E111" s="9">
        <f>276+3+101</f>
        <v>380</v>
      </c>
      <c r="F111" s="10">
        <f>841817+9546+289562</f>
        <v>1140925</v>
      </c>
      <c r="K111" s="12"/>
      <c r="L111" s="16"/>
      <c r="M111" s="13"/>
      <c r="N111" s="12"/>
      <c r="O111" s="14"/>
      <c r="P111" s="14"/>
      <c r="Q111" s="14"/>
      <c r="R111" s="14"/>
      <c r="S111" s="14"/>
      <c r="T111" s="14"/>
      <c r="U111" s="14"/>
      <c r="V111" s="14"/>
      <c r="W111" s="15"/>
    </row>
    <row r="112" spans="2:23" x14ac:dyDescent="0.3">
      <c r="B112" s="1" t="s">
        <v>258</v>
      </c>
      <c r="C112" s="7">
        <v>2700</v>
      </c>
      <c r="D112" s="1" t="s">
        <v>64</v>
      </c>
      <c r="E112" s="9">
        <f>349+91</f>
        <v>440</v>
      </c>
      <c r="F112" s="10">
        <f>847274+206220</f>
        <v>1053494</v>
      </c>
      <c r="K112" s="12"/>
      <c r="L112" s="17"/>
      <c r="M112" s="13"/>
      <c r="N112" s="12"/>
      <c r="O112" s="14"/>
      <c r="P112" s="14"/>
      <c r="Q112" s="14"/>
      <c r="R112" s="14"/>
      <c r="S112" s="14"/>
      <c r="T112" s="14"/>
      <c r="U112" s="14"/>
      <c r="V112" s="14"/>
      <c r="W112" s="15"/>
    </row>
    <row r="113" spans="2:23" x14ac:dyDescent="0.3">
      <c r="B113" s="1" t="s">
        <v>135</v>
      </c>
      <c r="C113" s="7">
        <v>2800</v>
      </c>
      <c r="D113" s="1" t="s">
        <v>64</v>
      </c>
      <c r="E113" s="9">
        <f>243+162</f>
        <v>405</v>
      </c>
      <c r="F113" s="10">
        <f>613454+407200</f>
        <v>1020654</v>
      </c>
      <c r="K113" s="12"/>
      <c r="L113" s="16"/>
      <c r="M113" s="13"/>
      <c r="N113" s="12"/>
      <c r="O113" s="14"/>
      <c r="P113" s="14"/>
      <c r="Q113" s="14"/>
      <c r="R113" s="14"/>
      <c r="S113" s="14"/>
      <c r="T113" s="14"/>
      <c r="U113" s="14"/>
      <c r="V113" s="14"/>
      <c r="W113" s="15"/>
    </row>
    <row r="114" spans="2:23" x14ac:dyDescent="0.3">
      <c r="B114" s="1" t="s">
        <v>87</v>
      </c>
      <c r="C114" s="7">
        <v>3500</v>
      </c>
      <c r="D114" s="1" t="s">
        <v>63</v>
      </c>
      <c r="E114" s="9">
        <f>6+1+339</f>
        <v>346</v>
      </c>
      <c r="F114" s="10">
        <f>19091+3182+992784</f>
        <v>1015057</v>
      </c>
      <c r="K114" s="12"/>
      <c r="L114" s="17"/>
      <c r="M114" s="13"/>
      <c r="N114" s="12"/>
      <c r="O114" s="14"/>
      <c r="P114" s="14"/>
      <c r="Q114" s="14"/>
      <c r="R114" s="14"/>
      <c r="S114" s="14"/>
      <c r="T114" s="14"/>
      <c r="U114" s="14"/>
      <c r="V114" s="14"/>
      <c r="W114" s="15"/>
    </row>
    <row r="115" spans="2:23" x14ac:dyDescent="0.3">
      <c r="B115" s="1" t="s">
        <v>200</v>
      </c>
      <c r="C115" s="7">
        <v>3800</v>
      </c>
      <c r="D115" s="1" t="s">
        <v>59</v>
      </c>
      <c r="E115" s="9">
        <f>239+4+60</f>
        <v>303</v>
      </c>
      <c r="F115" s="10">
        <f>794554+13820+193480</f>
        <v>1001854</v>
      </c>
      <c r="K115" s="12"/>
      <c r="L115" s="16"/>
      <c r="M115" s="13"/>
      <c r="N115" s="12"/>
      <c r="O115" s="14"/>
      <c r="P115" s="14"/>
      <c r="Q115" s="14"/>
      <c r="R115" s="14"/>
      <c r="S115" s="14"/>
      <c r="T115" s="14"/>
      <c r="U115" s="14"/>
      <c r="V115" s="14"/>
      <c r="W115" s="15"/>
    </row>
    <row r="116" spans="2:23" x14ac:dyDescent="0.3">
      <c r="B116" s="1" t="s">
        <v>110</v>
      </c>
      <c r="C116" s="7">
        <v>4200</v>
      </c>
      <c r="D116" s="1" t="s">
        <v>63</v>
      </c>
      <c r="E116" s="9">
        <f>115+6+1+141</f>
        <v>263</v>
      </c>
      <c r="F116" s="10">
        <f>432090+22909+3818+538338</f>
        <v>997155</v>
      </c>
      <c r="K116" s="12"/>
      <c r="L116" s="17"/>
      <c r="M116" s="13"/>
      <c r="N116" s="12"/>
      <c r="O116" s="14"/>
      <c r="P116" s="14"/>
      <c r="Q116" s="14"/>
      <c r="R116" s="14"/>
      <c r="S116" s="14"/>
      <c r="T116" s="14"/>
      <c r="U116" s="14"/>
      <c r="V116" s="14"/>
      <c r="W116" s="15"/>
    </row>
    <row r="117" spans="2:23" x14ac:dyDescent="0.3">
      <c r="B117" s="1" t="s">
        <v>15</v>
      </c>
      <c r="C117" s="7">
        <v>3500</v>
      </c>
      <c r="D117" s="1" t="s">
        <v>62</v>
      </c>
      <c r="E117" s="9">
        <f>217+108</f>
        <v>325</v>
      </c>
      <c r="F117" s="10">
        <f>658642+337292</f>
        <v>995934</v>
      </c>
      <c r="K117" s="12"/>
      <c r="L117" s="16"/>
      <c r="M117" s="13"/>
      <c r="N117" s="12"/>
      <c r="O117" s="14"/>
      <c r="P117" s="14"/>
      <c r="Q117" s="14"/>
      <c r="R117" s="14"/>
      <c r="S117" s="14"/>
      <c r="T117" s="14"/>
      <c r="U117" s="14"/>
      <c r="V117" s="14"/>
      <c r="W117" s="15"/>
    </row>
    <row r="118" spans="2:23" x14ac:dyDescent="0.3">
      <c r="B118" t="s">
        <v>301</v>
      </c>
      <c r="C118" s="19">
        <v>1216300</v>
      </c>
      <c r="D118" t="s">
        <v>60</v>
      </c>
      <c r="E118" s="8">
        <f>1</f>
        <v>1</v>
      </c>
      <c r="F118" s="5">
        <v>995155</v>
      </c>
      <c r="K118" s="12"/>
      <c r="L118" s="17"/>
      <c r="M118" s="13"/>
      <c r="N118" s="12"/>
      <c r="O118" s="14"/>
      <c r="P118" s="14"/>
      <c r="Q118" s="14"/>
      <c r="R118" s="14"/>
      <c r="S118" s="14"/>
      <c r="T118" s="14"/>
      <c r="U118" s="14"/>
      <c r="V118" s="14"/>
      <c r="W118" s="15"/>
    </row>
    <row r="119" spans="2:23" x14ac:dyDescent="0.3">
      <c r="B119" s="1" t="s">
        <v>32</v>
      </c>
      <c r="C119" s="7">
        <v>4000</v>
      </c>
      <c r="D119" s="1" t="s">
        <v>58</v>
      </c>
      <c r="E119" s="9">
        <f>209+1+94</f>
        <v>304</v>
      </c>
      <c r="F119" s="10">
        <f>672725+3636+287244</f>
        <v>963605</v>
      </c>
      <c r="K119" s="12"/>
      <c r="L119" s="16"/>
      <c r="M119" s="13"/>
      <c r="N119" s="12"/>
      <c r="O119" s="14"/>
      <c r="P119" s="14"/>
      <c r="Q119" s="14"/>
      <c r="R119" s="14"/>
      <c r="S119" s="14"/>
      <c r="T119" s="14"/>
      <c r="U119" s="14"/>
      <c r="V119" s="14"/>
      <c r="W119" s="15"/>
    </row>
    <row r="120" spans="2:23" x14ac:dyDescent="0.3">
      <c r="B120" s="1" t="s">
        <v>175</v>
      </c>
      <c r="C120" s="7">
        <v>4200</v>
      </c>
      <c r="D120" s="1" t="s">
        <v>61</v>
      </c>
      <c r="E120" s="9">
        <f>167+2+82</f>
        <v>251</v>
      </c>
      <c r="F120" s="10">
        <f>629996+7272+313076</f>
        <v>950344</v>
      </c>
      <c r="K120" s="12"/>
      <c r="L120" s="17"/>
      <c r="M120" s="13"/>
      <c r="N120" s="12"/>
      <c r="O120" s="14"/>
      <c r="P120" s="14"/>
      <c r="Q120" s="14"/>
      <c r="R120" s="14"/>
      <c r="S120" s="14"/>
      <c r="T120" s="14"/>
      <c r="U120" s="14"/>
      <c r="V120" s="14"/>
      <c r="W120" s="15"/>
    </row>
    <row r="121" spans="2:23" x14ac:dyDescent="0.3">
      <c r="B121" s="1" t="s">
        <v>38</v>
      </c>
      <c r="C121" s="7">
        <v>4000</v>
      </c>
      <c r="D121" s="1" t="s">
        <v>62</v>
      </c>
      <c r="E121" s="9">
        <f>203+70</f>
        <v>273</v>
      </c>
      <c r="F121" s="10">
        <f>719997+222705</f>
        <v>942702</v>
      </c>
      <c r="K121" s="12"/>
      <c r="L121" s="16"/>
      <c r="M121" s="13"/>
      <c r="N121" s="12"/>
      <c r="O121" s="14"/>
      <c r="P121" s="14"/>
      <c r="Q121" s="14"/>
      <c r="R121" s="14"/>
      <c r="S121" s="14"/>
      <c r="T121" s="14"/>
      <c r="U121" s="14"/>
      <c r="V121" s="14"/>
      <c r="W121" s="15"/>
    </row>
    <row r="122" spans="2:23" x14ac:dyDescent="0.3">
      <c r="B122" t="s">
        <v>301</v>
      </c>
      <c r="C122" s="19">
        <v>1111400</v>
      </c>
      <c r="D122" t="s">
        <v>60</v>
      </c>
      <c r="E122" s="8">
        <f>1</f>
        <v>1</v>
      </c>
      <c r="F122" s="5">
        <v>909327</v>
      </c>
      <c r="K122" s="12"/>
      <c r="L122" s="17"/>
      <c r="M122" s="13"/>
      <c r="N122" s="12"/>
      <c r="O122" s="14"/>
      <c r="P122" s="14"/>
      <c r="Q122" s="14"/>
      <c r="R122" s="14"/>
      <c r="S122" s="14"/>
      <c r="T122" s="14"/>
      <c r="U122" s="14"/>
      <c r="V122" s="14"/>
      <c r="W122" s="15"/>
    </row>
    <row r="123" spans="2:23" x14ac:dyDescent="0.3">
      <c r="B123" s="1" t="s">
        <v>220</v>
      </c>
      <c r="C123" s="7">
        <v>4000</v>
      </c>
      <c r="D123" s="1" t="s">
        <v>58</v>
      </c>
      <c r="E123" s="9">
        <f>168+1+89</f>
        <v>258</v>
      </c>
      <c r="F123" s="10">
        <f>596361+3636+305424</f>
        <v>905421</v>
      </c>
      <c r="K123" s="12"/>
      <c r="L123" s="17"/>
      <c r="M123" s="13"/>
      <c r="N123" s="12"/>
      <c r="O123" s="14"/>
      <c r="P123" s="14"/>
      <c r="Q123" s="14"/>
      <c r="R123" s="14"/>
      <c r="S123" s="14"/>
      <c r="T123" s="14"/>
      <c r="U123" s="14"/>
      <c r="V123" s="14"/>
      <c r="W123" s="15"/>
    </row>
    <row r="124" spans="2:23" x14ac:dyDescent="0.3">
      <c r="B124" s="1" t="s">
        <v>85</v>
      </c>
      <c r="C124" s="7">
        <v>3500</v>
      </c>
      <c r="D124" s="1" t="s">
        <v>62</v>
      </c>
      <c r="E124" s="9">
        <f>151+146</f>
        <v>297</v>
      </c>
      <c r="F124" s="10">
        <f>464546+435934</f>
        <v>900480</v>
      </c>
      <c r="K124" s="12"/>
      <c r="L124" s="16"/>
      <c r="M124" s="13"/>
      <c r="N124" s="12"/>
      <c r="O124" s="14"/>
      <c r="P124" s="14"/>
      <c r="Q124" s="14"/>
      <c r="R124" s="14"/>
      <c r="S124" s="14"/>
      <c r="T124" s="14"/>
      <c r="U124" s="14"/>
      <c r="V124" s="14"/>
      <c r="W124" s="15"/>
    </row>
    <row r="125" spans="2:23" x14ac:dyDescent="0.3">
      <c r="B125" s="1" t="s">
        <v>164</v>
      </c>
      <c r="C125" s="7">
        <v>4200</v>
      </c>
      <c r="D125" s="1" t="s">
        <v>61</v>
      </c>
      <c r="E125" s="9">
        <f>146+2+93</f>
        <v>241</v>
      </c>
      <c r="F125" s="10">
        <f>550448+7636+339802</f>
        <v>897886</v>
      </c>
      <c r="K125" s="12"/>
      <c r="L125" s="17"/>
      <c r="M125" s="13"/>
      <c r="N125" s="12"/>
      <c r="O125" s="14"/>
      <c r="P125" s="14"/>
      <c r="Q125" s="14"/>
      <c r="R125" s="14"/>
      <c r="S125" s="14"/>
      <c r="T125" s="14"/>
      <c r="U125" s="14"/>
      <c r="V125" s="14"/>
      <c r="W125" s="15"/>
    </row>
    <row r="126" spans="2:23" x14ac:dyDescent="0.3">
      <c r="B126" s="1" t="s">
        <v>230</v>
      </c>
      <c r="C126" s="7">
        <v>12000</v>
      </c>
      <c r="D126" s="1" t="s">
        <v>60</v>
      </c>
      <c r="E126" s="7">
        <f>80</f>
        <v>80</v>
      </c>
      <c r="F126" s="4">
        <v>872727</v>
      </c>
      <c r="K126" s="12"/>
      <c r="L126" s="16"/>
      <c r="M126" s="13"/>
      <c r="N126" s="12"/>
      <c r="O126" s="14"/>
      <c r="P126" s="14"/>
      <c r="Q126" s="14"/>
      <c r="R126" s="14"/>
      <c r="S126" s="14"/>
      <c r="T126" s="14"/>
      <c r="U126" s="14"/>
      <c r="V126" s="14"/>
      <c r="W126" s="15"/>
    </row>
    <row r="127" spans="2:23" x14ac:dyDescent="0.3">
      <c r="B127" s="1" t="s">
        <v>35</v>
      </c>
      <c r="C127" s="7">
        <v>3800</v>
      </c>
      <c r="D127" s="1" t="s">
        <v>62</v>
      </c>
      <c r="E127" s="9">
        <f>143+125</f>
        <v>268</v>
      </c>
      <c r="F127" s="10">
        <f>452550+404235</f>
        <v>856785</v>
      </c>
      <c r="K127" s="12"/>
      <c r="L127" s="17"/>
      <c r="M127" s="13"/>
      <c r="N127" s="12"/>
      <c r="O127" s="14"/>
      <c r="P127" s="14"/>
      <c r="Q127" s="14"/>
      <c r="R127" s="14"/>
      <c r="S127" s="14"/>
      <c r="T127" s="14"/>
      <c r="U127" s="14"/>
      <c r="V127" s="14"/>
      <c r="W127" s="15"/>
    </row>
    <row r="128" spans="2:23" x14ac:dyDescent="0.3">
      <c r="B128" s="1" t="s">
        <v>72</v>
      </c>
      <c r="C128" s="7">
        <v>1200</v>
      </c>
      <c r="D128" s="1" t="s">
        <v>71</v>
      </c>
      <c r="E128" s="9">
        <f>570+208</f>
        <v>778</v>
      </c>
      <c r="F128" s="10">
        <f>621820+225837</f>
        <v>847657</v>
      </c>
      <c r="K128" s="12"/>
      <c r="L128" s="16"/>
      <c r="M128" s="13"/>
      <c r="N128" s="12"/>
      <c r="O128" s="14"/>
      <c r="P128" s="14"/>
      <c r="Q128" s="14"/>
      <c r="R128" s="14"/>
      <c r="S128" s="14"/>
      <c r="T128" s="14"/>
      <c r="U128" s="14"/>
      <c r="V128" s="14"/>
      <c r="W128" s="15"/>
    </row>
    <row r="129" spans="2:23" x14ac:dyDescent="0.3">
      <c r="B129" s="1" t="s">
        <v>19</v>
      </c>
      <c r="C129" s="7">
        <v>4000</v>
      </c>
      <c r="D129" s="1" t="s">
        <v>63</v>
      </c>
      <c r="E129" s="9">
        <f>181+1+85</f>
        <v>267</v>
      </c>
      <c r="F129" s="10">
        <f>570902+3636+261792</f>
        <v>836330</v>
      </c>
      <c r="K129" s="12"/>
      <c r="L129" s="13"/>
      <c r="M129" s="13"/>
      <c r="N129" s="12"/>
      <c r="O129" s="14"/>
      <c r="P129" s="14"/>
      <c r="Q129" s="14"/>
      <c r="R129" s="14"/>
      <c r="S129" s="14"/>
      <c r="T129" s="14"/>
      <c r="U129" s="14"/>
      <c r="V129" s="14"/>
      <c r="W129" s="15"/>
    </row>
    <row r="130" spans="2:23" x14ac:dyDescent="0.3">
      <c r="B130" s="1" t="s">
        <v>286</v>
      </c>
      <c r="C130" s="7">
        <v>3800</v>
      </c>
      <c r="D130" s="1" t="s">
        <v>285</v>
      </c>
      <c r="E130" s="9">
        <f>68+26+128</f>
        <v>222</v>
      </c>
      <c r="F130" s="10">
        <f>214210+597642</f>
        <v>811852</v>
      </c>
      <c r="K130" s="12"/>
      <c r="L130" s="13"/>
      <c r="M130" s="13"/>
      <c r="N130" s="12"/>
      <c r="O130" s="14"/>
      <c r="P130" s="14"/>
      <c r="Q130" s="14"/>
      <c r="R130" s="14"/>
      <c r="S130" s="14"/>
      <c r="T130" s="14"/>
      <c r="U130" s="14"/>
      <c r="V130" s="14"/>
      <c r="W130" s="15"/>
    </row>
    <row r="131" spans="2:23" x14ac:dyDescent="0.3">
      <c r="B131" s="1" t="s">
        <v>250</v>
      </c>
      <c r="C131" s="7">
        <v>2700</v>
      </c>
      <c r="D131" s="1" t="s">
        <v>64</v>
      </c>
      <c r="E131" s="9">
        <f>245+94</f>
        <v>339</v>
      </c>
      <c r="F131" s="10">
        <f>591545+216040</f>
        <v>807585</v>
      </c>
      <c r="K131" s="12"/>
      <c r="L131" s="13"/>
      <c r="M131" s="13"/>
      <c r="N131" s="12"/>
      <c r="O131" s="14"/>
      <c r="P131" s="14"/>
      <c r="Q131" s="14"/>
      <c r="R131" s="14"/>
      <c r="S131" s="14"/>
      <c r="T131" s="14"/>
      <c r="U131" s="14"/>
      <c r="V131" s="14"/>
      <c r="W131" s="15"/>
    </row>
    <row r="132" spans="2:23" x14ac:dyDescent="0.3">
      <c r="B132" s="1" t="s">
        <v>201</v>
      </c>
      <c r="C132" s="7">
        <v>4300</v>
      </c>
      <c r="D132" s="1" t="s">
        <v>58</v>
      </c>
      <c r="E132" s="9">
        <f>99+72+80</f>
        <v>251</v>
      </c>
      <c r="F132" s="10">
        <f>293640+246271+254085</f>
        <v>793996</v>
      </c>
      <c r="K132" s="12"/>
      <c r="L132" s="13"/>
      <c r="M132" s="13"/>
      <c r="N132" s="12"/>
      <c r="O132" s="14"/>
      <c r="P132" s="14"/>
      <c r="Q132" s="14"/>
      <c r="R132" s="14"/>
      <c r="S132" s="14"/>
      <c r="T132" s="14"/>
      <c r="U132" s="14"/>
      <c r="V132" s="14"/>
      <c r="W132" s="15"/>
    </row>
    <row r="133" spans="2:23" x14ac:dyDescent="0.3">
      <c r="B133" s="1" t="s">
        <v>227</v>
      </c>
      <c r="C133" s="7">
        <v>3500</v>
      </c>
      <c r="D133" s="1" t="s">
        <v>71</v>
      </c>
      <c r="E133" s="9">
        <f>176+1+75</f>
        <v>252</v>
      </c>
      <c r="F133" s="10">
        <f>553639+3182+235468</f>
        <v>792289</v>
      </c>
      <c r="K133" s="12"/>
      <c r="L133" s="13"/>
      <c r="M133" s="13"/>
      <c r="N133" s="12"/>
      <c r="O133" s="14"/>
      <c r="P133" s="14"/>
      <c r="Q133" s="14"/>
      <c r="R133" s="14"/>
      <c r="S133" s="14"/>
      <c r="T133" s="14"/>
      <c r="U133" s="14"/>
      <c r="V133" s="14"/>
      <c r="W133" s="15"/>
    </row>
    <row r="134" spans="2:23" x14ac:dyDescent="0.3">
      <c r="B134" t="s">
        <v>295</v>
      </c>
      <c r="C134" s="19">
        <v>2000</v>
      </c>
      <c r="D134" t="s">
        <v>60</v>
      </c>
      <c r="E134" s="8">
        <f>435</f>
        <v>435</v>
      </c>
      <c r="F134" s="5">
        <v>790830</v>
      </c>
      <c r="K134" s="12"/>
      <c r="L134" s="16"/>
      <c r="M134" s="13"/>
      <c r="N134" s="12"/>
      <c r="O134" s="14"/>
      <c r="P134" s="14"/>
      <c r="Q134" s="14"/>
      <c r="R134" s="14"/>
      <c r="S134" s="14"/>
      <c r="T134" s="14"/>
      <c r="U134" s="14"/>
      <c r="V134" s="14"/>
      <c r="W134" s="15"/>
    </row>
    <row r="135" spans="2:23" x14ac:dyDescent="0.3">
      <c r="B135" s="1" t="s">
        <v>205</v>
      </c>
      <c r="C135" s="7">
        <v>3800</v>
      </c>
      <c r="D135" s="1" t="s">
        <v>58</v>
      </c>
      <c r="E135" s="9">
        <f>180+2+51</f>
        <v>233</v>
      </c>
      <c r="F135" s="10">
        <f>590734+6910+152020</f>
        <v>749664</v>
      </c>
      <c r="K135" s="12"/>
      <c r="L135" s="16"/>
      <c r="M135" s="13"/>
      <c r="N135" s="12"/>
      <c r="O135" s="14"/>
      <c r="P135" s="14"/>
      <c r="Q135" s="14"/>
      <c r="R135" s="14"/>
      <c r="S135" s="14"/>
      <c r="T135" s="14"/>
      <c r="U135" s="14"/>
      <c r="V135" s="14"/>
      <c r="W135" s="15"/>
    </row>
    <row r="136" spans="2:23" x14ac:dyDescent="0.3">
      <c r="B136" s="1" t="s">
        <v>281</v>
      </c>
      <c r="C136" s="7">
        <v>2700</v>
      </c>
      <c r="D136" s="1" t="s">
        <v>64</v>
      </c>
      <c r="E136" s="9">
        <f>186+127</f>
        <v>313</v>
      </c>
      <c r="F136" s="10">
        <f>452364+296298</f>
        <v>748662</v>
      </c>
      <c r="K136" s="12"/>
      <c r="L136" s="16"/>
      <c r="M136" s="13"/>
      <c r="N136" s="12"/>
      <c r="O136" s="14"/>
      <c r="P136" s="14"/>
      <c r="Q136" s="14"/>
      <c r="R136" s="14"/>
      <c r="S136" s="14"/>
      <c r="T136" s="14"/>
      <c r="U136" s="14"/>
      <c r="V136" s="14"/>
      <c r="W136" s="15"/>
    </row>
    <row r="137" spans="2:23" x14ac:dyDescent="0.3">
      <c r="B137" s="1" t="s">
        <v>273</v>
      </c>
      <c r="C137" s="7">
        <v>3000</v>
      </c>
      <c r="D137" s="1" t="s">
        <v>60</v>
      </c>
      <c r="E137" s="7">
        <f>277</f>
        <v>277</v>
      </c>
      <c r="F137" s="4">
        <v>747272</v>
      </c>
      <c r="K137" s="12"/>
      <c r="L137" s="16"/>
      <c r="M137" s="13"/>
      <c r="N137" s="12"/>
      <c r="O137" s="14"/>
      <c r="P137" s="14"/>
      <c r="Q137" s="14"/>
      <c r="R137" s="14"/>
      <c r="S137" s="14"/>
      <c r="T137" s="14"/>
      <c r="U137" s="14"/>
      <c r="V137" s="14"/>
      <c r="W137" s="15"/>
    </row>
    <row r="138" spans="2:23" x14ac:dyDescent="0.3">
      <c r="B138" s="1" t="s">
        <v>265</v>
      </c>
      <c r="C138" s="7">
        <v>2000</v>
      </c>
      <c r="D138" s="1" t="s">
        <v>60</v>
      </c>
      <c r="E138" s="7">
        <f>401</f>
        <v>401</v>
      </c>
      <c r="F138" s="4">
        <v>723638</v>
      </c>
      <c r="K138" s="12"/>
      <c r="L138" s="16"/>
      <c r="M138" s="13"/>
      <c r="N138" s="12"/>
      <c r="O138" s="14"/>
      <c r="P138" s="14"/>
      <c r="Q138" s="14"/>
      <c r="R138" s="14"/>
      <c r="S138" s="14"/>
      <c r="T138" s="14"/>
      <c r="U138" s="14"/>
      <c r="V138" s="14"/>
      <c r="W138" s="15"/>
    </row>
    <row r="139" spans="2:23" x14ac:dyDescent="0.3">
      <c r="B139" s="1" t="s">
        <v>212</v>
      </c>
      <c r="C139" s="7">
        <v>3800</v>
      </c>
      <c r="D139" s="1" t="s">
        <v>58</v>
      </c>
      <c r="E139" s="9">
        <f>169+2+46</f>
        <v>217</v>
      </c>
      <c r="F139" s="10">
        <f>566553+6910+145110</f>
        <v>718573</v>
      </c>
      <c r="K139" s="12"/>
      <c r="L139" s="16"/>
      <c r="M139" s="13"/>
      <c r="N139" s="12"/>
      <c r="O139" s="14"/>
      <c r="P139" s="14"/>
      <c r="Q139" s="14"/>
      <c r="R139" s="14"/>
      <c r="S139" s="14"/>
      <c r="T139" s="14"/>
      <c r="U139" s="14"/>
      <c r="V139" s="14"/>
      <c r="W139" s="15"/>
    </row>
    <row r="140" spans="2:23" x14ac:dyDescent="0.3">
      <c r="B140" s="1" t="s">
        <v>278</v>
      </c>
      <c r="C140" s="7">
        <v>3500</v>
      </c>
      <c r="D140" s="1" t="s">
        <v>71</v>
      </c>
      <c r="E140" s="9">
        <f>158+56</f>
        <v>214</v>
      </c>
      <c r="F140" s="10">
        <f>502730+175010</f>
        <v>677740</v>
      </c>
      <c r="K140" s="12"/>
      <c r="L140" s="16"/>
      <c r="M140" s="13"/>
      <c r="N140" s="12"/>
      <c r="O140" s="14"/>
      <c r="P140" s="14"/>
      <c r="Q140" s="14"/>
      <c r="R140" s="14"/>
      <c r="S140" s="14"/>
      <c r="T140" s="14"/>
      <c r="U140" s="14"/>
      <c r="V140" s="14"/>
      <c r="W140" s="15"/>
    </row>
    <row r="141" spans="2:23" x14ac:dyDescent="0.3">
      <c r="B141" s="1" t="s">
        <v>267</v>
      </c>
      <c r="C141" s="7">
        <v>2000</v>
      </c>
      <c r="D141" s="1" t="s">
        <v>60</v>
      </c>
      <c r="E141" s="7">
        <f>366</f>
        <v>366</v>
      </c>
      <c r="F141" s="4">
        <v>665454</v>
      </c>
      <c r="K141" s="12"/>
      <c r="L141" s="16"/>
      <c r="M141" s="13"/>
      <c r="N141" s="12"/>
      <c r="O141" s="14"/>
      <c r="P141" s="14"/>
      <c r="Q141" s="14"/>
      <c r="R141" s="14"/>
      <c r="S141" s="14"/>
      <c r="T141" s="14"/>
      <c r="U141" s="14"/>
      <c r="V141" s="14"/>
      <c r="W141" s="15"/>
    </row>
    <row r="142" spans="2:23" x14ac:dyDescent="0.3">
      <c r="B142" s="1" t="s">
        <v>177</v>
      </c>
      <c r="C142" s="7">
        <v>4500</v>
      </c>
      <c r="D142" s="1" t="s">
        <v>59</v>
      </c>
      <c r="E142" s="9">
        <f>115+46</f>
        <v>161</v>
      </c>
      <c r="F142" s="10">
        <f>475778+171822</f>
        <v>647600</v>
      </c>
      <c r="K142" s="12"/>
      <c r="L142" s="16"/>
      <c r="M142" s="13"/>
      <c r="N142" s="12"/>
      <c r="O142" s="14"/>
      <c r="P142" s="14"/>
      <c r="Q142" s="14"/>
      <c r="R142" s="14"/>
      <c r="S142" s="14"/>
      <c r="T142" s="14"/>
      <c r="U142" s="14"/>
      <c r="V142" s="14"/>
      <c r="W142" s="15"/>
    </row>
    <row r="143" spans="2:23" x14ac:dyDescent="0.3">
      <c r="B143" s="1" t="s">
        <v>165</v>
      </c>
      <c r="C143" s="7">
        <v>4500</v>
      </c>
      <c r="D143" s="1" t="s">
        <v>58</v>
      </c>
      <c r="E143" s="9">
        <f>98+5+62</f>
        <v>165</v>
      </c>
      <c r="F143" s="10">
        <f>400914+4091+237278</f>
        <v>642283</v>
      </c>
      <c r="K143" s="12"/>
      <c r="L143" s="16"/>
      <c r="M143" s="13"/>
      <c r="N143" s="12"/>
      <c r="O143" s="14"/>
      <c r="P143" s="14"/>
      <c r="Q143" s="14"/>
      <c r="R143" s="14"/>
      <c r="S143" s="14"/>
      <c r="T143" s="14"/>
      <c r="U143" s="14"/>
      <c r="V143" s="14"/>
      <c r="W143" s="15"/>
    </row>
    <row r="144" spans="2:23" x14ac:dyDescent="0.3">
      <c r="B144" s="1" t="s">
        <v>215</v>
      </c>
      <c r="C144" s="7">
        <v>4000</v>
      </c>
      <c r="D144" s="1" t="s">
        <v>58</v>
      </c>
      <c r="E144" s="9">
        <f>124+54</f>
        <v>178</v>
      </c>
      <c r="F144" s="10">
        <f>447269+185436</f>
        <v>632705</v>
      </c>
      <c r="K144" s="12"/>
      <c r="L144" s="16"/>
      <c r="M144" s="13"/>
      <c r="N144" s="12"/>
      <c r="O144" s="14"/>
      <c r="P144" s="14"/>
      <c r="Q144" s="14"/>
      <c r="R144" s="14"/>
      <c r="S144" s="14"/>
      <c r="T144" s="14"/>
      <c r="U144" s="14"/>
      <c r="V144" s="14"/>
      <c r="W144" s="15"/>
    </row>
    <row r="145" spans="2:23" x14ac:dyDescent="0.3">
      <c r="B145" s="1" t="s">
        <v>221</v>
      </c>
      <c r="C145" s="7">
        <v>4000</v>
      </c>
      <c r="D145" s="1" t="s">
        <v>59</v>
      </c>
      <c r="E145" s="9">
        <f>116+3+56+1</f>
        <v>176</v>
      </c>
      <c r="F145" s="10">
        <f>421813+10908+192708+3636</f>
        <v>629065</v>
      </c>
      <c r="K145" s="12"/>
      <c r="L145" s="16"/>
      <c r="M145" s="13"/>
      <c r="N145" s="12"/>
      <c r="O145" s="14"/>
      <c r="P145" s="14"/>
      <c r="Q145" s="14"/>
      <c r="R145" s="14"/>
      <c r="S145" s="14"/>
      <c r="T145" s="14"/>
      <c r="U145" s="14"/>
      <c r="V145" s="14"/>
      <c r="W145" s="15"/>
    </row>
    <row r="146" spans="2:23" x14ac:dyDescent="0.3">
      <c r="B146" s="1" t="s">
        <v>3</v>
      </c>
      <c r="C146" s="7">
        <v>3500</v>
      </c>
      <c r="D146" s="1" t="s">
        <v>61</v>
      </c>
      <c r="E146" s="9">
        <f>88+1+121</f>
        <v>210</v>
      </c>
      <c r="F146" s="10">
        <f>267278+3636+356384</f>
        <v>627298</v>
      </c>
      <c r="K146" s="12"/>
      <c r="L146" s="16"/>
      <c r="M146" s="13"/>
      <c r="N146" s="12"/>
      <c r="O146" s="14"/>
      <c r="P146" s="14"/>
      <c r="Q146" s="14"/>
      <c r="R146" s="14"/>
      <c r="S146" s="14"/>
      <c r="T146" s="14"/>
      <c r="U146" s="14"/>
      <c r="V146" s="14"/>
      <c r="W146" s="15"/>
    </row>
    <row r="147" spans="2:23" x14ac:dyDescent="0.3">
      <c r="B147" s="1" t="s">
        <v>166</v>
      </c>
      <c r="C147" s="7">
        <v>4300</v>
      </c>
      <c r="D147" s="1" t="s">
        <v>58</v>
      </c>
      <c r="E147" s="9">
        <f>118+45</f>
        <v>163</v>
      </c>
      <c r="F147" s="10">
        <f>441720+175905</f>
        <v>617625</v>
      </c>
      <c r="K147" s="12"/>
      <c r="L147" s="16"/>
      <c r="M147" s="13"/>
      <c r="N147" s="12"/>
      <c r="O147" s="14"/>
      <c r="P147" s="14"/>
      <c r="Q147" s="14"/>
      <c r="R147" s="14"/>
      <c r="S147" s="14"/>
      <c r="T147" s="14"/>
      <c r="U147" s="14"/>
      <c r="V147" s="14"/>
      <c r="W147" s="15"/>
    </row>
    <row r="148" spans="2:23" x14ac:dyDescent="0.3">
      <c r="B148" s="1" t="s">
        <v>125</v>
      </c>
      <c r="C148" s="7">
        <v>2000</v>
      </c>
      <c r="D148" s="1" t="s">
        <v>60</v>
      </c>
      <c r="E148" s="7">
        <f>320</f>
        <v>320</v>
      </c>
      <c r="F148" s="4">
        <v>576363</v>
      </c>
      <c r="K148" s="12"/>
      <c r="L148" s="16"/>
      <c r="M148" s="13"/>
      <c r="N148" s="12"/>
      <c r="O148" s="14"/>
      <c r="P148" s="14"/>
      <c r="Q148" s="14"/>
      <c r="R148" s="14"/>
      <c r="S148" s="14"/>
      <c r="T148" s="14"/>
      <c r="U148" s="14"/>
      <c r="V148" s="14"/>
      <c r="W148" s="15"/>
    </row>
    <row r="149" spans="2:23" x14ac:dyDescent="0.3">
      <c r="B149" s="1" t="s">
        <v>170</v>
      </c>
      <c r="C149" s="7">
        <v>4000</v>
      </c>
      <c r="D149" s="1" t="s">
        <v>58</v>
      </c>
      <c r="E149" s="9">
        <f>107+1+47</f>
        <v>155</v>
      </c>
      <c r="F149" s="10">
        <f>385445+3636+170892</f>
        <v>559973</v>
      </c>
      <c r="K149" s="12"/>
      <c r="L149" s="16"/>
      <c r="M149" s="13"/>
      <c r="N149" s="12"/>
      <c r="O149" s="14"/>
      <c r="P149" s="14"/>
      <c r="Q149" s="14"/>
      <c r="R149" s="14"/>
      <c r="S149" s="14"/>
      <c r="T149" s="14"/>
      <c r="U149" s="14"/>
      <c r="V149" s="14"/>
      <c r="W149" s="15"/>
    </row>
    <row r="150" spans="2:23" x14ac:dyDescent="0.3">
      <c r="B150" s="1" t="s">
        <v>259</v>
      </c>
      <c r="C150" s="7">
        <v>2700</v>
      </c>
      <c r="D150" s="1" t="s">
        <v>64</v>
      </c>
      <c r="E150" s="9">
        <f>198+2+39</f>
        <v>239</v>
      </c>
      <c r="F150" s="10">
        <f>476818+4910+76329</f>
        <v>558057</v>
      </c>
      <c r="K150" s="12"/>
      <c r="L150" s="16"/>
      <c r="M150" s="13"/>
      <c r="N150" s="12"/>
      <c r="O150" s="14"/>
      <c r="P150" s="14"/>
      <c r="Q150" s="14"/>
      <c r="R150" s="14"/>
      <c r="S150" s="14"/>
      <c r="T150" s="14"/>
      <c r="U150" s="14"/>
      <c r="V150" s="14"/>
      <c r="W150" s="15"/>
    </row>
    <row r="151" spans="2:23" x14ac:dyDescent="0.3">
      <c r="B151" s="1" t="s">
        <v>180</v>
      </c>
      <c r="C151" s="7">
        <v>4800</v>
      </c>
      <c r="D151" s="1" t="s">
        <v>58</v>
      </c>
      <c r="E151" s="9">
        <f>82+53</f>
        <v>135</v>
      </c>
      <c r="F151" s="10">
        <f>327277+218200</f>
        <v>545477</v>
      </c>
      <c r="K151" s="12"/>
      <c r="L151" s="16"/>
      <c r="M151" s="13"/>
      <c r="N151" s="12"/>
      <c r="O151" s="14"/>
      <c r="P151" s="14"/>
      <c r="Q151" s="14"/>
      <c r="R151" s="14"/>
      <c r="S151" s="14"/>
      <c r="T151" s="14"/>
      <c r="U151" s="14"/>
      <c r="V151" s="14"/>
      <c r="W151" s="15"/>
    </row>
    <row r="152" spans="2:23" x14ac:dyDescent="0.3">
      <c r="B152" s="1" t="s">
        <v>181</v>
      </c>
      <c r="C152" s="7">
        <v>4200</v>
      </c>
      <c r="D152" s="1" t="s">
        <v>63</v>
      </c>
      <c r="E152" s="9">
        <f>100+41</f>
        <v>141</v>
      </c>
      <c r="F152" s="10">
        <f>377997+152720</f>
        <v>530717</v>
      </c>
      <c r="K152" s="12"/>
      <c r="L152" s="16"/>
      <c r="M152" s="13"/>
      <c r="N152" s="12"/>
      <c r="O152" s="14"/>
      <c r="P152" s="14"/>
      <c r="Q152" s="14"/>
      <c r="R152" s="14"/>
      <c r="S152" s="14"/>
      <c r="T152" s="14"/>
      <c r="U152" s="14"/>
      <c r="V152" s="14"/>
      <c r="W152" s="15"/>
    </row>
    <row r="153" spans="2:23" x14ac:dyDescent="0.3">
      <c r="B153" s="1" t="s">
        <v>142</v>
      </c>
      <c r="C153" s="7">
        <v>2500</v>
      </c>
      <c r="D153" s="1" t="s">
        <v>63</v>
      </c>
      <c r="E153" s="7">
        <f>233</f>
        <v>233</v>
      </c>
      <c r="F153" s="4">
        <v>515910</v>
      </c>
      <c r="K153" s="12"/>
      <c r="L153" s="16"/>
      <c r="M153" s="13"/>
      <c r="N153" s="12"/>
      <c r="O153" s="14"/>
      <c r="P153" s="14"/>
      <c r="Q153" s="14"/>
      <c r="R153" s="14"/>
      <c r="S153" s="14"/>
      <c r="T153" s="14"/>
      <c r="U153" s="14"/>
      <c r="V153" s="14"/>
      <c r="W153" s="15"/>
    </row>
    <row r="154" spans="2:23" x14ac:dyDescent="0.3">
      <c r="B154" s="1" t="s">
        <v>277</v>
      </c>
      <c r="C154" s="7">
        <v>3500</v>
      </c>
      <c r="D154" s="1" t="s">
        <v>71</v>
      </c>
      <c r="E154" s="9">
        <f>87+75</f>
        <v>162</v>
      </c>
      <c r="F154" s="10">
        <f>276821+238650</f>
        <v>515471</v>
      </c>
      <c r="K154" s="12"/>
      <c r="L154" s="16"/>
      <c r="M154" s="13"/>
      <c r="N154" s="12"/>
      <c r="O154" s="14"/>
      <c r="P154" s="14"/>
      <c r="Q154" s="14"/>
      <c r="R154" s="14"/>
      <c r="S154" s="14"/>
      <c r="T154" s="14"/>
      <c r="U154" s="14"/>
      <c r="V154" s="14"/>
      <c r="W154" s="15"/>
    </row>
    <row r="155" spans="2:23" x14ac:dyDescent="0.3">
      <c r="B155" s="1" t="s">
        <v>34</v>
      </c>
      <c r="C155" s="7">
        <v>3500</v>
      </c>
      <c r="D155" s="1" t="s">
        <v>62</v>
      </c>
      <c r="E155" s="9">
        <f>122+46</f>
        <v>168</v>
      </c>
      <c r="F155" s="10">
        <f>372276+136826</f>
        <v>509102</v>
      </c>
      <c r="K155" s="12"/>
      <c r="L155" s="16"/>
      <c r="M155" s="13"/>
      <c r="N155" s="12"/>
      <c r="O155" s="14"/>
      <c r="P155" s="14"/>
      <c r="Q155" s="14"/>
      <c r="R155" s="14"/>
      <c r="S155" s="14"/>
      <c r="T155" s="14"/>
      <c r="U155" s="14"/>
      <c r="V155" s="14"/>
      <c r="W155" s="15"/>
    </row>
    <row r="156" spans="2:23" x14ac:dyDescent="0.3">
      <c r="B156" s="1" t="s">
        <v>103</v>
      </c>
      <c r="C156" s="7">
        <v>4500</v>
      </c>
      <c r="D156" s="1" t="s">
        <v>58</v>
      </c>
      <c r="E156" s="9">
        <f>78+3+42</f>
        <v>123</v>
      </c>
      <c r="F156" s="10">
        <f>315007+8636+171822</f>
        <v>495465</v>
      </c>
      <c r="K156" s="12"/>
      <c r="L156" s="16"/>
      <c r="M156" s="13"/>
      <c r="N156" s="12"/>
      <c r="O156" s="14"/>
      <c r="P156" s="14"/>
      <c r="Q156" s="14"/>
      <c r="R156" s="14"/>
      <c r="S156" s="14"/>
      <c r="T156" s="14"/>
      <c r="U156" s="14"/>
      <c r="V156" s="14"/>
      <c r="W156" s="15"/>
    </row>
    <row r="157" spans="2:23" x14ac:dyDescent="0.3">
      <c r="B157" s="1" t="s">
        <v>36</v>
      </c>
      <c r="C157" s="7">
        <v>3800</v>
      </c>
      <c r="D157" s="1" t="s">
        <v>62</v>
      </c>
      <c r="E157" s="9">
        <f>105+44</f>
        <v>149</v>
      </c>
      <c r="F157" s="10">
        <f>345463+141655</f>
        <v>487118</v>
      </c>
      <c r="K157" s="12"/>
      <c r="L157" s="16"/>
      <c r="M157" s="13"/>
      <c r="N157" s="12"/>
      <c r="O157" s="14"/>
      <c r="P157" s="14"/>
      <c r="Q157" s="14"/>
      <c r="R157" s="14"/>
      <c r="S157" s="14"/>
      <c r="T157" s="14"/>
      <c r="U157" s="14"/>
      <c r="V157" s="14"/>
      <c r="W157" s="15"/>
    </row>
    <row r="158" spans="2:23" x14ac:dyDescent="0.3">
      <c r="B158" s="1" t="s">
        <v>199</v>
      </c>
      <c r="C158" s="7">
        <v>4800</v>
      </c>
      <c r="D158" s="1" t="s">
        <v>58</v>
      </c>
      <c r="E158" s="9">
        <f>67+46</f>
        <v>113</v>
      </c>
      <c r="F158" s="10">
        <f>279281+196380</f>
        <v>475661</v>
      </c>
      <c r="K158" s="12"/>
      <c r="L158" s="16"/>
      <c r="M158" s="13"/>
      <c r="N158" s="12"/>
      <c r="O158" s="14"/>
      <c r="P158" s="14"/>
      <c r="Q158" s="14"/>
      <c r="R158" s="14"/>
      <c r="S158" s="14"/>
      <c r="T158" s="14"/>
      <c r="U158" s="14"/>
      <c r="V158" s="14"/>
      <c r="W158" s="15"/>
    </row>
    <row r="159" spans="2:23" x14ac:dyDescent="0.3">
      <c r="B159" s="1" t="s">
        <v>106</v>
      </c>
      <c r="C159" s="7">
        <v>4200</v>
      </c>
      <c r="D159" s="1" t="s">
        <v>61</v>
      </c>
      <c r="E159" s="9">
        <f>82+44</f>
        <v>126</v>
      </c>
      <c r="F159" s="10">
        <f>309269+164174</f>
        <v>473443</v>
      </c>
      <c r="K159" s="12"/>
      <c r="L159" s="16"/>
      <c r="M159" s="13"/>
      <c r="N159" s="12"/>
      <c r="O159" s="14"/>
      <c r="P159" s="14"/>
      <c r="Q159" s="14"/>
      <c r="R159" s="14"/>
      <c r="S159" s="14"/>
      <c r="T159" s="14"/>
      <c r="U159" s="14"/>
      <c r="V159" s="14"/>
      <c r="W159" s="15"/>
    </row>
    <row r="160" spans="2:23" x14ac:dyDescent="0.3">
      <c r="B160" s="1" t="s">
        <v>185</v>
      </c>
      <c r="C160" s="7">
        <v>4200</v>
      </c>
      <c r="D160" s="1" t="s">
        <v>61</v>
      </c>
      <c r="E160" s="9">
        <f>77+2+45+2</f>
        <v>126</v>
      </c>
      <c r="F160" s="10">
        <f>290179+7636+167992+7636</f>
        <v>473443</v>
      </c>
      <c r="K160" s="12"/>
      <c r="L160" s="16"/>
      <c r="M160" s="13"/>
      <c r="N160" s="12"/>
      <c r="O160" s="14"/>
      <c r="P160" s="14"/>
      <c r="Q160" s="14"/>
      <c r="R160" s="14"/>
      <c r="S160" s="14"/>
      <c r="T160" s="14"/>
      <c r="U160" s="14"/>
      <c r="V160" s="14"/>
      <c r="W160" s="15"/>
    </row>
    <row r="161" spans="2:23" x14ac:dyDescent="0.3">
      <c r="B161" s="1" t="s">
        <v>84</v>
      </c>
      <c r="C161" s="7">
        <v>3500</v>
      </c>
      <c r="D161" s="1" t="s">
        <v>61</v>
      </c>
      <c r="E161" s="9">
        <f>63+88</f>
        <v>151</v>
      </c>
      <c r="F161" s="10">
        <f>187729+273652</f>
        <v>461381</v>
      </c>
      <c r="K161" s="12"/>
      <c r="L161" s="16"/>
      <c r="M161" s="13"/>
      <c r="N161" s="12"/>
      <c r="O161" s="14"/>
      <c r="P161" s="14"/>
      <c r="Q161" s="14"/>
      <c r="R161" s="14"/>
      <c r="S161" s="14"/>
      <c r="T161" s="14"/>
      <c r="U161" s="14"/>
      <c r="V161" s="14"/>
      <c r="W161" s="15"/>
    </row>
    <row r="162" spans="2:23" x14ac:dyDescent="0.3">
      <c r="B162" s="1" t="s">
        <v>279</v>
      </c>
      <c r="C162" s="7">
        <v>2800</v>
      </c>
      <c r="D162" s="1" t="s">
        <v>64</v>
      </c>
      <c r="E162" s="9">
        <f>110+71</f>
        <v>181</v>
      </c>
      <c r="F162" s="10">
        <f>280000+180695</f>
        <v>460695</v>
      </c>
      <c r="K162" s="12"/>
      <c r="L162" s="16"/>
      <c r="M162" s="13"/>
      <c r="N162" s="12"/>
      <c r="O162" s="14"/>
      <c r="P162" s="14"/>
      <c r="Q162" s="14"/>
      <c r="R162" s="14"/>
      <c r="S162" s="14"/>
      <c r="T162" s="14"/>
      <c r="U162" s="14"/>
      <c r="V162" s="14"/>
      <c r="W162" s="15"/>
    </row>
    <row r="163" spans="2:23" x14ac:dyDescent="0.3">
      <c r="B163" s="1" t="s">
        <v>171</v>
      </c>
      <c r="C163" s="7">
        <v>4200</v>
      </c>
      <c r="D163" s="1" t="s">
        <v>61</v>
      </c>
      <c r="E163" s="9">
        <f>81+40</f>
        <v>121</v>
      </c>
      <c r="F163" s="10">
        <f>305450+152720</f>
        <v>458170</v>
      </c>
      <c r="K163" s="12"/>
      <c r="L163" s="16"/>
      <c r="M163" s="13"/>
      <c r="N163" s="12"/>
      <c r="O163" s="14"/>
      <c r="P163" s="14"/>
      <c r="Q163" s="14"/>
      <c r="R163" s="14"/>
      <c r="S163" s="14"/>
      <c r="T163" s="14"/>
      <c r="U163" s="14"/>
      <c r="V163" s="14"/>
      <c r="W163" s="15"/>
    </row>
    <row r="164" spans="2:23" x14ac:dyDescent="0.3">
      <c r="B164" s="1" t="s">
        <v>270</v>
      </c>
      <c r="C164" s="7">
        <v>3000</v>
      </c>
      <c r="D164" s="1" t="s">
        <v>60</v>
      </c>
      <c r="E164" s="7">
        <f>164</f>
        <v>164</v>
      </c>
      <c r="F164" s="4">
        <v>447273</v>
      </c>
      <c r="K164" s="12"/>
      <c r="L164" s="16"/>
      <c r="M164" s="13"/>
      <c r="N164" s="12"/>
      <c r="O164" s="14"/>
      <c r="P164" s="14"/>
      <c r="Q164" s="14"/>
      <c r="R164" s="14"/>
      <c r="S164" s="14"/>
      <c r="T164" s="14"/>
      <c r="U164" s="14"/>
      <c r="V164" s="14"/>
      <c r="W164" s="15"/>
    </row>
    <row r="165" spans="2:23" x14ac:dyDescent="0.3">
      <c r="B165" s="1" t="s">
        <v>122</v>
      </c>
      <c r="C165" s="7">
        <v>2000</v>
      </c>
      <c r="D165" s="1" t="s">
        <v>60</v>
      </c>
      <c r="E165" s="7">
        <f>255</f>
        <v>255</v>
      </c>
      <c r="F165" s="4">
        <v>443636</v>
      </c>
      <c r="K165" s="12"/>
      <c r="L165" s="16"/>
      <c r="M165" s="13"/>
      <c r="N165" s="12"/>
      <c r="O165" s="14"/>
      <c r="P165" s="14"/>
      <c r="Q165" s="14"/>
      <c r="R165" s="14"/>
      <c r="S165" s="14"/>
      <c r="T165" s="14"/>
      <c r="U165" s="14"/>
      <c r="V165" s="14"/>
      <c r="W165" s="15"/>
    </row>
    <row r="166" spans="2:23" x14ac:dyDescent="0.3">
      <c r="B166" s="1" t="s">
        <v>184</v>
      </c>
      <c r="C166" s="7">
        <v>4500</v>
      </c>
      <c r="D166" s="1" t="s">
        <v>58</v>
      </c>
      <c r="E166" s="9">
        <f>82+30</f>
        <v>112</v>
      </c>
      <c r="F166" s="10">
        <f>323187+118639</f>
        <v>441826</v>
      </c>
      <c r="K166" s="12"/>
      <c r="L166" s="16"/>
      <c r="M166" s="13"/>
      <c r="N166" s="12"/>
      <c r="O166" s="14"/>
      <c r="P166" s="14"/>
      <c r="Q166" s="14"/>
      <c r="R166" s="14"/>
      <c r="S166" s="14"/>
      <c r="T166" s="14"/>
      <c r="U166" s="14"/>
      <c r="V166" s="14"/>
      <c r="W166" s="15"/>
    </row>
    <row r="167" spans="2:23" x14ac:dyDescent="0.3">
      <c r="B167" s="1" t="s">
        <v>262</v>
      </c>
      <c r="C167" s="7">
        <v>2000</v>
      </c>
      <c r="D167" s="1" t="s">
        <v>60</v>
      </c>
      <c r="E167" s="7">
        <f>244</f>
        <v>244</v>
      </c>
      <c r="F167" s="4">
        <v>441818</v>
      </c>
      <c r="K167" s="12"/>
      <c r="L167" s="16"/>
      <c r="M167" s="13"/>
      <c r="N167" s="12"/>
      <c r="O167" s="14"/>
      <c r="P167" s="14"/>
      <c r="Q167" s="14"/>
      <c r="R167" s="14"/>
      <c r="S167" s="14"/>
      <c r="T167" s="14"/>
      <c r="U167" s="14"/>
      <c r="V167" s="14"/>
      <c r="W167" s="15"/>
    </row>
    <row r="168" spans="2:23" x14ac:dyDescent="0.3">
      <c r="B168" s="1" t="s">
        <v>226</v>
      </c>
      <c r="C168" s="7">
        <v>2800</v>
      </c>
      <c r="D168" s="1" t="s">
        <v>64</v>
      </c>
      <c r="E168" s="7">
        <f>160</f>
        <v>160</v>
      </c>
      <c r="F168" s="4">
        <v>407275</v>
      </c>
      <c r="K168" s="12"/>
      <c r="L168" s="16"/>
      <c r="M168" s="13"/>
      <c r="N168" s="12"/>
      <c r="O168" s="14"/>
      <c r="P168" s="14"/>
      <c r="Q168" s="14"/>
      <c r="R168" s="14"/>
      <c r="S168" s="14"/>
      <c r="T168" s="14"/>
      <c r="U168" s="14"/>
      <c r="V168" s="14"/>
      <c r="W168" s="15"/>
    </row>
    <row r="169" spans="2:23" x14ac:dyDescent="0.3">
      <c r="B169" s="1" t="s">
        <v>112</v>
      </c>
      <c r="C169" s="7">
        <v>4500</v>
      </c>
      <c r="D169" s="1" t="s">
        <v>61</v>
      </c>
      <c r="E169" s="9">
        <f>68+36</f>
        <v>104</v>
      </c>
      <c r="F169" s="10">
        <f>270004+135003</f>
        <v>405007</v>
      </c>
      <c r="K169" s="12"/>
      <c r="L169" s="16"/>
      <c r="M169" s="13"/>
      <c r="N169" s="12"/>
      <c r="O169" s="14"/>
      <c r="P169" s="14"/>
      <c r="Q169" s="14"/>
      <c r="R169" s="14"/>
      <c r="S169" s="14"/>
      <c r="T169" s="14"/>
      <c r="U169" s="14"/>
      <c r="V169" s="14"/>
      <c r="W169" s="15"/>
    </row>
    <row r="170" spans="2:23" x14ac:dyDescent="0.3">
      <c r="B170" s="1" t="s">
        <v>168</v>
      </c>
      <c r="C170" s="7">
        <v>4500</v>
      </c>
      <c r="D170" s="1" t="s">
        <v>63</v>
      </c>
      <c r="E170" s="9">
        <f>84+1+17</f>
        <v>102</v>
      </c>
      <c r="F170" s="10">
        <f>331365+4091+69547</f>
        <v>405003</v>
      </c>
      <c r="K170" s="12"/>
      <c r="L170" s="16"/>
      <c r="M170" s="13"/>
      <c r="N170" s="12"/>
      <c r="O170" s="14"/>
      <c r="P170" s="14"/>
      <c r="Q170" s="14"/>
      <c r="R170" s="14"/>
      <c r="S170" s="14"/>
      <c r="T170" s="14"/>
      <c r="U170" s="14"/>
      <c r="V170" s="14"/>
      <c r="W170" s="15"/>
    </row>
    <row r="171" spans="2:23" x14ac:dyDescent="0.3">
      <c r="B171" s="1" t="s">
        <v>105</v>
      </c>
      <c r="C171" s="7">
        <v>4200</v>
      </c>
      <c r="D171" s="1" t="s">
        <v>61</v>
      </c>
      <c r="E171" s="9">
        <f>62+40</f>
        <v>102</v>
      </c>
      <c r="F171" s="10">
        <f>236725+148902</f>
        <v>385627</v>
      </c>
      <c r="K171" s="12"/>
      <c r="L171" s="16"/>
      <c r="M171" s="13"/>
      <c r="N171" s="12"/>
      <c r="O171" s="14"/>
      <c r="P171" s="14"/>
      <c r="Q171" s="14"/>
      <c r="R171" s="14"/>
      <c r="S171" s="14"/>
      <c r="T171" s="14"/>
      <c r="U171" s="14"/>
      <c r="V171" s="14"/>
      <c r="W171" s="15"/>
    </row>
    <row r="172" spans="2:23" x14ac:dyDescent="0.3">
      <c r="B172" s="1" t="s">
        <v>86</v>
      </c>
      <c r="C172" s="7">
        <v>3500</v>
      </c>
      <c r="D172" s="1" t="s">
        <v>62</v>
      </c>
      <c r="E172" s="9">
        <f>87+1+40</f>
        <v>128</v>
      </c>
      <c r="F172" s="10">
        <f>257731+3182+120916</f>
        <v>381829</v>
      </c>
      <c r="K172" s="12"/>
      <c r="L172" s="16"/>
      <c r="M172" s="13"/>
      <c r="N172" s="12"/>
      <c r="O172" s="14"/>
      <c r="P172" s="14"/>
      <c r="Q172" s="14"/>
      <c r="R172" s="14"/>
      <c r="S172" s="14"/>
      <c r="T172" s="14"/>
      <c r="U172" s="14"/>
      <c r="V172" s="14"/>
      <c r="W172" s="15"/>
    </row>
    <row r="173" spans="2:23" x14ac:dyDescent="0.3">
      <c r="B173" s="1" t="s">
        <v>283</v>
      </c>
      <c r="C173" s="7">
        <v>3500</v>
      </c>
      <c r="D173" s="1" t="s">
        <v>285</v>
      </c>
      <c r="E173" s="7">
        <f>134</f>
        <v>134</v>
      </c>
      <c r="F173" s="4">
        <v>372294</v>
      </c>
      <c r="K173" s="12"/>
      <c r="L173" s="16"/>
      <c r="M173" s="13"/>
      <c r="N173" s="12"/>
      <c r="O173" s="14"/>
      <c r="P173" s="14"/>
      <c r="Q173" s="14"/>
      <c r="R173" s="14"/>
      <c r="S173" s="14"/>
      <c r="T173" s="14"/>
      <c r="U173" s="14"/>
      <c r="V173" s="14"/>
      <c r="W173" s="15"/>
    </row>
    <row r="174" spans="2:23" x14ac:dyDescent="0.3">
      <c r="B174" t="s">
        <v>294</v>
      </c>
      <c r="C174" s="19">
        <v>2000</v>
      </c>
      <c r="D174" t="s">
        <v>60</v>
      </c>
      <c r="E174" s="8">
        <f>203</f>
        <v>203</v>
      </c>
      <c r="F174" s="5">
        <v>369054</v>
      </c>
      <c r="K174" s="12"/>
      <c r="L174" s="16"/>
      <c r="M174" s="13"/>
      <c r="N174" s="12"/>
      <c r="O174" s="14"/>
      <c r="P174" s="14"/>
      <c r="Q174" s="14"/>
      <c r="R174" s="14"/>
      <c r="S174" s="14"/>
      <c r="T174" s="14"/>
      <c r="U174" s="14"/>
      <c r="V174" s="14"/>
      <c r="W174" s="15"/>
    </row>
    <row r="175" spans="2:23" x14ac:dyDescent="0.3">
      <c r="B175" s="1" t="s">
        <v>167</v>
      </c>
      <c r="C175" s="7">
        <v>4500</v>
      </c>
      <c r="D175" s="1" t="s">
        <v>58</v>
      </c>
      <c r="E175" s="9">
        <f>59+34</f>
        <v>93</v>
      </c>
      <c r="F175" s="10">
        <f>237276+130912</f>
        <v>368188</v>
      </c>
      <c r="K175" s="12"/>
      <c r="L175" s="16"/>
      <c r="M175" s="13"/>
      <c r="N175" s="12"/>
      <c r="O175" s="14"/>
      <c r="P175" s="14"/>
      <c r="Q175" s="14"/>
      <c r="R175" s="14"/>
      <c r="S175" s="14"/>
      <c r="T175" s="14"/>
      <c r="U175" s="14"/>
      <c r="V175" s="14"/>
      <c r="W175" s="15"/>
    </row>
    <row r="176" spans="2:23" x14ac:dyDescent="0.3">
      <c r="B176" s="1" t="s">
        <v>207</v>
      </c>
      <c r="C176" s="7">
        <v>4300</v>
      </c>
      <c r="D176" s="1" t="s">
        <v>59</v>
      </c>
      <c r="E176" s="9">
        <f>64+2+29</f>
        <v>95</v>
      </c>
      <c r="F176" s="10">
        <f>246268+7818+109452</f>
        <v>363538</v>
      </c>
      <c r="K176" s="12"/>
      <c r="L176" s="16"/>
      <c r="M176" s="13"/>
      <c r="N176" s="12"/>
      <c r="O176" s="14"/>
      <c r="P176" s="14"/>
      <c r="Q176" s="14"/>
      <c r="R176" s="14"/>
      <c r="S176" s="14"/>
      <c r="T176" s="14"/>
      <c r="U176" s="14"/>
      <c r="V176" s="14"/>
      <c r="W176" s="15"/>
    </row>
    <row r="177" spans="2:23" x14ac:dyDescent="0.3">
      <c r="B177" s="1" t="s">
        <v>218</v>
      </c>
      <c r="C177" s="7">
        <v>4000</v>
      </c>
      <c r="D177" s="1" t="s">
        <v>58</v>
      </c>
      <c r="E177" s="9">
        <f>65+31</f>
        <v>96</v>
      </c>
      <c r="F177" s="10">
        <f>218635+109080</f>
        <v>327715</v>
      </c>
      <c r="K177" s="12"/>
      <c r="L177" s="16"/>
      <c r="M177" s="13"/>
      <c r="N177" s="12"/>
      <c r="O177" s="14"/>
      <c r="P177" s="14"/>
      <c r="Q177" s="14"/>
      <c r="R177" s="14"/>
      <c r="S177" s="14"/>
      <c r="T177" s="14"/>
      <c r="U177" s="14"/>
      <c r="V177" s="14"/>
      <c r="W177" s="15"/>
    </row>
    <row r="178" spans="2:23" x14ac:dyDescent="0.3">
      <c r="B178" s="1" t="s">
        <v>116</v>
      </c>
      <c r="C178" s="7">
        <v>4500</v>
      </c>
      <c r="D178" s="1" t="s">
        <v>61</v>
      </c>
      <c r="E178" s="9">
        <f>50+27</f>
        <v>77</v>
      </c>
      <c r="F178" s="10">
        <f>204549+110457</f>
        <v>315006</v>
      </c>
      <c r="K178" s="12"/>
      <c r="L178" s="16"/>
      <c r="M178" s="13"/>
      <c r="N178" s="12"/>
      <c r="O178" s="14"/>
      <c r="P178" s="14"/>
      <c r="Q178" s="14"/>
      <c r="R178" s="14"/>
      <c r="S178" s="14"/>
      <c r="T178" s="14"/>
      <c r="U178" s="14"/>
      <c r="V178" s="14"/>
      <c r="W178" s="15"/>
    </row>
    <row r="179" spans="2:23" x14ac:dyDescent="0.3">
      <c r="B179" s="1" t="s">
        <v>124</v>
      </c>
      <c r="C179" s="7">
        <v>2000</v>
      </c>
      <c r="D179" s="1" t="s">
        <v>60</v>
      </c>
      <c r="E179" s="7">
        <f>171</f>
        <v>171</v>
      </c>
      <c r="F179" s="4">
        <v>310909</v>
      </c>
      <c r="K179" s="12"/>
      <c r="L179" s="16"/>
      <c r="M179" s="13"/>
      <c r="N179" s="12"/>
      <c r="O179" s="14"/>
      <c r="P179" s="14"/>
      <c r="Q179" s="14"/>
      <c r="R179" s="14"/>
      <c r="S179" s="14"/>
      <c r="T179" s="14"/>
      <c r="U179" s="14"/>
      <c r="V179" s="14"/>
      <c r="W179" s="15"/>
    </row>
    <row r="180" spans="2:23" x14ac:dyDescent="0.3">
      <c r="B180" s="1" t="s">
        <v>187</v>
      </c>
      <c r="C180" s="7">
        <v>340000</v>
      </c>
      <c r="D180" s="1" t="s">
        <v>60</v>
      </c>
      <c r="E180" s="7">
        <f>1</f>
        <v>1</v>
      </c>
      <c r="F180" s="4">
        <v>309091</v>
      </c>
      <c r="K180" s="12"/>
      <c r="L180" s="16"/>
      <c r="M180" s="13"/>
      <c r="N180" s="12"/>
      <c r="O180" s="14"/>
      <c r="P180" s="14"/>
      <c r="Q180" s="14"/>
      <c r="R180" s="14"/>
      <c r="S180" s="14"/>
      <c r="T180" s="14"/>
      <c r="U180" s="14"/>
      <c r="V180" s="14"/>
      <c r="W180" s="15"/>
    </row>
    <row r="181" spans="2:23" x14ac:dyDescent="0.3">
      <c r="B181" s="1" t="s">
        <v>183</v>
      </c>
      <c r="C181" s="7">
        <v>4500</v>
      </c>
      <c r="D181" s="1" t="s">
        <v>58</v>
      </c>
      <c r="E181" s="9">
        <f>55+20</f>
        <v>75</v>
      </c>
      <c r="F181" s="10">
        <f>220914+77729</f>
        <v>298643</v>
      </c>
      <c r="K181" s="12"/>
      <c r="L181" s="16"/>
      <c r="M181" s="13"/>
      <c r="N181" s="12"/>
      <c r="O181" s="14"/>
      <c r="P181" s="14"/>
      <c r="Q181" s="14"/>
      <c r="R181" s="14"/>
      <c r="S181" s="14"/>
      <c r="T181" s="14"/>
      <c r="U181" s="14"/>
      <c r="V181" s="14"/>
      <c r="W181" s="15"/>
    </row>
    <row r="182" spans="2:23" x14ac:dyDescent="0.3">
      <c r="B182" s="1" t="s">
        <v>128</v>
      </c>
      <c r="C182" s="7">
        <v>2000</v>
      </c>
      <c r="D182" s="1" t="s">
        <v>60</v>
      </c>
      <c r="E182" s="7">
        <f>144</f>
        <v>144</v>
      </c>
      <c r="F182" s="4">
        <v>261818</v>
      </c>
      <c r="K182" s="12"/>
      <c r="L182" s="16"/>
      <c r="M182" s="13"/>
      <c r="N182" s="12"/>
      <c r="O182" s="14"/>
      <c r="P182" s="14"/>
      <c r="Q182" s="14"/>
      <c r="R182" s="14"/>
      <c r="S182" s="14"/>
      <c r="T182" s="14"/>
      <c r="U182" s="14"/>
      <c r="V182" s="14"/>
      <c r="W182" s="15"/>
    </row>
    <row r="183" spans="2:23" x14ac:dyDescent="0.3">
      <c r="B183" s="1" t="s">
        <v>208</v>
      </c>
      <c r="C183" s="7">
        <v>4300</v>
      </c>
      <c r="D183" s="1" t="s">
        <v>58</v>
      </c>
      <c r="E183" s="9">
        <f>55+10</f>
        <v>65</v>
      </c>
      <c r="F183" s="10">
        <f>212904+39090</f>
        <v>251994</v>
      </c>
      <c r="K183" s="12"/>
      <c r="L183" s="16"/>
      <c r="M183" s="13"/>
      <c r="N183" s="12"/>
      <c r="O183" s="14"/>
      <c r="P183" s="14"/>
      <c r="Q183" s="14"/>
      <c r="R183" s="14"/>
      <c r="S183" s="14"/>
      <c r="T183" s="14"/>
      <c r="U183" s="14"/>
      <c r="V183" s="14"/>
      <c r="W183" s="15"/>
    </row>
    <row r="184" spans="2:23" x14ac:dyDescent="0.3">
      <c r="B184" s="1" t="s">
        <v>263</v>
      </c>
      <c r="C184" s="7">
        <v>2000</v>
      </c>
      <c r="D184" s="1" t="s">
        <v>60</v>
      </c>
      <c r="E184" s="7">
        <f>135</f>
        <v>135</v>
      </c>
      <c r="F184" s="4">
        <v>245455</v>
      </c>
      <c r="K184" s="12"/>
      <c r="L184" s="16"/>
      <c r="M184" s="13"/>
      <c r="N184" s="12"/>
      <c r="O184" s="14"/>
      <c r="P184" s="14"/>
      <c r="Q184" s="14"/>
      <c r="R184" s="14"/>
      <c r="S184" s="14"/>
      <c r="T184" s="14"/>
      <c r="U184" s="14"/>
      <c r="V184" s="14"/>
      <c r="W184" s="15"/>
    </row>
    <row r="185" spans="2:23" x14ac:dyDescent="0.3">
      <c r="B185" s="1" t="s">
        <v>147</v>
      </c>
      <c r="C185" s="7">
        <v>2700</v>
      </c>
      <c r="D185" s="1" t="s">
        <v>63</v>
      </c>
      <c r="E185" s="7">
        <f>95</f>
        <v>95</v>
      </c>
      <c r="F185" s="4">
        <v>230728</v>
      </c>
      <c r="K185" s="12"/>
      <c r="L185" s="16"/>
      <c r="M185" s="13"/>
      <c r="N185" s="12"/>
      <c r="O185" s="14"/>
      <c r="P185" s="14"/>
      <c r="Q185" s="14"/>
      <c r="R185" s="14"/>
      <c r="S185" s="14"/>
      <c r="T185" s="14"/>
      <c r="U185" s="14"/>
      <c r="V185" s="14"/>
      <c r="W185" s="15"/>
    </row>
    <row r="186" spans="2:23" x14ac:dyDescent="0.3">
      <c r="B186" s="1" t="s">
        <v>222</v>
      </c>
      <c r="C186" s="7">
        <v>4500</v>
      </c>
      <c r="D186" s="1" t="s">
        <v>59</v>
      </c>
      <c r="E186" s="9">
        <f>36+20</f>
        <v>56</v>
      </c>
      <c r="F186" s="10">
        <f>147276+81820</f>
        <v>229096</v>
      </c>
      <c r="K186" s="12"/>
      <c r="L186" s="16"/>
      <c r="M186" s="13"/>
      <c r="N186" s="12"/>
      <c r="O186" s="14"/>
      <c r="P186" s="14"/>
      <c r="Q186" s="14"/>
      <c r="R186" s="14"/>
      <c r="S186" s="14"/>
      <c r="T186" s="14"/>
      <c r="U186" s="14"/>
      <c r="V186" s="14"/>
      <c r="W186" s="15"/>
    </row>
    <row r="187" spans="2:23" x14ac:dyDescent="0.3">
      <c r="B187" t="s">
        <v>299</v>
      </c>
      <c r="C187" s="19">
        <v>10000</v>
      </c>
      <c r="D187" t="s">
        <v>60</v>
      </c>
      <c r="E187" s="8">
        <f>25</f>
        <v>25</v>
      </c>
      <c r="F187" s="5">
        <v>227275</v>
      </c>
      <c r="K187" s="12"/>
      <c r="L187" s="16"/>
      <c r="M187" s="13"/>
      <c r="N187" s="12"/>
      <c r="O187" s="14"/>
      <c r="P187" s="14"/>
      <c r="Q187" s="14"/>
      <c r="R187" s="14"/>
      <c r="S187" s="14"/>
      <c r="T187" s="14"/>
      <c r="U187" s="14"/>
      <c r="V187" s="14"/>
      <c r="W187" s="15"/>
    </row>
    <row r="188" spans="2:23" x14ac:dyDescent="0.3">
      <c r="B188" s="1" t="s">
        <v>186</v>
      </c>
      <c r="C188" s="7">
        <v>250000</v>
      </c>
      <c r="D188" s="1" t="s">
        <v>60</v>
      </c>
      <c r="E188" s="7">
        <f>1</f>
        <v>1</v>
      </c>
      <c r="F188" s="4">
        <v>227273</v>
      </c>
      <c r="K188" s="12"/>
      <c r="L188" s="16"/>
      <c r="M188" s="13"/>
      <c r="N188" s="12"/>
      <c r="O188" s="14"/>
      <c r="P188" s="14"/>
      <c r="Q188" s="14"/>
      <c r="R188" s="14"/>
      <c r="S188" s="14"/>
      <c r="T188" s="14"/>
      <c r="U188" s="14"/>
      <c r="V188" s="14"/>
      <c r="W188" s="15"/>
    </row>
    <row r="189" spans="2:23" x14ac:dyDescent="0.3">
      <c r="B189" s="1" t="s">
        <v>198</v>
      </c>
      <c r="C189" s="7">
        <v>4000</v>
      </c>
      <c r="D189" s="1" t="s">
        <v>59</v>
      </c>
      <c r="E189" s="9">
        <f>45+19</f>
        <v>64</v>
      </c>
      <c r="F189" s="10">
        <f>163633+61812</f>
        <v>225445</v>
      </c>
      <c r="K189" s="12"/>
      <c r="L189" s="16"/>
      <c r="M189" s="13"/>
      <c r="N189" s="12"/>
      <c r="O189" s="14"/>
      <c r="P189" s="14"/>
      <c r="Q189" s="14"/>
      <c r="R189" s="14"/>
      <c r="S189" s="14"/>
      <c r="T189" s="14"/>
      <c r="U189" s="14"/>
      <c r="V189" s="14"/>
      <c r="W189" s="15"/>
    </row>
    <row r="190" spans="2:23" x14ac:dyDescent="0.3">
      <c r="B190" s="1" t="s">
        <v>17</v>
      </c>
      <c r="C190" s="7">
        <v>4000</v>
      </c>
      <c r="D190" s="1" t="s">
        <v>63</v>
      </c>
      <c r="E190" s="9">
        <f>32+43</f>
        <v>75</v>
      </c>
      <c r="F190" s="10">
        <f>87268+138168</f>
        <v>225436</v>
      </c>
      <c r="K190" s="12"/>
      <c r="L190" s="16"/>
      <c r="M190" s="13"/>
      <c r="N190" s="12"/>
      <c r="O190" s="14"/>
      <c r="P190" s="14"/>
      <c r="Q190" s="14"/>
      <c r="R190" s="14"/>
      <c r="S190" s="14"/>
      <c r="T190" s="14"/>
      <c r="U190" s="14"/>
      <c r="V190" s="14"/>
      <c r="W190" s="15"/>
    </row>
    <row r="191" spans="2:23" x14ac:dyDescent="0.3">
      <c r="B191" s="18" t="s">
        <v>304</v>
      </c>
      <c r="C191" s="7">
        <v>4000</v>
      </c>
      <c r="D191" s="1" t="s">
        <v>62</v>
      </c>
      <c r="E191" s="9">
        <f>3+32+25</f>
        <v>60</v>
      </c>
      <c r="F191" s="10">
        <f>10909+116361+87264</f>
        <v>214534</v>
      </c>
      <c r="K191" s="12"/>
      <c r="L191" s="16"/>
      <c r="M191" s="13"/>
      <c r="N191" s="12"/>
      <c r="O191" s="14"/>
      <c r="P191" s="14"/>
      <c r="Q191" s="14"/>
      <c r="R191" s="14"/>
      <c r="S191" s="14"/>
      <c r="T191" s="14"/>
      <c r="U191" s="14"/>
      <c r="V191" s="14"/>
      <c r="W191" s="15"/>
    </row>
    <row r="192" spans="2:23" x14ac:dyDescent="0.3">
      <c r="B192" s="1" t="s">
        <v>179</v>
      </c>
      <c r="C192" s="7">
        <v>4000</v>
      </c>
      <c r="D192" s="1" t="s">
        <v>62</v>
      </c>
      <c r="E192" s="9">
        <f>31+28</f>
        <v>59</v>
      </c>
      <c r="F192" s="10">
        <f>112725+101808</f>
        <v>214533</v>
      </c>
      <c r="K192" s="12"/>
      <c r="L192" s="16"/>
      <c r="M192" s="13"/>
      <c r="N192" s="12"/>
      <c r="O192" s="14"/>
      <c r="P192" s="14"/>
      <c r="Q192" s="14"/>
      <c r="R192" s="14"/>
      <c r="S192" s="14"/>
      <c r="T192" s="14"/>
      <c r="U192" s="14"/>
      <c r="V192" s="14"/>
      <c r="W192" s="15"/>
    </row>
    <row r="193" spans="2:23" x14ac:dyDescent="0.3">
      <c r="B193" s="1" t="s">
        <v>172</v>
      </c>
      <c r="C193" s="7">
        <v>4500</v>
      </c>
      <c r="D193" s="1" t="s">
        <v>58</v>
      </c>
      <c r="E193" s="9">
        <f>41+15</f>
        <v>56</v>
      </c>
      <c r="F193" s="10">
        <f>143185+61365</f>
        <v>204550</v>
      </c>
      <c r="K193" s="12"/>
      <c r="L193" s="16"/>
      <c r="M193" s="13"/>
      <c r="N193" s="12"/>
      <c r="O193" s="14"/>
      <c r="P193" s="14"/>
      <c r="Q193" s="14"/>
      <c r="R193" s="14"/>
      <c r="S193" s="14"/>
      <c r="T193" s="14"/>
      <c r="U193" s="14"/>
      <c r="V193" s="14"/>
      <c r="W193" s="15"/>
    </row>
    <row r="194" spans="2:23" x14ac:dyDescent="0.3">
      <c r="B194" s="1" t="s">
        <v>104</v>
      </c>
      <c r="C194" s="7">
        <v>4000</v>
      </c>
      <c r="D194" s="1" t="s">
        <v>62</v>
      </c>
      <c r="E194" s="9">
        <f>37+16+3</f>
        <v>56</v>
      </c>
      <c r="F194" s="10">
        <f>134540+58176+10909</f>
        <v>203625</v>
      </c>
      <c r="K194" s="12"/>
      <c r="L194" s="16"/>
      <c r="M194" s="13"/>
      <c r="N194" s="12"/>
      <c r="O194" s="14"/>
      <c r="P194" s="14"/>
      <c r="Q194" s="14"/>
      <c r="R194" s="14"/>
      <c r="S194" s="14"/>
      <c r="T194" s="14"/>
      <c r="U194" s="14"/>
      <c r="V194" s="14"/>
      <c r="W194" s="15"/>
    </row>
    <row r="195" spans="2:23" x14ac:dyDescent="0.3">
      <c r="B195" s="1" t="s">
        <v>271</v>
      </c>
      <c r="C195" s="7">
        <v>2000</v>
      </c>
      <c r="D195" s="1" t="s">
        <v>60</v>
      </c>
      <c r="E195" s="7">
        <f>109</f>
        <v>109</v>
      </c>
      <c r="F195" s="4">
        <v>198181</v>
      </c>
      <c r="K195" s="12"/>
      <c r="L195" s="16"/>
      <c r="M195" s="13"/>
      <c r="N195" s="12"/>
      <c r="O195" s="14"/>
      <c r="P195" s="14"/>
      <c r="Q195" s="14"/>
      <c r="R195" s="14"/>
      <c r="S195" s="14"/>
      <c r="T195" s="14"/>
      <c r="U195" s="14"/>
      <c r="V195" s="14"/>
      <c r="W195" s="15"/>
    </row>
    <row r="196" spans="2:23" x14ac:dyDescent="0.3">
      <c r="B196" s="1" t="s">
        <v>211</v>
      </c>
      <c r="C196" s="7">
        <v>4500</v>
      </c>
      <c r="D196" s="1" t="s">
        <v>58</v>
      </c>
      <c r="E196" s="9">
        <f>33+16</f>
        <v>49</v>
      </c>
      <c r="F196" s="10">
        <f>126821+65456</f>
        <v>192277</v>
      </c>
      <c r="K196" s="12"/>
      <c r="L196" s="16"/>
      <c r="M196" s="13"/>
      <c r="N196" s="12"/>
      <c r="O196" s="14"/>
      <c r="P196" s="14"/>
      <c r="Q196" s="14"/>
      <c r="R196" s="14"/>
      <c r="S196" s="14"/>
      <c r="T196" s="14"/>
      <c r="U196" s="14"/>
      <c r="V196" s="14"/>
      <c r="W196" s="15"/>
    </row>
    <row r="197" spans="2:23" x14ac:dyDescent="0.3">
      <c r="B197" s="1" t="s">
        <v>275</v>
      </c>
      <c r="C197" s="7">
        <v>15000</v>
      </c>
      <c r="D197" s="1" t="s">
        <v>70</v>
      </c>
      <c r="E197" s="9">
        <f>4+10</f>
        <v>14</v>
      </c>
      <c r="F197" s="10">
        <f>54545+136360</f>
        <v>190905</v>
      </c>
      <c r="K197" s="12"/>
      <c r="L197" s="16"/>
      <c r="M197" s="13"/>
      <c r="N197" s="12"/>
      <c r="O197" s="14"/>
      <c r="P197" s="14"/>
      <c r="Q197" s="14"/>
      <c r="R197" s="14"/>
      <c r="S197" s="14"/>
      <c r="T197" s="14"/>
      <c r="U197" s="14"/>
      <c r="V197" s="14"/>
      <c r="W197" s="15"/>
    </row>
    <row r="198" spans="2:23" x14ac:dyDescent="0.3">
      <c r="B198" t="s">
        <v>301</v>
      </c>
      <c r="C198" s="19">
        <v>209500</v>
      </c>
      <c r="D198" t="s">
        <v>60</v>
      </c>
      <c r="E198" s="8">
        <f>1</f>
        <v>1</v>
      </c>
      <c r="F198" s="5">
        <v>190455</v>
      </c>
      <c r="K198" s="12"/>
      <c r="L198" s="16"/>
      <c r="M198" s="13"/>
      <c r="N198" s="12"/>
      <c r="O198" s="14"/>
      <c r="P198" s="14"/>
      <c r="Q198" s="14"/>
      <c r="R198" s="14"/>
      <c r="S198" s="14"/>
      <c r="T198" s="14"/>
      <c r="U198" s="14"/>
      <c r="V198" s="14"/>
      <c r="W198" s="15"/>
    </row>
    <row r="199" spans="2:23" x14ac:dyDescent="0.3">
      <c r="B199" s="1" t="s">
        <v>74</v>
      </c>
      <c r="C199" s="7">
        <v>10000</v>
      </c>
      <c r="D199" s="1" t="s">
        <v>60</v>
      </c>
      <c r="E199" s="7">
        <f>20</f>
        <v>20</v>
      </c>
      <c r="F199" s="4">
        <v>181818</v>
      </c>
      <c r="K199" s="12"/>
      <c r="L199" s="16"/>
      <c r="M199" s="13"/>
      <c r="N199" s="12"/>
      <c r="O199" s="14"/>
      <c r="P199" s="14"/>
      <c r="Q199" s="14"/>
      <c r="R199" s="14"/>
      <c r="S199" s="14"/>
      <c r="T199" s="14"/>
      <c r="U199" s="14"/>
      <c r="V199" s="14"/>
      <c r="W199" s="15"/>
    </row>
    <row r="200" spans="2:23" x14ac:dyDescent="0.3">
      <c r="B200" s="1" t="s">
        <v>182</v>
      </c>
      <c r="C200" s="7">
        <v>4000</v>
      </c>
      <c r="D200" s="1" t="s">
        <v>62</v>
      </c>
      <c r="E200" s="9">
        <f>29+21</f>
        <v>50</v>
      </c>
      <c r="F200" s="10">
        <f>105450+76356</f>
        <v>181806</v>
      </c>
      <c r="K200" s="12"/>
      <c r="L200" s="16"/>
      <c r="M200" s="13"/>
      <c r="N200" s="12"/>
      <c r="O200" s="14"/>
      <c r="P200" s="14"/>
      <c r="Q200" s="14"/>
      <c r="R200" s="14"/>
      <c r="S200" s="14"/>
      <c r="T200" s="14"/>
      <c r="U200" s="14"/>
      <c r="V200" s="14"/>
      <c r="W200" s="15"/>
    </row>
    <row r="201" spans="2:23" x14ac:dyDescent="0.3">
      <c r="B201" s="1" t="s">
        <v>210</v>
      </c>
      <c r="C201" s="7">
        <v>4300</v>
      </c>
      <c r="D201" s="1" t="s">
        <v>59</v>
      </c>
      <c r="E201" s="9">
        <f>42+1</f>
        <v>43</v>
      </c>
      <c r="F201" s="10">
        <f>160724+3909</f>
        <v>164633</v>
      </c>
      <c r="K201" s="12"/>
      <c r="L201" s="16"/>
      <c r="M201" s="13"/>
      <c r="N201" s="12"/>
      <c r="O201" s="14"/>
      <c r="P201" s="14"/>
      <c r="Q201" s="14"/>
      <c r="R201" s="14"/>
      <c r="S201" s="14"/>
      <c r="T201" s="14"/>
      <c r="U201" s="14"/>
      <c r="V201" s="14"/>
      <c r="W201" s="15"/>
    </row>
    <row r="202" spans="2:23" x14ac:dyDescent="0.3">
      <c r="B202" s="1" t="s">
        <v>74</v>
      </c>
      <c r="C202" s="7">
        <v>180000</v>
      </c>
      <c r="D202" s="1" t="s">
        <v>60</v>
      </c>
      <c r="E202" s="7">
        <f>1</f>
        <v>1</v>
      </c>
      <c r="F202" s="4">
        <v>163636</v>
      </c>
      <c r="K202" s="12"/>
      <c r="L202" s="16"/>
      <c r="M202" s="13"/>
      <c r="N202" s="12"/>
      <c r="O202" s="14"/>
      <c r="P202" s="14"/>
      <c r="Q202" s="14"/>
      <c r="R202" s="14"/>
      <c r="S202" s="14"/>
      <c r="T202" s="14"/>
      <c r="U202" s="14"/>
      <c r="V202" s="14"/>
      <c r="W202" s="15"/>
    </row>
    <row r="203" spans="2:23" x14ac:dyDescent="0.3">
      <c r="B203" s="1" t="s">
        <v>134</v>
      </c>
      <c r="C203" s="7">
        <v>3500</v>
      </c>
      <c r="D203" s="1" t="s">
        <v>70</v>
      </c>
      <c r="E203" s="7">
        <f>58</f>
        <v>58</v>
      </c>
      <c r="F203" s="4">
        <v>162272</v>
      </c>
      <c r="K203" s="12"/>
      <c r="L203" s="16"/>
      <c r="M203" s="13"/>
      <c r="N203" s="12"/>
      <c r="O203" s="14"/>
      <c r="P203" s="14"/>
      <c r="Q203" s="14"/>
      <c r="R203" s="14"/>
      <c r="S203" s="14"/>
      <c r="T203" s="14"/>
      <c r="U203" s="14"/>
      <c r="V203" s="14"/>
      <c r="W203" s="15"/>
    </row>
    <row r="204" spans="2:23" x14ac:dyDescent="0.3">
      <c r="B204" s="1" t="s">
        <v>280</v>
      </c>
      <c r="C204" s="7">
        <v>500</v>
      </c>
      <c r="D204" s="1" t="s">
        <v>70</v>
      </c>
      <c r="E204" s="9">
        <f>189+136</f>
        <v>325</v>
      </c>
      <c r="F204" s="10">
        <f>84555+58695</f>
        <v>143250</v>
      </c>
      <c r="K204" s="12"/>
      <c r="L204" s="17"/>
      <c r="M204" s="13"/>
      <c r="N204" s="12"/>
      <c r="O204" s="14"/>
      <c r="P204" s="14"/>
      <c r="Q204" s="14"/>
      <c r="R204" s="14"/>
      <c r="S204" s="14"/>
      <c r="T204" s="14"/>
      <c r="U204" s="14"/>
      <c r="V204" s="14"/>
      <c r="W204" s="15"/>
    </row>
    <row r="205" spans="2:23" x14ac:dyDescent="0.3">
      <c r="B205" s="1" t="s">
        <v>155</v>
      </c>
      <c r="C205" s="7">
        <v>2800</v>
      </c>
      <c r="D205" s="1" t="s">
        <v>63</v>
      </c>
      <c r="E205" s="7">
        <f>57</f>
        <v>57</v>
      </c>
      <c r="F205" s="4">
        <v>140000</v>
      </c>
      <c r="K205" s="12"/>
      <c r="L205" s="16"/>
      <c r="M205" s="13"/>
      <c r="N205" s="12"/>
      <c r="O205" s="14"/>
      <c r="P205" s="14"/>
      <c r="Q205" s="14"/>
      <c r="R205" s="14"/>
      <c r="S205" s="14"/>
      <c r="T205" s="14"/>
      <c r="U205" s="14"/>
      <c r="V205" s="14"/>
      <c r="W205" s="15"/>
    </row>
    <row r="206" spans="2:23" x14ac:dyDescent="0.3">
      <c r="B206" s="1" t="s">
        <v>74</v>
      </c>
      <c r="C206" s="7">
        <v>50000</v>
      </c>
      <c r="D206" s="1" t="s">
        <v>60</v>
      </c>
      <c r="E206" s="7">
        <f>3</f>
        <v>3</v>
      </c>
      <c r="F206" s="4">
        <v>136365</v>
      </c>
      <c r="K206" s="12"/>
      <c r="L206" s="17"/>
      <c r="M206" s="13"/>
      <c r="N206" s="12"/>
      <c r="O206" s="14"/>
      <c r="P206" s="14"/>
      <c r="Q206" s="14"/>
      <c r="R206" s="14"/>
      <c r="S206" s="14"/>
      <c r="T206" s="14"/>
      <c r="U206" s="14"/>
      <c r="V206" s="14"/>
      <c r="W206" s="15"/>
    </row>
    <row r="207" spans="2:23" x14ac:dyDescent="0.3">
      <c r="B207" s="1" t="s">
        <v>111</v>
      </c>
      <c r="C207" s="7">
        <v>4300</v>
      </c>
      <c r="D207" s="1" t="s">
        <v>61</v>
      </c>
      <c r="E207" s="9">
        <f>14+6+10+4</f>
        <v>34</v>
      </c>
      <c r="F207" s="10">
        <f>54726+23454+39090+13818</f>
        <v>131088</v>
      </c>
      <c r="K207" s="12"/>
      <c r="L207" s="16"/>
      <c r="M207" s="13"/>
      <c r="N207" s="12"/>
      <c r="O207" s="14"/>
      <c r="P207" s="14"/>
      <c r="Q207" s="14"/>
      <c r="R207" s="14"/>
      <c r="S207" s="14"/>
      <c r="T207" s="14"/>
      <c r="U207" s="14"/>
      <c r="V207" s="14"/>
      <c r="W207" s="15"/>
    </row>
    <row r="208" spans="2:23" x14ac:dyDescent="0.3">
      <c r="B208" s="18" t="s">
        <v>303</v>
      </c>
      <c r="C208" s="7">
        <v>4500</v>
      </c>
      <c r="D208" s="1" t="s">
        <v>62</v>
      </c>
      <c r="E208" s="9">
        <f>2+12+18</f>
        <v>32</v>
      </c>
      <c r="F208" s="10">
        <f>8182+49092+73638</f>
        <v>130912</v>
      </c>
      <c r="K208" s="12"/>
      <c r="L208" s="16"/>
      <c r="M208" s="13"/>
      <c r="N208" s="12"/>
      <c r="O208" s="14"/>
      <c r="P208" s="14"/>
      <c r="Q208" s="14"/>
      <c r="R208" s="14"/>
      <c r="S208" s="14"/>
      <c r="T208" s="14"/>
      <c r="U208" s="14"/>
      <c r="V208" s="14"/>
      <c r="W208" s="15"/>
    </row>
    <row r="209" spans="2:23" x14ac:dyDescent="0.3">
      <c r="B209" s="1" t="s">
        <v>266</v>
      </c>
      <c r="C209" s="7">
        <v>2000</v>
      </c>
      <c r="D209" s="1" t="s">
        <v>60</v>
      </c>
      <c r="E209" s="7">
        <f>72</f>
        <v>72</v>
      </c>
      <c r="F209" s="4">
        <v>130909</v>
      </c>
      <c r="K209" s="12"/>
      <c r="L209" s="16"/>
      <c r="M209" s="13"/>
      <c r="N209" s="12"/>
      <c r="O209" s="14"/>
      <c r="P209" s="14"/>
      <c r="Q209" s="14"/>
      <c r="R209" s="14"/>
      <c r="S209" s="14"/>
      <c r="T209" s="14"/>
      <c r="U209" s="14"/>
      <c r="V209" s="14"/>
      <c r="W209" s="15"/>
    </row>
    <row r="210" spans="2:23" x14ac:dyDescent="0.3">
      <c r="B210" s="1" t="s">
        <v>284</v>
      </c>
      <c r="C210" s="7">
        <v>3500</v>
      </c>
      <c r="D210" s="1" t="s">
        <v>285</v>
      </c>
      <c r="E210" s="7">
        <f>38</f>
        <v>38</v>
      </c>
      <c r="F210" s="4">
        <v>117734</v>
      </c>
      <c r="K210" s="12"/>
      <c r="L210" s="16"/>
      <c r="M210" s="13"/>
      <c r="N210" s="12"/>
      <c r="O210" s="14"/>
      <c r="P210" s="14"/>
      <c r="Q210" s="14"/>
      <c r="R210" s="14"/>
      <c r="S210" s="14"/>
      <c r="T210" s="14"/>
      <c r="U210" s="14"/>
      <c r="V210" s="14"/>
      <c r="W210" s="15"/>
    </row>
    <row r="211" spans="2:23" x14ac:dyDescent="0.3">
      <c r="B211" s="1" t="s">
        <v>223</v>
      </c>
      <c r="C211" s="7">
        <v>4800</v>
      </c>
      <c r="D211" s="1" t="s">
        <v>58</v>
      </c>
      <c r="E211" s="9">
        <f>6+16+5</f>
        <v>27</v>
      </c>
      <c r="F211" s="10">
        <f>26184+69824+19545</f>
        <v>115553</v>
      </c>
      <c r="K211" s="12"/>
      <c r="L211" s="16"/>
      <c r="M211" s="13"/>
      <c r="N211" s="12"/>
      <c r="O211" s="14"/>
      <c r="P211" s="14"/>
      <c r="Q211" s="14"/>
      <c r="R211" s="14"/>
      <c r="S211" s="14"/>
      <c r="T211" s="14"/>
      <c r="U211" s="14"/>
      <c r="V211" s="14"/>
      <c r="W211" s="15"/>
    </row>
    <row r="212" spans="2:23" x14ac:dyDescent="0.3">
      <c r="B212" s="20" t="s">
        <v>287</v>
      </c>
      <c r="C212" s="7">
        <v>3500</v>
      </c>
      <c r="D212" s="1" t="s">
        <v>61</v>
      </c>
      <c r="E212" s="9">
        <f>42</f>
        <v>42</v>
      </c>
      <c r="F212" s="10">
        <v>114552</v>
      </c>
      <c r="K212" s="12"/>
      <c r="L212" s="16"/>
      <c r="M212" s="13"/>
      <c r="N212" s="12"/>
      <c r="O212" s="14"/>
      <c r="P212" s="14"/>
      <c r="Q212" s="14"/>
      <c r="R212" s="14"/>
      <c r="S212" s="14"/>
      <c r="T212" s="14"/>
      <c r="U212" s="14"/>
      <c r="V212" s="14"/>
      <c r="W212" s="15"/>
    </row>
    <row r="213" spans="2:23" x14ac:dyDescent="0.3">
      <c r="B213" s="1" t="s">
        <v>209</v>
      </c>
      <c r="C213" s="7">
        <v>4300</v>
      </c>
      <c r="D213" s="1" t="s">
        <v>58</v>
      </c>
      <c r="E213" s="9">
        <f>24+5</f>
        <v>29</v>
      </c>
      <c r="F213" s="10">
        <f>93816+19545</f>
        <v>113361</v>
      </c>
      <c r="K213" s="12"/>
      <c r="L213" s="16"/>
      <c r="M213" s="13"/>
      <c r="N213" s="12"/>
      <c r="O213" s="14"/>
      <c r="P213" s="14"/>
      <c r="Q213" s="14"/>
      <c r="R213" s="14"/>
      <c r="S213" s="14"/>
      <c r="T213" s="14"/>
      <c r="U213" s="14"/>
      <c r="V213" s="14"/>
      <c r="W213" s="15"/>
    </row>
    <row r="214" spans="2:23" x14ac:dyDescent="0.3">
      <c r="B214" s="1" t="s">
        <v>139</v>
      </c>
      <c r="C214" s="7">
        <v>3000</v>
      </c>
      <c r="D214" s="1" t="s">
        <v>63</v>
      </c>
      <c r="E214" s="7">
        <f>41</f>
        <v>41</v>
      </c>
      <c r="F214" s="4">
        <v>111818</v>
      </c>
      <c r="K214" s="12"/>
      <c r="L214" s="16"/>
      <c r="M214" s="13"/>
      <c r="N214" s="12"/>
      <c r="O214" s="14"/>
      <c r="P214" s="14"/>
      <c r="Q214" s="14"/>
      <c r="R214" s="14"/>
      <c r="S214" s="14"/>
      <c r="T214" s="14"/>
      <c r="U214" s="14"/>
      <c r="V214" s="14"/>
      <c r="W214" s="15"/>
    </row>
    <row r="215" spans="2:23" x14ac:dyDescent="0.3">
      <c r="B215" s="1" t="s">
        <v>133</v>
      </c>
      <c r="C215" s="7">
        <v>3300</v>
      </c>
      <c r="D215" s="1" t="s">
        <v>70</v>
      </c>
      <c r="E215" s="7">
        <f>39</f>
        <v>39</v>
      </c>
      <c r="F215" s="4">
        <v>111000</v>
      </c>
      <c r="K215" s="12"/>
      <c r="L215" s="16"/>
      <c r="M215" s="13"/>
      <c r="N215" s="12"/>
      <c r="O215" s="14"/>
      <c r="P215" s="14"/>
      <c r="Q215" s="14"/>
      <c r="R215" s="14"/>
      <c r="S215" s="14"/>
      <c r="T215" s="14"/>
      <c r="U215" s="14"/>
      <c r="V215" s="14"/>
      <c r="W215" s="15"/>
    </row>
    <row r="216" spans="2:23" x14ac:dyDescent="0.3">
      <c r="B216" s="1" t="s">
        <v>173</v>
      </c>
      <c r="C216" s="7">
        <v>4000</v>
      </c>
      <c r="D216" s="1" t="s">
        <v>62</v>
      </c>
      <c r="E216" s="9">
        <f>21+9</f>
        <v>30</v>
      </c>
      <c r="F216" s="10">
        <f>76361+32724</f>
        <v>109085</v>
      </c>
      <c r="K216" s="12"/>
      <c r="L216" s="16"/>
      <c r="M216" s="13"/>
      <c r="N216" s="12"/>
      <c r="O216" s="14"/>
      <c r="P216" s="14"/>
      <c r="Q216" s="14"/>
      <c r="R216" s="14"/>
      <c r="S216" s="14"/>
      <c r="T216" s="14"/>
      <c r="U216" s="14"/>
      <c r="V216" s="14"/>
      <c r="W216" s="15"/>
    </row>
    <row r="217" spans="2:23" x14ac:dyDescent="0.3">
      <c r="B217" s="1" t="s">
        <v>25</v>
      </c>
      <c r="C217" s="7">
        <v>3000</v>
      </c>
      <c r="D217" s="1" t="s">
        <v>63</v>
      </c>
      <c r="E217" s="7">
        <f>39</f>
        <v>39</v>
      </c>
      <c r="F217" s="4">
        <v>103635</v>
      </c>
      <c r="K217" s="12"/>
      <c r="L217" s="16"/>
      <c r="M217" s="13"/>
      <c r="N217" s="12"/>
      <c r="O217" s="14"/>
      <c r="P217" s="14"/>
      <c r="Q217" s="14"/>
      <c r="R217" s="14"/>
      <c r="S217" s="14"/>
      <c r="T217" s="14"/>
      <c r="U217" s="14"/>
      <c r="V217" s="14"/>
      <c r="W217" s="15"/>
    </row>
    <row r="218" spans="2:23" x14ac:dyDescent="0.3">
      <c r="B218" s="1" t="s">
        <v>121</v>
      </c>
      <c r="C218" s="7">
        <v>2300</v>
      </c>
      <c r="D218" s="1" t="s">
        <v>60</v>
      </c>
      <c r="E218" s="7">
        <f>44</f>
        <v>44</v>
      </c>
      <c r="F218" s="4">
        <v>87818</v>
      </c>
      <c r="K218" s="12"/>
      <c r="L218" s="16"/>
      <c r="M218" s="13"/>
      <c r="N218" s="12"/>
      <c r="O218" s="14"/>
      <c r="P218" s="14"/>
      <c r="Q218" s="14"/>
      <c r="R218" s="14"/>
      <c r="S218" s="14"/>
      <c r="T218" s="14"/>
      <c r="U218" s="14"/>
      <c r="V218" s="14"/>
      <c r="W218" s="15"/>
    </row>
    <row r="219" spans="2:23" x14ac:dyDescent="0.3">
      <c r="B219" s="1" t="s">
        <v>261</v>
      </c>
      <c r="C219" s="7">
        <v>2000</v>
      </c>
      <c r="D219" s="1" t="s">
        <v>60</v>
      </c>
      <c r="E219" s="7">
        <f>48</f>
        <v>48</v>
      </c>
      <c r="F219" s="4">
        <v>87273</v>
      </c>
      <c r="K219" s="12"/>
      <c r="L219" s="16"/>
      <c r="M219" s="13"/>
      <c r="N219" s="12"/>
      <c r="O219" s="14"/>
      <c r="P219" s="14"/>
      <c r="Q219" s="14"/>
      <c r="R219" s="14"/>
      <c r="S219" s="14"/>
      <c r="T219" s="14"/>
      <c r="U219" s="14"/>
      <c r="V219" s="14"/>
      <c r="W219" s="15"/>
    </row>
    <row r="220" spans="2:23" x14ac:dyDescent="0.3">
      <c r="B220" s="18" t="s">
        <v>302</v>
      </c>
      <c r="C220" s="7">
        <v>4000</v>
      </c>
      <c r="D220" s="1" t="s">
        <v>62</v>
      </c>
      <c r="E220" s="9">
        <f>1+10+9+3</f>
        <v>23</v>
      </c>
      <c r="F220" s="10">
        <f>3636+36360+32724+12273</f>
        <v>84993</v>
      </c>
      <c r="K220" s="12"/>
      <c r="L220" s="16"/>
      <c r="M220" s="13"/>
      <c r="N220" s="12"/>
      <c r="O220" s="14"/>
      <c r="P220" s="14"/>
      <c r="Q220" s="14"/>
      <c r="R220" s="14"/>
      <c r="S220" s="14"/>
      <c r="T220" s="14"/>
      <c r="U220" s="14"/>
      <c r="V220" s="14"/>
      <c r="W220" s="15"/>
    </row>
    <row r="221" spans="2:23" x14ac:dyDescent="0.3">
      <c r="B221" s="1" t="s">
        <v>113</v>
      </c>
      <c r="C221" s="7">
        <v>10000</v>
      </c>
      <c r="D221" s="1" t="s">
        <v>60</v>
      </c>
      <c r="E221" s="7">
        <f>9</f>
        <v>9</v>
      </c>
      <c r="F221" s="4">
        <v>81818</v>
      </c>
      <c r="K221" s="12"/>
      <c r="L221" s="16"/>
      <c r="M221" s="13"/>
      <c r="N221" s="12"/>
      <c r="O221" s="14"/>
      <c r="P221" s="14"/>
      <c r="Q221" s="14"/>
      <c r="R221" s="14"/>
      <c r="S221" s="14"/>
      <c r="T221" s="14"/>
      <c r="U221" s="14"/>
      <c r="V221" s="14"/>
      <c r="W221" s="15"/>
    </row>
    <row r="222" spans="2:23" x14ac:dyDescent="0.3">
      <c r="B222" s="1" t="s">
        <v>268</v>
      </c>
      <c r="C222" s="7">
        <v>2000</v>
      </c>
      <c r="D222" s="1" t="s">
        <v>60</v>
      </c>
      <c r="E222" s="7">
        <f>44</f>
        <v>44</v>
      </c>
      <c r="F222" s="4">
        <v>80000</v>
      </c>
      <c r="K222" s="12"/>
      <c r="L222" s="16"/>
      <c r="M222" s="13"/>
      <c r="N222" s="12"/>
      <c r="O222" s="14"/>
      <c r="P222" s="14"/>
      <c r="Q222" s="14"/>
      <c r="R222" s="14"/>
      <c r="S222" s="14"/>
      <c r="T222" s="14"/>
      <c r="U222" s="14"/>
      <c r="V222" s="14"/>
      <c r="W222" s="15"/>
    </row>
    <row r="223" spans="2:23" x14ac:dyDescent="0.3">
      <c r="B223" s="1" t="s">
        <v>92</v>
      </c>
      <c r="C223" s="7">
        <v>3500</v>
      </c>
      <c r="D223" s="1" t="s">
        <v>61</v>
      </c>
      <c r="E223" s="7">
        <f>27</f>
        <v>27</v>
      </c>
      <c r="F223" s="4">
        <v>79544</v>
      </c>
      <c r="K223" s="12"/>
      <c r="L223" s="16"/>
      <c r="M223" s="13"/>
      <c r="N223" s="12"/>
      <c r="O223" s="14"/>
      <c r="P223" s="14"/>
      <c r="Q223" s="14"/>
      <c r="R223" s="14"/>
      <c r="S223" s="14"/>
      <c r="T223" s="14"/>
      <c r="U223" s="14"/>
      <c r="V223" s="14"/>
      <c r="W223" s="15"/>
    </row>
    <row r="224" spans="2:23" x14ac:dyDescent="0.3">
      <c r="B224" s="1" t="s">
        <v>269</v>
      </c>
      <c r="C224" s="7">
        <v>2000</v>
      </c>
      <c r="D224" s="1" t="s">
        <v>60</v>
      </c>
      <c r="E224" s="7">
        <f>43</f>
        <v>43</v>
      </c>
      <c r="F224" s="4">
        <v>78182</v>
      </c>
      <c r="K224" s="12"/>
      <c r="L224" s="16"/>
      <c r="M224" s="13"/>
      <c r="N224" s="12"/>
      <c r="O224" s="14"/>
      <c r="P224" s="14"/>
      <c r="Q224" s="14"/>
      <c r="R224" s="14"/>
      <c r="S224" s="14"/>
      <c r="T224" s="14"/>
      <c r="U224" s="14"/>
      <c r="V224" s="14"/>
      <c r="W224" s="15"/>
    </row>
    <row r="225" spans="2:23" x14ac:dyDescent="0.3">
      <c r="B225" s="1" t="s">
        <v>144</v>
      </c>
      <c r="C225" s="7">
        <v>2500</v>
      </c>
      <c r="D225" s="1" t="s">
        <v>61</v>
      </c>
      <c r="E225" s="7">
        <f>34</f>
        <v>34</v>
      </c>
      <c r="F225" s="4">
        <v>77273</v>
      </c>
      <c r="K225" s="12"/>
      <c r="L225" s="16"/>
      <c r="M225" s="13"/>
      <c r="N225" s="12"/>
      <c r="O225" s="14"/>
      <c r="P225" s="14"/>
      <c r="Q225" s="14"/>
      <c r="R225" s="14"/>
      <c r="S225" s="14"/>
      <c r="T225" s="14"/>
      <c r="U225" s="14"/>
      <c r="V225" s="14"/>
      <c r="W225" s="15"/>
    </row>
    <row r="226" spans="2:23" x14ac:dyDescent="0.3">
      <c r="B226" s="1" t="s">
        <v>74</v>
      </c>
      <c r="C226" s="7">
        <v>84000</v>
      </c>
      <c r="D226" s="1" t="s">
        <v>60</v>
      </c>
      <c r="E226" s="7">
        <f>1</f>
        <v>1</v>
      </c>
      <c r="F226" s="4">
        <v>76364</v>
      </c>
      <c r="K226" s="12"/>
      <c r="L226" s="16"/>
      <c r="M226" s="13"/>
      <c r="N226" s="12"/>
      <c r="O226" s="14"/>
      <c r="P226" s="14"/>
      <c r="Q226" s="14"/>
      <c r="R226" s="14"/>
      <c r="S226" s="14"/>
      <c r="T226" s="14"/>
      <c r="U226" s="14"/>
      <c r="V226" s="14"/>
      <c r="W226" s="15"/>
    </row>
    <row r="227" spans="2:23" x14ac:dyDescent="0.3">
      <c r="B227" s="1" t="s">
        <v>248</v>
      </c>
      <c r="C227" s="7">
        <v>1000</v>
      </c>
      <c r="D227" s="1" t="s">
        <v>70</v>
      </c>
      <c r="E227" s="9">
        <f>55+31</f>
        <v>86</v>
      </c>
      <c r="F227" s="10">
        <f>49086+25452</f>
        <v>74538</v>
      </c>
      <c r="K227" s="12"/>
      <c r="L227" s="16"/>
      <c r="M227" s="13"/>
      <c r="N227" s="12"/>
      <c r="O227" s="14"/>
      <c r="P227" s="14"/>
      <c r="Q227" s="14"/>
      <c r="R227" s="14"/>
      <c r="S227" s="14"/>
      <c r="T227" s="14"/>
      <c r="U227" s="14"/>
      <c r="V227" s="14"/>
      <c r="W227" s="15"/>
    </row>
    <row r="228" spans="2:23" x14ac:dyDescent="0.3">
      <c r="B228" s="1" t="s">
        <v>236</v>
      </c>
      <c r="C228" s="7">
        <v>2000</v>
      </c>
      <c r="D228" s="1" t="s">
        <v>64</v>
      </c>
      <c r="E228" s="9">
        <f>11+27</f>
        <v>38</v>
      </c>
      <c r="F228" s="10">
        <f>19999+49086</f>
        <v>69085</v>
      </c>
      <c r="K228" s="12"/>
      <c r="L228" s="16"/>
      <c r="M228" s="13"/>
      <c r="N228" s="12"/>
      <c r="O228" s="14"/>
      <c r="P228" s="14"/>
      <c r="Q228" s="14"/>
      <c r="R228" s="14"/>
      <c r="S228" s="14"/>
      <c r="T228" s="14"/>
      <c r="U228" s="14"/>
      <c r="V228" s="14"/>
      <c r="W228" s="15"/>
    </row>
    <row r="229" spans="2:23" x14ac:dyDescent="0.3">
      <c r="B229" s="1" t="s">
        <v>143</v>
      </c>
      <c r="C229" s="7">
        <v>3200</v>
      </c>
      <c r="D229" s="1" t="s">
        <v>63</v>
      </c>
      <c r="E229" s="7">
        <f>29</f>
        <v>29</v>
      </c>
      <c r="F229" s="4">
        <v>66909</v>
      </c>
      <c r="K229" s="12"/>
      <c r="L229" s="16"/>
      <c r="M229" s="13"/>
      <c r="N229" s="12"/>
      <c r="O229" s="14"/>
      <c r="P229" s="14"/>
      <c r="Q229" s="14"/>
      <c r="R229" s="14"/>
      <c r="S229" s="14"/>
      <c r="T229" s="14"/>
      <c r="U229" s="14"/>
      <c r="V229" s="14"/>
      <c r="W229" s="15"/>
    </row>
    <row r="230" spans="2:23" x14ac:dyDescent="0.3">
      <c r="B230" s="1" t="s">
        <v>176</v>
      </c>
      <c r="C230" s="7">
        <v>4300</v>
      </c>
      <c r="D230" s="1" t="s">
        <v>58</v>
      </c>
      <c r="E230" s="9">
        <f>8+9</f>
        <v>17</v>
      </c>
      <c r="F230" s="10">
        <f>31272+35181</f>
        <v>66453</v>
      </c>
      <c r="K230" s="12"/>
      <c r="L230" s="16"/>
      <c r="M230" s="13"/>
      <c r="N230" s="12"/>
      <c r="O230" s="14"/>
      <c r="P230" s="14"/>
      <c r="Q230" s="14"/>
      <c r="R230" s="14"/>
      <c r="S230" s="14"/>
      <c r="T230" s="14"/>
      <c r="U230" s="14"/>
      <c r="V230" s="14"/>
      <c r="W230" s="15"/>
    </row>
    <row r="231" spans="2:23" x14ac:dyDescent="0.3">
      <c r="B231" t="s">
        <v>296</v>
      </c>
      <c r="C231" s="19">
        <v>2000</v>
      </c>
      <c r="D231" t="s">
        <v>60</v>
      </c>
      <c r="E231" s="8">
        <f>35</f>
        <v>35</v>
      </c>
      <c r="F231" s="5">
        <v>63630</v>
      </c>
      <c r="K231" s="12"/>
      <c r="L231" s="16"/>
      <c r="M231" s="13"/>
      <c r="N231" s="12"/>
      <c r="O231" s="14"/>
      <c r="P231" s="14"/>
      <c r="Q231" s="14"/>
      <c r="R231" s="14"/>
      <c r="S231" s="14"/>
      <c r="T231" s="14"/>
      <c r="U231" s="14"/>
      <c r="V231" s="14"/>
      <c r="W231" s="15"/>
    </row>
    <row r="232" spans="2:23" x14ac:dyDescent="0.3">
      <c r="B232" s="1" t="s">
        <v>242</v>
      </c>
      <c r="C232" s="7">
        <v>2000</v>
      </c>
      <c r="D232" s="1" t="s">
        <v>64</v>
      </c>
      <c r="E232" s="9">
        <f>16+17</f>
        <v>33</v>
      </c>
      <c r="F232" s="10">
        <f>29089+30906</f>
        <v>59995</v>
      </c>
      <c r="K232" s="12"/>
      <c r="L232" s="16"/>
      <c r="M232" s="13"/>
      <c r="N232" s="12"/>
      <c r="O232" s="14"/>
      <c r="P232" s="14"/>
      <c r="Q232" s="14"/>
      <c r="R232" s="14"/>
      <c r="S232" s="14"/>
      <c r="T232" s="14"/>
      <c r="U232" s="14"/>
      <c r="V232" s="14"/>
      <c r="W232" s="15"/>
    </row>
    <row r="233" spans="2:23" x14ac:dyDescent="0.3">
      <c r="B233" s="22" t="s">
        <v>288</v>
      </c>
      <c r="C233" s="7">
        <v>3500</v>
      </c>
      <c r="D233" s="1" t="s">
        <v>61</v>
      </c>
      <c r="E233" s="9">
        <f>21</f>
        <v>21</v>
      </c>
      <c r="F233" s="10">
        <v>57276</v>
      </c>
      <c r="K233" s="12"/>
      <c r="L233" s="16"/>
      <c r="M233" s="13"/>
      <c r="N233" s="12"/>
      <c r="O233" s="14"/>
      <c r="P233" s="14"/>
      <c r="Q233" s="14"/>
      <c r="R233" s="14"/>
      <c r="S233" s="14"/>
      <c r="T233" s="14"/>
      <c r="U233" s="14"/>
      <c r="V233" s="14"/>
      <c r="W233" s="15"/>
    </row>
    <row r="234" spans="2:23" x14ac:dyDescent="0.3">
      <c r="B234" s="1" t="s">
        <v>156</v>
      </c>
      <c r="C234" s="7">
        <v>3000</v>
      </c>
      <c r="D234" s="1" t="s">
        <v>63</v>
      </c>
      <c r="E234" s="7">
        <f>21</f>
        <v>21</v>
      </c>
      <c r="F234" s="4">
        <v>57273</v>
      </c>
      <c r="K234" s="12"/>
      <c r="L234" s="16"/>
      <c r="M234" s="13"/>
      <c r="N234" s="12"/>
      <c r="O234" s="14"/>
      <c r="P234" s="14"/>
      <c r="Q234" s="14"/>
      <c r="R234" s="14"/>
      <c r="S234" s="14"/>
      <c r="T234" s="14"/>
      <c r="U234" s="14"/>
      <c r="V234" s="14"/>
      <c r="W234" s="15"/>
    </row>
    <row r="235" spans="2:23" x14ac:dyDescent="0.3">
      <c r="B235" t="s">
        <v>295</v>
      </c>
      <c r="C235" s="19">
        <v>2000</v>
      </c>
      <c r="D235" t="s">
        <v>60</v>
      </c>
      <c r="E235" s="8">
        <f>31</f>
        <v>31</v>
      </c>
      <c r="F235" s="5">
        <v>56358</v>
      </c>
      <c r="K235" s="12"/>
      <c r="L235" s="16"/>
      <c r="M235" s="13"/>
      <c r="N235" s="12"/>
      <c r="O235" s="14"/>
      <c r="P235" s="14"/>
      <c r="Q235" s="14"/>
      <c r="R235" s="14"/>
      <c r="S235" s="14"/>
      <c r="T235" s="14"/>
      <c r="U235" s="14"/>
      <c r="V235" s="14"/>
      <c r="W235" s="15"/>
    </row>
    <row r="236" spans="2:23" x14ac:dyDescent="0.3">
      <c r="B236" s="1" t="s">
        <v>74</v>
      </c>
      <c r="C236" s="7">
        <v>60000</v>
      </c>
      <c r="D236" s="1" t="s">
        <v>60</v>
      </c>
      <c r="E236" s="7">
        <f>1</f>
        <v>1</v>
      </c>
      <c r="F236" s="4">
        <v>54545</v>
      </c>
      <c r="K236" s="12"/>
      <c r="L236" s="16"/>
      <c r="M236" s="13"/>
      <c r="N236" s="12"/>
      <c r="O236" s="14"/>
      <c r="P236" s="14"/>
      <c r="Q236" s="14"/>
      <c r="R236" s="14"/>
      <c r="S236" s="14"/>
      <c r="T236" s="14"/>
      <c r="U236" s="14"/>
      <c r="V236" s="14"/>
      <c r="W236" s="15"/>
    </row>
    <row r="237" spans="2:23" x14ac:dyDescent="0.3">
      <c r="B237" s="1" t="s">
        <v>123</v>
      </c>
      <c r="C237" s="7">
        <v>2000</v>
      </c>
      <c r="D237" s="1" t="s">
        <v>60</v>
      </c>
      <c r="E237" s="7">
        <f>29</f>
        <v>29</v>
      </c>
      <c r="F237" s="4">
        <v>52727</v>
      </c>
      <c r="K237" s="12"/>
      <c r="L237" s="16"/>
      <c r="M237" s="13"/>
      <c r="N237" s="12"/>
      <c r="O237" s="14"/>
      <c r="P237" s="14"/>
      <c r="Q237" s="14"/>
      <c r="R237" s="14"/>
      <c r="S237" s="14"/>
      <c r="T237" s="14"/>
      <c r="U237" s="14"/>
      <c r="V237" s="14"/>
      <c r="W237" s="15"/>
    </row>
    <row r="238" spans="2:23" x14ac:dyDescent="0.3">
      <c r="B238" s="1" t="s">
        <v>264</v>
      </c>
      <c r="C238" s="7">
        <v>2000</v>
      </c>
      <c r="D238" s="1" t="s">
        <v>60</v>
      </c>
      <c r="E238" s="7">
        <f>28</f>
        <v>28</v>
      </c>
      <c r="F238" s="4">
        <v>50909</v>
      </c>
      <c r="K238" s="12"/>
      <c r="L238" s="16"/>
      <c r="M238" s="13"/>
      <c r="N238" s="12"/>
      <c r="O238" s="14"/>
      <c r="P238" s="14"/>
      <c r="Q238" s="14"/>
      <c r="R238" s="14"/>
      <c r="S238" s="14"/>
      <c r="T238" s="14"/>
      <c r="U238" s="14"/>
      <c r="V238" s="14"/>
      <c r="W238" s="15"/>
    </row>
    <row r="239" spans="2:23" x14ac:dyDescent="0.3">
      <c r="B239" s="1" t="s">
        <v>74</v>
      </c>
      <c r="C239" s="7">
        <v>50000</v>
      </c>
      <c r="D239" s="1" t="s">
        <v>70</v>
      </c>
      <c r="E239" s="7">
        <f>1</f>
        <v>1</v>
      </c>
      <c r="F239" s="4">
        <v>45455</v>
      </c>
      <c r="K239" s="12"/>
      <c r="L239" s="16"/>
      <c r="M239" s="13"/>
      <c r="N239" s="12"/>
      <c r="O239" s="14"/>
      <c r="P239" s="14"/>
      <c r="Q239" s="14"/>
      <c r="R239" s="14"/>
      <c r="S239" s="14"/>
      <c r="T239" s="14"/>
      <c r="U239" s="14"/>
      <c r="V239" s="14"/>
      <c r="W239" s="15"/>
    </row>
    <row r="240" spans="2:23" x14ac:dyDescent="0.3">
      <c r="B240" t="s">
        <v>74</v>
      </c>
      <c r="C240" s="19">
        <v>50000</v>
      </c>
      <c r="D240" t="s">
        <v>60</v>
      </c>
      <c r="E240" s="8">
        <f>1</f>
        <v>1</v>
      </c>
      <c r="F240" s="5">
        <v>45455</v>
      </c>
      <c r="K240" s="12"/>
      <c r="L240" s="16"/>
      <c r="M240" s="13"/>
      <c r="N240" s="12"/>
      <c r="O240" s="14"/>
      <c r="P240" s="14"/>
      <c r="Q240" s="14"/>
      <c r="R240" s="14"/>
      <c r="S240" s="14"/>
      <c r="T240" s="14"/>
      <c r="U240" s="14"/>
      <c r="V240" s="14"/>
      <c r="W240" s="15"/>
    </row>
    <row r="241" spans="2:23" x14ac:dyDescent="0.3">
      <c r="B241" s="1" t="s">
        <v>174</v>
      </c>
      <c r="C241" s="7">
        <v>4300</v>
      </c>
      <c r="D241" s="1" t="s">
        <v>62</v>
      </c>
      <c r="E241" s="9">
        <f>6+5</f>
        <v>11</v>
      </c>
      <c r="F241" s="10">
        <f>23454+19545</f>
        <v>42999</v>
      </c>
      <c r="K241" s="12"/>
      <c r="L241" s="16"/>
      <c r="M241" s="13"/>
      <c r="N241" s="12"/>
      <c r="O241" s="14"/>
      <c r="P241" s="14"/>
      <c r="Q241" s="14"/>
      <c r="R241" s="14"/>
      <c r="S241" s="14"/>
      <c r="T241" s="14"/>
      <c r="U241" s="14"/>
      <c r="V241" s="14"/>
      <c r="W241" s="15"/>
    </row>
    <row r="242" spans="2:23" x14ac:dyDescent="0.3">
      <c r="B242" s="1" t="s">
        <v>136</v>
      </c>
      <c r="C242" s="7">
        <v>3000</v>
      </c>
      <c r="D242" s="1" t="s">
        <v>62</v>
      </c>
      <c r="E242" s="7">
        <f>14</f>
        <v>14</v>
      </c>
      <c r="F242" s="4">
        <v>38182</v>
      </c>
      <c r="K242" s="12"/>
      <c r="L242" s="16"/>
      <c r="M242" s="13"/>
      <c r="N242" s="12"/>
      <c r="O242" s="14"/>
      <c r="P242" s="14"/>
      <c r="Q242" s="14"/>
      <c r="R242" s="14"/>
      <c r="S242" s="14"/>
      <c r="T242" s="14"/>
      <c r="U242" s="14"/>
      <c r="V242" s="14"/>
      <c r="W242" s="15"/>
    </row>
    <row r="243" spans="2:23" x14ac:dyDescent="0.3">
      <c r="B243" s="1" t="s">
        <v>162</v>
      </c>
      <c r="C243" s="7">
        <v>3000</v>
      </c>
      <c r="D243" s="1" t="s">
        <v>61</v>
      </c>
      <c r="E243" s="7">
        <f>12</f>
        <v>12</v>
      </c>
      <c r="F243" s="4">
        <v>32727</v>
      </c>
      <c r="K243" s="12"/>
      <c r="L243" s="16"/>
      <c r="M243" s="13"/>
      <c r="N243" s="12"/>
      <c r="O243" s="14"/>
      <c r="P243" s="14"/>
      <c r="Q243" s="14"/>
      <c r="R243" s="14"/>
      <c r="S243" s="14"/>
      <c r="T243" s="14"/>
      <c r="U243" s="14"/>
      <c r="V243" s="14"/>
      <c r="W243" s="15"/>
    </row>
    <row r="244" spans="2:23" x14ac:dyDescent="0.3">
      <c r="B244" s="1" t="s">
        <v>120</v>
      </c>
      <c r="C244" s="7">
        <v>2000</v>
      </c>
      <c r="D244" s="1" t="s">
        <v>60</v>
      </c>
      <c r="E244" s="7">
        <f>21</f>
        <v>21</v>
      </c>
      <c r="F244" s="4">
        <v>30909</v>
      </c>
      <c r="K244" s="12"/>
      <c r="L244" s="16"/>
      <c r="M244" s="13"/>
      <c r="N244" s="12"/>
      <c r="O244" s="14"/>
      <c r="P244" s="14"/>
      <c r="Q244" s="14"/>
      <c r="R244" s="14"/>
      <c r="S244" s="14"/>
      <c r="T244" s="14"/>
      <c r="U244" s="14"/>
      <c r="V244" s="14"/>
      <c r="W244" s="15"/>
    </row>
    <row r="245" spans="2:23" x14ac:dyDescent="0.3">
      <c r="B245" s="1" t="s">
        <v>129</v>
      </c>
      <c r="C245" s="7">
        <v>2000</v>
      </c>
      <c r="D245" s="1" t="s">
        <v>60</v>
      </c>
      <c r="E245" s="7">
        <f>17</f>
        <v>17</v>
      </c>
      <c r="F245" s="4">
        <v>30909</v>
      </c>
      <c r="K245" s="12"/>
      <c r="L245" s="16"/>
      <c r="M245" s="13"/>
      <c r="N245" s="12"/>
      <c r="O245" s="14"/>
      <c r="P245" s="14"/>
      <c r="Q245" s="14"/>
      <c r="R245" s="14"/>
      <c r="S245" s="14"/>
      <c r="T245" s="14"/>
      <c r="U245" s="14"/>
      <c r="V245" s="14"/>
      <c r="W245" s="15"/>
    </row>
    <row r="246" spans="2:23" x14ac:dyDescent="0.3">
      <c r="B246" s="1" t="s">
        <v>152</v>
      </c>
      <c r="C246" s="7">
        <v>3000</v>
      </c>
      <c r="D246" s="1" t="s">
        <v>61</v>
      </c>
      <c r="E246" s="7">
        <f>11</f>
        <v>11</v>
      </c>
      <c r="F246" s="4">
        <v>30000</v>
      </c>
      <c r="K246" s="12"/>
      <c r="L246" s="16"/>
      <c r="M246" s="13"/>
      <c r="N246" s="12"/>
      <c r="O246" s="14"/>
      <c r="P246" s="14"/>
      <c r="Q246" s="14"/>
      <c r="R246" s="14"/>
      <c r="S246" s="14"/>
      <c r="T246" s="14"/>
      <c r="U246" s="14"/>
      <c r="V246" s="14"/>
      <c r="W246" s="15"/>
    </row>
    <row r="247" spans="2:23" x14ac:dyDescent="0.3">
      <c r="B247" s="1" t="s">
        <v>154</v>
      </c>
      <c r="C247" s="7">
        <v>3000</v>
      </c>
      <c r="D247" s="1" t="s">
        <v>62</v>
      </c>
      <c r="E247" s="7">
        <f>11</f>
        <v>11</v>
      </c>
      <c r="F247" s="4">
        <v>30000</v>
      </c>
      <c r="K247" s="12"/>
      <c r="L247" s="16"/>
      <c r="M247" s="13"/>
      <c r="N247" s="12"/>
      <c r="O247" s="14"/>
      <c r="P247" s="14"/>
      <c r="Q247" s="14"/>
      <c r="R247" s="14"/>
      <c r="S247" s="14"/>
      <c r="T247" s="14"/>
      <c r="U247" s="14"/>
      <c r="V247" s="14"/>
      <c r="W247" s="15"/>
    </row>
    <row r="248" spans="2:23" x14ac:dyDescent="0.3">
      <c r="B248" s="1" t="s">
        <v>31</v>
      </c>
      <c r="C248" s="7">
        <v>2500</v>
      </c>
      <c r="D248" s="1" t="s">
        <v>61</v>
      </c>
      <c r="E248" s="7">
        <f>13</f>
        <v>13</v>
      </c>
      <c r="F248" s="4">
        <v>29546</v>
      </c>
      <c r="K248" s="12"/>
      <c r="L248" s="16"/>
      <c r="M248" s="13"/>
      <c r="N248" s="12"/>
      <c r="O248" s="14"/>
      <c r="P248" s="14"/>
      <c r="Q248" s="14"/>
      <c r="R248" s="14"/>
      <c r="S248" s="14"/>
      <c r="T248" s="14"/>
      <c r="U248" s="14"/>
      <c r="V248" s="14"/>
      <c r="W248" s="15"/>
    </row>
    <row r="249" spans="2:23" x14ac:dyDescent="0.3">
      <c r="B249" s="1" t="s">
        <v>93</v>
      </c>
      <c r="C249" s="7">
        <v>3500</v>
      </c>
      <c r="D249" s="1" t="s">
        <v>61</v>
      </c>
      <c r="E249" s="7">
        <f>9</f>
        <v>9</v>
      </c>
      <c r="F249" s="4">
        <v>28638</v>
      </c>
      <c r="K249" s="12"/>
      <c r="L249" s="16"/>
      <c r="M249" s="13"/>
      <c r="N249" s="12"/>
      <c r="O249" s="14"/>
      <c r="P249" s="14"/>
      <c r="Q249" s="14"/>
      <c r="R249" s="14"/>
      <c r="S249" s="14"/>
      <c r="T249" s="14"/>
      <c r="U249" s="14"/>
      <c r="V249" s="14"/>
      <c r="W249" s="15"/>
    </row>
    <row r="250" spans="2:23" x14ac:dyDescent="0.3">
      <c r="B250" s="1" t="s">
        <v>153</v>
      </c>
      <c r="C250" s="7">
        <v>3500</v>
      </c>
      <c r="D250" s="1" t="s">
        <v>62</v>
      </c>
      <c r="E250" s="7">
        <f>9</f>
        <v>9</v>
      </c>
      <c r="F250" s="4">
        <v>28636</v>
      </c>
      <c r="K250" s="12"/>
      <c r="L250" s="16"/>
      <c r="M250" s="13"/>
      <c r="N250" s="12"/>
      <c r="O250" s="14"/>
      <c r="P250" s="14"/>
      <c r="Q250" s="14"/>
      <c r="R250" s="14"/>
      <c r="S250" s="14"/>
      <c r="T250" s="14"/>
      <c r="U250" s="14"/>
      <c r="V250" s="14"/>
      <c r="W250" s="15"/>
    </row>
    <row r="251" spans="2:23" x14ac:dyDescent="0.3">
      <c r="B251" s="1" t="s">
        <v>272</v>
      </c>
      <c r="C251" s="7">
        <v>2000</v>
      </c>
      <c r="D251" s="1" t="s">
        <v>60</v>
      </c>
      <c r="E251" s="7">
        <f>15</f>
        <v>15</v>
      </c>
      <c r="F251" s="4">
        <v>27273</v>
      </c>
      <c r="K251" s="12"/>
      <c r="L251" s="16"/>
      <c r="M251" s="13"/>
      <c r="N251" s="12"/>
      <c r="O251" s="14"/>
      <c r="P251" s="14"/>
      <c r="Q251" s="14"/>
      <c r="R251" s="14"/>
      <c r="S251" s="14"/>
      <c r="T251" s="14"/>
      <c r="U251" s="14"/>
      <c r="V251" s="14"/>
      <c r="W251" s="15"/>
    </row>
    <row r="252" spans="2:23" x14ac:dyDescent="0.3">
      <c r="B252" s="1" t="s">
        <v>244</v>
      </c>
      <c r="C252" s="7">
        <v>2000</v>
      </c>
      <c r="D252" s="1" t="s">
        <v>64</v>
      </c>
      <c r="E252" s="9">
        <f>3+12</f>
        <v>15</v>
      </c>
      <c r="F252" s="10">
        <f>5454+21816</f>
        <v>27270</v>
      </c>
      <c r="K252" s="12"/>
      <c r="L252" s="16"/>
      <c r="M252" s="13"/>
      <c r="N252" s="12"/>
      <c r="O252" s="14"/>
      <c r="P252" s="14"/>
      <c r="Q252" s="14"/>
      <c r="R252" s="14"/>
      <c r="S252" s="14"/>
      <c r="T252" s="14"/>
      <c r="U252" s="14"/>
      <c r="V252" s="14"/>
      <c r="W252" s="15"/>
    </row>
    <row r="253" spans="2:23" x14ac:dyDescent="0.3">
      <c r="B253" s="18" t="s">
        <v>289</v>
      </c>
      <c r="C253" s="7">
        <v>4200</v>
      </c>
      <c r="D253" s="1" t="s">
        <v>285</v>
      </c>
      <c r="E253" s="9">
        <f>8</f>
        <v>8</v>
      </c>
      <c r="F253" s="10">
        <v>26726</v>
      </c>
      <c r="K253" s="12"/>
      <c r="L253" s="16"/>
      <c r="M253" s="13"/>
      <c r="N253" s="12"/>
      <c r="O253" s="14"/>
      <c r="P253" s="14"/>
      <c r="Q253" s="14"/>
      <c r="R253" s="14"/>
      <c r="S253" s="14"/>
      <c r="T253" s="14"/>
      <c r="U253" s="14"/>
      <c r="V253" s="14"/>
      <c r="W253" s="15"/>
    </row>
    <row r="254" spans="2:23" x14ac:dyDescent="0.3">
      <c r="B254" s="1" t="s">
        <v>160</v>
      </c>
      <c r="C254" s="7">
        <v>3000</v>
      </c>
      <c r="D254" s="1" t="s">
        <v>63</v>
      </c>
      <c r="E254" s="7">
        <f>10</f>
        <v>10</v>
      </c>
      <c r="F254" s="4">
        <v>24546</v>
      </c>
      <c r="K254" s="12"/>
      <c r="L254" s="16"/>
      <c r="M254" s="13"/>
      <c r="N254" s="12"/>
      <c r="O254" s="14"/>
      <c r="P254" s="14"/>
      <c r="Q254" s="14"/>
      <c r="R254" s="14"/>
      <c r="S254" s="14"/>
      <c r="T254" s="14"/>
      <c r="U254" s="14"/>
      <c r="V254" s="14"/>
      <c r="W254" s="15"/>
    </row>
    <row r="255" spans="2:23" x14ac:dyDescent="0.3">
      <c r="B255" s="1" t="s">
        <v>245</v>
      </c>
      <c r="C255" s="7">
        <v>500</v>
      </c>
      <c r="D255" s="1" t="s">
        <v>70</v>
      </c>
      <c r="E255" s="9">
        <f>30+18</f>
        <v>48</v>
      </c>
      <c r="F255" s="10">
        <f>13641+8190</f>
        <v>21831</v>
      </c>
      <c r="K255" s="12"/>
      <c r="L255" s="16"/>
      <c r="M255" s="13"/>
      <c r="N255" s="12"/>
      <c r="O255" s="14"/>
      <c r="P255" s="14"/>
      <c r="Q255" s="14"/>
      <c r="R255" s="14"/>
      <c r="S255" s="14"/>
      <c r="T255" s="14"/>
      <c r="U255" s="14"/>
      <c r="V255" s="14"/>
      <c r="W255" s="15"/>
    </row>
    <row r="256" spans="2:23" x14ac:dyDescent="0.3">
      <c r="B256" s="1" t="s">
        <v>126</v>
      </c>
      <c r="C256" s="7">
        <v>2000</v>
      </c>
      <c r="D256" s="1" t="s">
        <v>60</v>
      </c>
      <c r="E256" s="7">
        <f>12</f>
        <v>12</v>
      </c>
      <c r="F256" s="4">
        <v>21818</v>
      </c>
      <c r="K256" s="12"/>
      <c r="L256" s="16"/>
      <c r="M256" s="13"/>
      <c r="N256" s="12"/>
      <c r="O256" s="14"/>
      <c r="P256" s="14"/>
      <c r="Q256" s="14"/>
      <c r="R256" s="14"/>
      <c r="S256" s="14"/>
      <c r="T256" s="14"/>
      <c r="U256" s="14"/>
      <c r="V256" s="14"/>
      <c r="W256" s="15"/>
    </row>
    <row r="257" spans="2:23" x14ac:dyDescent="0.3">
      <c r="B257" s="1" t="s">
        <v>291</v>
      </c>
      <c r="C257" s="7">
        <v>4200</v>
      </c>
      <c r="D257" s="1" t="s">
        <v>285</v>
      </c>
      <c r="E257" s="9">
        <f>5</f>
        <v>5</v>
      </c>
      <c r="F257" s="10">
        <v>19090</v>
      </c>
      <c r="K257" s="12"/>
      <c r="L257" s="16"/>
      <c r="M257" s="13"/>
      <c r="N257" s="12"/>
      <c r="O257" s="14"/>
      <c r="P257" s="14"/>
      <c r="Q257" s="14"/>
      <c r="R257" s="14"/>
      <c r="S257" s="14"/>
      <c r="T257" s="14"/>
      <c r="U257" s="14"/>
      <c r="V257" s="14"/>
      <c r="W257" s="15"/>
    </row>
    <row r="258" spans="2:23" x14ac:dyDescent="0.3">
      <c r="B258" s="1" t="s">
        <v>30</v>
      </c>
      <c r="C258" s="7">
        <v>2500</v>
      </c>
      <c r="D258" s="1" t="s">
        <v>61</v>
      </c>
      <c r="E258" s="7">
        <f>8</f>
        <v>8</v>
      </c>
      <c r="F258" s="4">
        <v>18182</v>
      </c>
      <c r="K258" s="12"/>
      <c r="L258" s="16"/>
      <c r="M258" s="13"/>
      <c r="N258" s="12"/>
      <c r="O258" s="14"/>
      <c r="P258" s="14"/>
      <c r="Q258" s="14"/>
      <c r="R258" s="14"/>
      <c r="S258" s="14"/>
      <c r="T258" s="14"/>
      <c r="U258" s="14"/>
      <c r="V258" s="14"/>
      <c r="W258" s="15"/>
    </row>
    <row r="259" spans="2:23" x14ac:dyDescent="0.3">
      <c r="B259" s="1" t="s">
        <v>127</v>
      </c>
      <c r="C259" s="7">
        <v>2300</v>
      </c>
      <c r="D259" s="1" t="s">
        <v>60</v>
      </c>
      <c r="E259" s="7">
        <f>8</f>
        <v>8</v>
      </c>
      <c r="F259" s="4">
        <v>16091</v>
      </c>
      <c r="K259" s="12"/>
      <c r="L259" s="16"/>
      <c r="M259" s="13"/>
      <c r="N259" s="12"/>
      <c r="O259" s="14"/>
      <c r="P259" s="14"/>
      <c r="Q259" s="14"/>
      <c r="R259" s="14"/>
      <c r="S259" s="14"/>
      <c r="T259" s="14"/>
      <c r="U259" s="14"/>
      <c r="V259" s="14"/>
      <c r="W259" s="15"/>
    </row>
    <row r="260" spans="2:23" x14ac:dyDescent="0.3">
      <c r="B260" s="1" t="s">
        <v>196</v>
      </c>
      <c r="C260" s="7">
        <v>3500</v>
      </c>
      <c r="D260" s="1" t="s">
        <v>58</v>
      </c>
      <c r="E260" s="7">
        <f>5</f>
        <v>5</v>
      </c>
      <c r="F260" s="4">
        <v>15910</v>
      </c>
      <c r="K260" s="12"/>
      <c r="L260" s="16"/>
      <c r="M260" s="13"/>
      <c r="N260" s="12"/>
      <c r="O260" s="14"/>
      <c r="P260" s="14"/>
      <c r="Q260" s="14"/>
      <c r="R260" s="14"/>
      <c r="S260" s="14"/>
      <c r="T260" s="14"/>
      <c r="U260" s="14"/>
      <c r="V260" s="14"/>
      <c r="W260" s="15"/>
    </row>
    <row r="261" spans="2:23" x14ac:dyDescent="0.3">
      <c r="B261" s="1" t="s">
        <v>109</v>
      </c>
      <c r="C261" s="7">
        <v>4200</v>
      </c>
      <c r="D261" s="1" t="s">
        <v>61</v>
      </c>
      <c r="E261" s="7">
        <f>4</f>
        <v>4</v>
      </c>
      <c r="F261" s="4">
        <v>15272</v>
      </c>
      <c r="K261" s="12"/>
      <c r="L261" s="16"/>
      <c r="M261" s="13"/>
      <c r="N261" s="12"/>
      <c r="O261" s="14"/>
      <c r="P261" s="14"/>
      <c r="Q261" s="14"/>
      <c r="R261" s="14"/>
      <c r="S261" s="14"/>
      <c r="T261" s="14"/>
      <c r="U261" s="14"/>
      <c r="V261" s="14"/>
      <c r="W261" s="15"/>
    </row>
    <row r="262" spans="2:23" x14ac:dyDescent="0.3">
      <c r="B262" s="1" t="s">
        <v>158</v>
      </c>
      <c r="C262" s="7">
        <v>2800</v>
      </c>
      <c r="D262" s="1" t="s">
        <v>63</v>
      </c>
      <c r="E262" s="7">
        <f>6</f>
        <v>6</v>
      </c>
      <c r="F262" s="4">
        <v>15272</v>
      </c>
      <c r="K262" s="12"/>
      <c r="L262" s="16"/>
      <c r="M262" s="13"/>
      <c r="N262" s="12"/>
      <c r="O262" s="14"/>
      <c r="P262" s="14"/>
      <c r="Q262" s="14"/>
      <c r="R262" s="14"/>
      <c r="S262" s="14"/>
      <c r="T262" s="14"/>
      <c r="U262" s="14"/>
      <c r="V262" s="14"/>
      <c r="W262" s="15"/>
    </row>
    <row r="263" spans="2:23" x14ac:dyDescent="0.3">
      <c r="B263" s="1" t="s">
        <v>240</v>
      </c>
      <c r="C263" s="7">
        <v>800</v>
      </c>
      <c r="D263" s="1" t="s">
        <v>64</v>
      </c>
      <c r="E263" s="9">
        <f>11+10</f>
        <v>21</v>
      </c>
      <c r="F263" s="10">
        <f>8000+7270</f>
        <v>15270</v>
      </c>
      <c r="K263" s="12"/>
      <c r="L263" s="16"/>
      <c r="M263" s="13"/>
      <c r="N263" s="12"/>
      <c r="O263" s="14"/>
      <c r="P263" s="14"/>
      <c r="Q263" s="14"/>
      <c r="R263" s="14"/>
      <c r="S263" s="14"/>
      <c r="T263" s="14"/>
      <c r="U263" s="14"/>
      <c r="V263" s="14"/>
      <c r="W263" s="15"/>
    </row>
    <row r="264" spans="2:23" x14ac:dyDescent="0.3">
      <c r="B264" s="1" t="s">
        <v>148</v>
      </c>
      <c r="C264" s="7">
        <v>3000</v>
      </c>
      <c r="D264" s="1" t="s">
        <v>61</v>
      </c>
      <c r="E264" s="7">
        <f>5</f>
        <v>5</v>
      </c>
      <c r="F264" s="4">
        <v>13637</v>
      </c>
      <c r="K264" s="12"/>
      <c r="L264" s="16"/>
      <c r="M264" s="13"/>
      <c r="N264" s="12"/>
      <c r="O264" s="14"/>
      <c r="P264" s="14"/>
      <c r="Q264" s="14"/>
      <c r="R264" s="14"/>
      <c r="S264" s="14"/>
      <c r="T264" s="14"/>
      <c r="U264" s="14"/>
      <c r="V264" s="14"/>
      <c r="W264" s="15"/>
    </row>
    <row r="265" spans="2:23" x14ac:dyDescent="0.3">
      <c r="B265" s="1" t="s">
        <v>157</v>
      </c>
      <c r="C265" s="7">
        <v>3000</v>
      </c>
      <c r="D265" s="1" t="s">
        <v>62</v>
      </c>
      <c r="E265" s="7">
        <f>5</f>
        <v>5</v>
      </c>
      <c r="F265" s="4">
        <v>13636</v>
      </c>
      <c r="K265" s="12"/>
      <c r="L265" s="16"/>
      <c r="M265" s="13"/>
      <c r="N265" s="12"/>
      <c r="O265" s="14"/>
      <c r="P265" s="14"/>
      <c r="Q265" s="14"/>
      <c r="R265" s="14"/>
      <c r="S265" s="14"/>
      <c r="T265" s="14"/>
      <c r="U265" s="14"/>
      <c r="V265" s="14"/>
      <c r="W265" s="15"/>
    </row>
    <row r="266" spans="2:23" x14ac:dyDescent="0.3">
      <c r="B266" s="1" t="s">
        <v>256</v>
      </c>
      <c r="C266" s="7">
        <v>500</v>
      </c>
      <c r="D266" s="1" t="s">
        <v>70</v>
      </c>
      <c r="E266" s="7">
        <f>29</f>
        <v>29</v>
      </c>
      <c r="F266" s="4">
        <v>13183</v>
      </c>
      <c r="K266" s="12"/>
      <c r="L266" s="16"/>
      <c r="M266" s="13"/>
      <c r="N266" s="12"/>
      <c r="O266" s="14"/>
      <c r="P266" s="14"/>
      <c r="Q266" s="14"/>
      <c r="R266" s="14"/>
      <c r="S266" s="14"/>
      <c r="T266" s="14"/>
      <c r="U266" s="14"/>
      <c r="V266" s="14"/>
      <c r="W266" s="15"/>
    </row>
    <row r="267" spans="2:23" x14ac:dyDescent="0.3">
      <c r="B267" s="1" t="s">
        <v>161</v>
      </c>
      <c r="C267" s="7">
        <v>3500</v>
      </c>
      <c r="D267" s="1" t="s">
        <v>58</v>
      </c>
      <c r="E267" s="7">
        <f>4</f>
        <v>4</v>
      </c>
      <c r="F267" s="4">
        <v>12727</v>
      </c>
      <c r="K267" s="12"/>
      <c r="L267" s="16"/>
      <c r="M267" s="13"/>
      <c r="N267" s="12"/>
      <c r="O267" s="14"/>
      <c r="P267" s="14"/>
      <c r="Q267" s="14"/>
      <c r="R267" s="14"/>
      <c r="S267" s="14"/>
      <c r="T267" s="14"/>
      <c r="U267" s="14"/>
      <c r="V267" s="14"/>
      <c r="W267" s="15"/>
    </row>
    <row r="268" spans="2:23" x14ac:dyDescent="0.3">
      <c r="B268" s="1" t="s">
        <v>98</v>
      </c>
      <c r="C268" s="7">
        <v>3200</v>
      </c>
      <c r="D268" s="1" t="s">
        <v>63</v>
      </c>
      <c r="E268" s="7">
        <f>4</f>
        <v>4</v>
      </c>
      <c r="F268" s="4">
        <v>11636</v>
      </c>
      <c r="K268" s="12"/>
      <c r="L268" s="16"/>
      <c r="M268" s="13"/>
      <c r="N268" s="12"/>
      <c r="O268" s="14"/>
      <c r="P268" s="14"/>
      <c r="Q268" s="14"/>
      <c r="R268" s="14"/>
      <c r="S268" s="14"/>
      <c r="T268" s="14"/>
      <c r="U268" s="14"/>
      <c r="V268" s="14"/>
      <c r="W268" s="15"/>
    </row>
    <row r="269" spans="2:23" x14ac:dyDescent="0.3">
      <c r="B269" s="1" t="s">
        <v>29</v>
      </c>
      <c r="C269" s="7">
        <v>3000</v>
      </c>
      <c r="D269" s="1" t="s">
        <v>63</v>
      </c>
      <c r="E269" s="9">
        <f>3+1</f>
        <v>4</v>
      </c>
      <c r="F269" s="10">
        <f>8182+2909</f>
        <v>11091</v>
      </c>
      <c r="K269" s="12"/>
      <c r="L269" s="16"/>
      <c r="M269" s="13"/>
      <c r="N269" s="12"/>
      <c r="O269" s="14"/>
      <c r="P269" s="14"/>
      <c r="Q269" s="14"/>
      <c r="R269" s="14"/>
      <c r="S269" s="14"/>
      <c r="T269" s="14"/>
      <c r="U269" s="14"/>
      <c r="V269" s="14"/>
      <c r="W269" s="15"/>
    </row>
    <row r="270" spans="2:23" x14ac:dyDescent="0.3">
      <c r="B270" s="1" t="s">
        <v>100</v>
      </c>
      <c r="C270" s="7">
        <v>3000</v>
      </c>
      <c r="D270" s="1" t="s">
        <v>63</v>
      </c>
      <c r="E270" s="7">
        <f>4</f>
        <v>4</v>
      </c>
      <c r="F270" s="4">
        <v>10910</v>
      </c>
      <c r="K270" s="12"/>
      <c r="L270" s="16"/>
      <c r="M270" s="13"/>
      <c r="N270" s="12"/>
      <c r="O270" s="14"/>
      <c r="P270" s="14"/>
      <c r="Q270" s="14"/>
      <c r="R270" s="14"/>
      <c r="S270" s="14"/>
      <c r="T270" s="14"/>
      <c r="U270" s="14"/>
      <c r="V270" s="14"/>
      <c r="W270" s="15"/>
    </row>
    <row r="271" spans="2:23" x14ac:dyDescent="0.3">
      <c r="B271" s="1" t="s">
        <v>95</v>
      </c>
      <c r="C271" s="7">
        <v>3000</v>
      </c>
      <c r="D271" s="1" t="s">
        <v>62</v>
      </c>
      <c r="E271" s="7">
        <f>4</f>
        <v>4</v>
      </c>
      <c r="F271" s="4">
        <v>10909</v>
      </c>
      <c r="K271" s="12"/>
      <c r="L271" s="16"/>
      <c r="M271" s="13"/>
      <c r="N271" s="12"/>
      <c r="O271" s="14"/>
      <c r="P271" s="14"/>
      <c r="Q271" s="14"/>
      <c r="R271" s="14"/>
      <c r="S271" s="14"/>
      <c r="T271" s="14"/>
      <c r="U271" s="14"/>
      <c r="V271" s="14"/>
      <c r="W271" s="15"/>
    </row>
    <row r="272" spans="2:23" x14ac:dyDescent="0.3">
      <c r="B272" s="1" t="s">
        <v>102</v>
      </c>
      <c r="C272" s="7">
        <v>3000</v>
      </c>
      <c r="D272" s="1" t="s">
        <v>62</v>
      </c>
      <c r="E272" s="7">
        <f>4</f>
        <v>4</v>
      </c>
      <c r="F272" s="4">
        <v>10909</v>
      </c>
      <c r="K272" s="12"/>
      <c r="L272" s="16"/>
      <c r="M272" s="13"/>
      <c r="N272" s="12"/>
      <c r="O272" s="14"/>
      <c r="P272" s="14"/>
      <c r="Q272" s="14"/>
      <c r="R272" s="14"/>
      <c r="S272" s="14"/>
      <c r="T272" s="14"/>
      <c r="U272" s="14"/>
      <c r="V272" s="14"/>
      <c r="W272" s="15"/>
    </row>
    <row r="273" spans="2:23" x14ac:dyDescent="0.3">
      <c r="B273" s="1" t="s">
        <v>159</v>
      </c>
      <c r="C273" s="7">
        <v>3500</v>
      </c>
      <c r="D273" s="1" t="s">
        <v>61</v>
      </c>
      <c r="E273" s="7">
        <f>3</f>
        <v>3</v>
      </c>
      <c r="F273" s="4">
        <v>9545</v>
      </c>
      <c r="K273" s="12"/>
      <c r="L273" s="16"/>
      <c r="M273" s="13"/>
      <c r="N273" s="12"/>
      <c r="O273" s="14"/>
      <c r="P273" s="14"/>
      <c r="Q273" s="14"/>
      <c r="R273" s="14"/>
      <c r="S273" s="14"/>
      <c r="T273" s="14"/>
      <c r="U273" s="14"/>
      <c r="V273" s="14"/>
      <c r="W273" s="15"/>
    </row>
    <row r="274" spans="2:23" x14ac:dyDescent="0.3">
      <c r="B274" s="1" t="s">
        <v>83</v>
      </c>
      <c r="C274" s="7">
        <v>3500</v>
      </c>
      <c r="D274" s="1" t="s">
        <v>63</v>
      </c>
      <c r="E274" s="7">
        <f>3</f>
        <v>3</v>
      </c>
      <c r="F274" s="4">
        <v>9545</v>
      </c>
      <c r="K274" s="12"/>
      <c r="L274" s="16"/>
      <c r="M274" s="13"/>
      <c r="N274" s="12"/>
      <c r="O274" s="14"/>
      <c r="P274" s="14"/>
      <c r="Q274" s="14"/>
      <c r="R274" s="14"/>
      <c r="S274" s="14"/>
      <c r="T274" s="14"/>
      <c r="U274" s="14"/>
      <c r="V274" s="14"/>
      <c r="W274" s="15"/>
    </row>
    <row r="275" spans="2:23" x14ac:dyDescent="0.3">
      <c r="B275" s="1" t="s">
        <v>151</v>
      </c>
      <c r="C275" s="7">
        <v>3200</v>
      </c>
      <c r="D275" s="1" t="s">
        <v>61</v>
      </c>
      <c r="E275" s="7">
        <f>3</f>
        <v>3</v>
      </c>
      <c r="F275" s="4">
        <v>8727</v>
      </c>
      <c r="K275" s="12"/>
      <c r="L275" s="16"/>
      <c r="M275" s="13"/>
      <c r="N275" s="12"/>
      <c r="O275" s="14"/>
      <c r="P275" s="14"/>
      <c r="Q275" s="14"/>
      <c r="R275" s="14"/>
      <c r="S275" s="14"/>
      <c r="T275" s="14"/>
      <c r="U275" s="14"/>
      <c r="V275" s="14"/>
      <c r="W275" s="15"/>
    </row>
    <row r="276" spans="2:23" x14ac:dyDescent="0.3">
      <c r="B276" s="1" t="s">
        <v>216</v>
      </c>
      <c r="C276" s="7">
        <v>3000</v>
      </c>
      <c r="D276" s="1" t="s">
        <v>58</v>
      </c>
      <c r="E276" s="7">
        <f>3</f>
        <v>3</v>
      </c>
      <c r="F276" s="4">
        <v>8182</v>
      </c>
      <c r="K276" s="12"/>
      <c r="L276" s="16"/>
      <c r="M276" s="13"/>
      <c r="N276" s="12"/>
      <c r="O276" s="14"/>
      <c r="P276" s="14"/>
      <c r="Q276" s="14"/>
      <c r="R276" s="14"/>
      <c r="S276" s="14"/>
      <c r="T276" s="14"/>
      <c r="U276" s="14"/>
      <c r="V276" s="14"/>
      <c r="W276" s="15"/>
    </row>
    <row r="277" spans="2:23" x14ac:dyDescent="0.3">
      <c r="B277" s="1" t="s">
        <v>97</v>
      </c>
      <c r="C277" s="7">
        <v>3000</v>
      </c>
      <c r="D277" s="1" t="s">
        <v>63</v>
      </c>
      <c r="E277" s="7">
        <f>4</f>
        <v>4</v>
      </c>
      <c r="F277" s="4">
        <v>8182</v>
      </c>
      <c r="K277" s="12"/>
      <c r="L277" s="16"/>
      <c r="M277" s="13"/>
      <c r="N277" s="12"/>
      <c r="O277" s="14"/>
      <c r="P277" s="14"/>
      <c r="Q277" s="14"/>
      <c r="R277" s="14"/>
      <c r="S277" s="14"/>
      <c r="T277" s="14"/>
      <c r="U277" s="14"/>
      <c r="V277" s="14"/>
      <c r="W277" s="15"/>
    </row>
    <row r="278" spans="2:23" x14ac:dyDescent="0.3">
      <c r="B278" s="1" t="s">
        <v>276</v>
      </c>
      <c r="C278" s="7">
        <v>300</v>
      </c>
      <c r="D278" s="1" t="s">
        <v>70</v>
      </c>
      <c r="E278" s="9">
        <f>3+26</f>
        <v>29</v>
      </c>
      <c r="F278" s="10">
        <f>818+7098</f>
        <v>7916</v>
      </c>
      <c r="K278" s="12"/>
      <c r="L278" s="16"/>
      <c r="M278" s="13"/>
      <c r="N278" s="12"/>
      <c r="O278" s="14"/>
      <c r="P278" s="14"/>
      <c r="Q278" s="14"/>
      <c r="R278" s="14"/>
      <c r="S278" s="14"/>
      <c r="T278" s="14"/>
      <c r="U278" s="14"/>
      <c r="V278" s="14"/>
      <c r="W278" s="15"/>
    </row>
    <row r="279" spans="2:23" x14ac:dyDescent="0.3">
      <c r="B279" s="1" t="s">
        <v>150</v>
      </c>
      <c r="C279" s="7">
        <v>2000</v>
      </c>
      <c r="D279" s="1" t="s">
        <v>61</v>
      </c>
      <c r="E279" s="7">
        <f>4</f>
        <v>4</v>
      </c>
      <c r="F279" s="4">
        <v>7272</v>
      </c>
      <c r="K279" s="12"/>
      <c r="L279" s="16"/>
      <c r="M279" s="13"/>
      <c r="N279" s="12"/>
      <c r="O279" s="14"/>
      <c r="P279" s="14"/>
      <c r="Q279" s="14"/>
      <c r="R279" s="14"/>
      <c r="S279" s="14"/>
      <c r="T279" s="14"/>
      <c r="U279" s="14"/>
      <c r="V279" s="14"/>
      <c r="W279" s="15"/>
    </row>
    <row r="280" spans="2:23" x14ac:dyDescent="0.3">
      <c r="B280" s="1" t="s">
        <v>137</v>
      </c>
      <c r="C280" s="7">
        <v>3500</v>
      </c>
      <c r="D280" s="1" t="s">
        <v>58</v>
      </c>
      <c r="E280" s="7">
        <f>2</f>
        <v>2</v>
      </c>
      <c r="F280" s="4">
        <v>6364</v>
      </c>
      <c r="K280" s="12"/>
      <c r="L280" s="16"/>
      <c r="M280" s="13"/>
      <c r="N280" s="12"/>
      <c r="O280" s="14"/>
      <c r="P280" s="14"/>
      <c r="Q280" s="14"/>
      <c r="R280" s="14"/>
      <c r="S280" s="14"/>
      <c r="T280" s="14"/>
      <c r="U280" s="14"/>
      <c r="V280" s="14"/>
      <c r="W280" s="15"/>
    </row>
    <row r="281" spans="2:23" x14ac:dyDescent="0.3">
      <c r="B281" s="1" t="s">
        <v>96</v>
      </c>
      <c r="C281" s="7">
        <v>3200</v>
      </c>
      <c r="D281" s="1" t="s">
        <v>61</v>
      </c>
      <c r="E281" s="7">
        <f>2</f>
        <v>2</v>
      </c>
      <c r="F281" s="4">
        <v>5818</v>
      </c>
      <c r="K281" s="12"/>
      <c r="L281" s="16"/>
      <c r="M281" s="13"/>
      <c r="N281" s="12"/>
      <c r="O281" s="14"/>
      <c r="P281" s="14"/>
      <c r="Q281" s="14"/>
      <c r="R281" s="14"/>
      <c r="S281" s="14"/>
      <c r="T281" s="14"/>
      <c r="U281" s="14"/>
      <c r="V281" s="14"/>
      <c r="W281" s="15"/>
    </row>
    <row r="282" spans="2:23" x14ac:dyDescent="0.3">
      <c r="B282" s="1" t="s">
        <v>130</v>
      </c>
      <c r="C282" s="7">
        <v>3000</v>
      </c>
      <c r="D282" s="1" t="s">
        <v>61</v>
      </c>
      <c r="E282" s="7">
        <f>2</f>
        <v>2</v>
      </c>
      <c r="F282" s="4">
        <v>5455</v>
      </c>
      <c r="K282" s="12"/>
      <c r="L282" s="16"/>
      <c r="M282" s="13"/>
      <c r="N282" s="12"/>
      <c r="O282" s="14"/>
      <c r="P282" s="14"/>
      <c r="Q282" s="14"/>
      <c r="R282" s="14"/>
      <c r="S282" s="14"/>
      <c r="T282" s="14"/>
      <c r="U282" s="14"/>
      <c r="V282" s="14"/>
      <c r="W282" s="15"/>
    </row>
    <row r="283" spans="2:23" x14ac:dyDescent="0.3">
      <c r="B283" s="1" t="s">
        <v>145</v>
      </c>
      <c r="C283" s="7">
        <v>3000</v>
      </c>
      <c r="D283" s="1" t="s">
        <v>58</v>
      </c>
      <c r="E283" s="7">
        <f>2</f>
        <v>2</v>
      </c>
      <c r="F283" s="4">
        <v>5455</v>
      </c>
      <c r="K283" s="12"/>
      <c r="L283" s="16"/>
      <c r="M283" s="13"/>
      <c r="N283" s="12"/>
      <c r="O283" s="14"/>
      <c r="P283" s="14"/>
      <c r="Q283" s="14"/>
      <c r="R283" s="14"/>
      <c r="S283" s="14"/>
      <c r="T283" s="14"/>
      <c r="U283" s="14"/>
      <c r="V283" s="14"/>
      <c r="W283" s="15"/>
    </row>
    <row r="284" spans="2:23" x14ac:dyDescent="0.3">
      <c r="B284" s="1" t="s">
        <v>219</v>
      </c>
      <c r="C284" s="7">
        <v>3000</v>
      </c>
      <c r="D284" s="1" t="s">
        <v>58</v>
      </c>
      <c r="E284" s="7">
        <f>2</f>
        <v>2</v>
      </c>
      <c r="F284" s="4">
        <v>5454</v>
      </c>
      <c r="K284" s="12"/>
      <c r="L284" s="16"/>
      <c r="M284" s="13"/>
      <c r="N284" s="12"/>
      <c r="O284" s="14"/>
      <c r="P284" s="14"/>
      <c r="Q284" s="14"/>
      <c r="R284" s="14"/>
      <c r="S284" s="14"/>
      <c r="T284" s="14"/>
      <c r="U284" s="14"/>
      <c r="V284" s="14"/>
      <c r="W284" s="15"/>
    </row>
    <row r="285" spans="2:23" x14ac:dyDescent="0.3">
      <c r="B285" s="1" t="s">
        <v>119</v>
      </c>
      <c r="C285" s="7">
        <v>2000</v>
      </c>
      <c r="D285" s="1" t="s">
        <v>60</v>
      </c>
      <c r="E285" s="7">
        <f>3</f>
        <v>3</v>
      </c>
      <c r="F285" s="4">
        <v>5454</v>
      </c>
      <c r="K285" s="12"/>
      <c r="L285" s="16"/>
      <c r="M285" s="13"/>
      <c r="N285" s="12"/>
      <c r="O285" s="14"/>
      <c r="P285" s="14"/>
      <c r="Q285" s="14"/>
      <c r="R285" s="14"/>
      <c r="S285" s="14"/>
      <c r="T285" s="14"/>
      <c r="U285" s="14"/>
      <c r="V285" s="14"/>
      <c r="W285" s="15"/>
    </row>
    <row r="286" spans="2:23" x14ac:dyDescent="0.3">
      <c r="B286" s="1" t="s">
        <v>132</v>
      </c>
      <c r="C286" s="7">
        <v>2700</v>
      </c>
      <c r="D286" s="1" t="s">
        <v>70</v>
      </c>
      <c r="E286" s="7">
        <f>2</f>
        <v>2</v>
      </c>
      <c r="F286" s="4">
        <v>4909</v>
      </c>
      <c r="K286" s="12"/>
      <c r="L286" s="16"/>
      <c r="M286" s="13"/>
      <c r="N286" s="12"/>
      <c r="O286" s="14"/>
      <c r="P286" s="14"/>
      <c r="Q286" s="14"/>
      <c r="R286" s="14"/>
      <c r="S286" s="14"/>
      <c r="T286" s="14"/>
      <c r="U286" s="14"/>
      <c r="V286" s="14"/>
      <c r="W286" s="15"/>
    </row>
    <row r="287" spans="2:23" x14ac:dyDescent="0.3">
      <c r="B287" t="s">
        <v>297</v>
      </c>
      <c r="C287" s="19">
        <v>2500</v>
      </c>
      <c r="D287" t="s">
        <v>60</v>
      </c>
      <c r="E287" s="8">
        <f>2</f>
        <v>2</v>
      </c>
      <c r="F287" s="5">
        <v>4546</v>
      </c>
      <c r="K287" s="12"/>
      <c r="L287" s="16"/>
      <c r="M287" s="13"/>
      <c r="N287" s="12"/>
      <c r="O287" s="14"/>
      <c r="P287" s="14"/>
      <c r="Q287" s="14"/>
      <c r="R287" s="14"/>
      <c r="S287" s="14"/>
      <c r="T287" s="14"/>
      <c r="U287" s="14"/>
      <c r="V287" s="14"/>
      <c r="W287" s="15"/>
    </row>
    <row r="288" spans="2:23" x14ac:dyDescent="0.3">
      <c r="B288" t="s">
        <v>300</v>
      </c>
      <c r="C288" s="19">
        <v>5000</v>
      </c>
      <c r="D288" t="s">
        <v>60</v>
      </c>
      <c r="E288" s="8">
        <f>1</f>
        <v>1</v>
      </c>
      <c r="F288" s="5">
        <v>4545</v>
      </c>
    </row>
    <row r="289" spans="2:6" x14ac:dyDescent="0.3">
      <c r="B289" s="1" t="s">
        <v>114</v>
      </c>
      <c r="C289" s="7">
        <v>2000</v>
      </c>
      <c r="D289" s="1" t="s">
        <v>60</v>
      </c>
      <c r="E289" s="7">
        <f>2</f>
        <v>2</v>
      </c>
      <c r="F289" s="4">
        <v>3636</v>
      </c>
    </row>
    <row r="290" spans="2:6" x14ac:dyDescent="0.3">
      <c r="B290" s="1" t="s">
        <v>0</v>
      </c>
      <c r="C290" s="7">
        <v>3500</v>
      </c>
      <c r="D290" s="1" t="s">
        <v>58</v>
      </c>
      <c r="E290" s="7">
        <f>1</f>
        <v>1</v>
      </c>
      <c r="F290" s="4">
        <v>3182</v>
      </c>
    </row>
    <row r="291" spans="2:6" x14ac:dyDescent="0.3">
      <c r="B291" s="1" t="s">
        <v>146</v>
      </c>
      <c r="C291" s="7">
        <v>3500</v>
      </c>
      <c r="D291" s="1" t="s">
        <v>58</v>
      </c>
      <c r="E291" s="7">
        <f>1</f>
        <v>1</v>
      </c>
      <c r="F291" s="4">
        <v>3182</v>
      </c>
    </row>
    <row r="292" spans="2:6" x14ac:dyDescent="0.3">
      <c r="B292" s="1" t="s">
        <v>213</v>
      </c>
      <c r="C292" s="7">
        <v>3500</v>
      </c>
      <c r="D292" s="1" t="s">
        <v>59</v>
      </c>
      <c r="E292" s="7">
        <f>1</f>
        <v>1</v>
      </c>
      <c r="F292" s="4">
        <v>3182</v>
      </c>
    </row>
    <row r="293" spans="2:6" x14ac:dyDescent="0.3">
      <c r="B293" s="1" t="s">
        <v>140</v>
      </c>
      <c r="C293" s="7">
        <v>3500</v>
      </c>
      <c r="D293" s="1" t="s">
        <v>63</v>
      </c>
      <c r="E293" s="7">
        <f>1</f>
        <v>1</v>
      </c>
      <c r="F293" s="4">
        <v>3182</v>
      </c>
    </row>
    <row r="294" spans="2:6" x14ac:dyDescent="0.3">
      <c r="B294" s="1" t="s">
        <v>131</v>
      </c>
      <c r="C294" s="7">
        <v>3200</v>
      </c>
      <c r="D294" s="1" t="s">
        <v>61</v>
      </c>
      <c r="E294" s="7">
        <f>1</f>
        <v>1</v>
      </c>
      <c r="F294" s="4">
        <v>2909</v>
      </c>
    </row>
    <row r="295" spans="2:6" x14ac:dyDescent="0.3">
      <c r="B295" s="1" t="s">
        <v>149</v>
      </c>
      <c r="C295" s="7">
        <v>3200</v>
      </c>
      <c r="D295" s="1" t="s">
        <v>61</v>
      </c>
      <c r="E295" s="7">
        <f>1</f>
        <v>1</v>
      </c>
      <c r="F295" s="4">
        <v>2909</v>
      </c>
    </row>
    <row r="296" spans="2:6" x14ac:dyDescent="0.3">
      <c r="B296" s="1" t="s">
        <v>163</v>
      </c>
      <c r="C296" s="7">
        <v>3200</v>
      </c>
      <c r="D296" s="1" t="s">
        <v>61</v>
      </c>
      <c r="E296" s="7">
        <f>1</f>
        <v>1</v>
      </c>
      <c r="F296" s="4">
        <v>2909</v>
      </c>
    </row>
    <row r="297" spans="2:6" x14ac:dyDescent="0.3">
      <c r="B297" s="1" t="s">
        <v>101</v>
      </c>
      <c r="C297" s="7">
        <v>3200</v>
      </c>
      <c r="D297" s="1" t="s">
        <v>63</v>
      </c>
      <c r="E297" s="7">
        <f>2</f>
        <v>2</v>
      </c>
      <c r="F297" s="4">
        <v>2909</v>
      </c>
    </row>
    <row r="298" spans="2:6" x14ac:dyDescent="0.3">
      <c r="B298" s="1" t="s">
        <v>4</v>
      </c>
      <c r="C298" s="7">
        <v>3000</v>
      </c>
      <c r="D298" s="1" t="s">
        <v>61</v>
      </c>
      <c r="E298" s="7">
        <f>1</f>
        <v>1</v>
      </c>
      <c r="F298" s="4">
        <v>2727</v>
      </c>
    </row>
    <row r="299" spans="2:6" x14ac:dyDescent="0.3">
      <c r="B299" s="1" t="s">
        <v>203</v>
      </c>
      <c r="C299" s="7">
        <v>3000</v>
      </c>
      <c r="D299" s="1" t="s">
        <v>59</v>
      </c>
      <c r="E299" s="7">
        <f>1</f>
        <v>1</v>
      </c>
      <c r="F299" s="4">
        <v>2727</v>
      </c>
    </row>
    <row r="300" spans="2:6" x14ac:dyDescent="0.3">
      <c r="B300" s="1" t="s">
        <v>138</v>
      </c>
      <c r="C300" s="7">
        <v>3000</v>
      </c>
      <c r="D300" s="1" t="s">
        <v>62</v>
      </c>
      <c r="E300" s="7">
        <f>1</f>
        <v>1</v>
      </c>
      <c r="F300" s="4">
        <v>2727</v>
      </c>
    </row>
    <row r="301" spans="2:6" x14ac:dyDescent="0.3">
      <c r="B301" s="1" t="s">
        <v>99</v>
      </c>
      <c r="C301" s="7">
        <v>3000</v>
      </c>
      <c r="D301" s="1" t="s">
        <v>63</v>
      </c>
      <c r="E301" s="7">
        <f>1</f>
        <v>1</v>
      </c>
      <c r="F301" s="4">
        <v>2727</v>
      </c>
    </row>
    <row r="302" spans="2:6" x14ac:dyDescent="0.3">
      <c r="B302" s="1" t="s">
        <v>255</v>
      </c>
      <c r="C302" s="7">
        <v>300</v>
      </c>
      <c r="D302" s="1" t="s">
        <v>70</v>
      </c>
      <c r="E302" s="9">
        <f>3+3</f>
        <v>6</v>
      </c>
      <c r="F302" s="10">
        <f>818+819</f>
        <v>1637</v>
      </c>
    </row>
    <row r="303" spans="2:6" x14ac:dyDescent="0.3">
      <c r="B303" s="1" t="s">
        <v>274</v>
      </c>
      <c r="C303" s="7">
        <v>300</v>
      </c>
      <c r="D303" s="1" t="s">
        <v>70</v>
      </c>
      <c r="E303" s="7">
        <f>1</f>
        <v>1</v>
      </c>
      <c r="F303" s="4">
        <v>273</v>
      </c>
    </row>
    <row r="304" spans="2:6" x14ac:dyDescent="0.3">
      <c r="B304" t="s">
        <v>6</v>
      </c>
      <c r="C304" s="19">
        <v>0</v>
      </c>
      <c r="D304" t="s">
        <v>60</v>
      </c>
      <c r="E304" s="8">
        <f>48</f>
        <v>48</v>
      </c>
      <c r="F304" s="5">
        <v>0</v>
      </c>
    </row>
    <row r="305" spans="2:6" x14ac:dyDescent="0.3">
      <c r="B305" t="s">
        <v>6</v>
      </c>
      <c r="C305" s="19">
        <v>0</v>
      </c>
      <c r="D305" t="s">
        <v>60</v>
      </c>
      <c r="E305" s="8">
        <f>9</f>
        <v>9</v>
      </c>
      <c r="F305" s="5">
        <v>0</v>
      </c>
    </row>
    <row r="306" spans="2:6" x14ac:dyDescent="0.3">
      <c r="B306" t="s">
        <v>301</v>
      </c>
      <c r="C306" s="19">
        <v>0</v>
      </c>
      <c r="D306" t="s">
        <v>60</v>
      </c>
      <c r="E306" s="8">
        <f>67</f>
        <v>67</v>
      </c>
      <c r="F306" s="5">
        <v>0</v>
      </c>
    </row>
    <row r="307" spans="2:6" x14ac:dyDescent="0.3">
      <c r="B307" t="s">
        <v>301</v>
      </c>
      <c r="C307" s="19">
        <v>0</v>
      </c>
      <c r="D307" t="s">
        <v>60</v>
      </c>
      <c r="E307" s="8">
        <f>3</f>
        <v>3</v>
      </c>
      <c r="F307" s="5">
        <v>0</v>
      </c>
    </row>
    <row r="308" spans="2:6" x14ac:dyDescent="0.3">
      <c r="B308" s="1" t="s">
        <v>251</v>
      </c>
      <c r="C308" s="7">
        <v>-1000</v>
      </c>
      <c r="D308" s="1" t="s">
        <v>60</v>
      </c>
      <c r="E308" s="7">
        <f>102</f>
        <v>102</v>
      </c>
      <c r="F308" s="4">
        <v>-92727</v>
      </c>
    </row>
    <row r="309" spans="2:6" x14ac:dyDescent="0.3">
      <c r="B309" s="1" t="s">
        <v>241</v>
      </c>
      <c r="C309" s="7">
        <v>-100</v>
      </c>
      <c r="D309" s="1" t="s">
        <v>70</v>
      </c>
      <c r="E309" s="9">
        <f>2652+1446</f>
        <v>4098</v>
      </c>
      <c r="F309" s="4">
        <v>-372140</v>
      </c>
    </row>
    <row r="310" spans="2:6" x14ac:dyDescent="0.3">
      <c r="B310" s="1" t="s">
        <v>260</v>
      </c>
      <c r="C310" s="7">
        <v>-500</v>
      </c>
      <c r="D310" s="1" t="s">
        <v>70</v>
      </c>
      <c r="E310" s="9">
        <f>3071+1658</f>
        <v>4729</v>
      </c>
      <c r="F310" s="4">
        <v>-2148493</v>
      </c>
    </row>
  </sheetData>
  <mergeCells count="2">
    <mergeCell ref="A1:G1"/>
    <mergeCell ref="K3:W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8E3F-C15A-49A1-8759-055D5CDAB4BF}">
  <dimension ref="A1:A61"/>
  <sheetViews>
    <sheetView topLeftCell="A49" workbookViewId="0">
      <selection activeCell="B66" sqref="B66"/>
    </sheetView>
  </sheetViews>
  <sheetFormatPr defaultRowHeight="16.5" x14ac:dyDescent="0.3"/>
  <sheetData>
    <row r="1" spans="1:1" ht="21.75" x14ac:dyDescent="0.3">
      <c r="A1" s="128" t="s">
        <v>348</v>
      </c>
    </row>
    <row r="3" spans="1:1" ht="21.75" x14ac:dyDescent="0.3">
      <c r="A3" s="128" t="s">
        <v>349</v>
      </c>
    </row>
    <row r="4" spans="1:1" x14ac:dyDescent="0.3">
      <c r="A4" s="129"/>
    </row>
    <row r="5" spans="1:1" x14ac:dyDescent="0.3">
      <c r="A5" s="130" t="s">
        <v>350</v>
      </c>
    </row>
    <row r="6" spans="1:1" x14ac:dyDescent="0.3">
      <c r="A6" s="131" t="s">
        <v>351</v>
      </c>
    </row>
    <row r="7" spans="1:1" x14ac:dyDescent="0.3">
      <c r="A7" s="132" t="s">
        <v>352</v>
      </c>
    </row>
    <row r="8" spans="1:1" x14ac:dyDescent="0.3">
      <c r="A8" s="129"/>
    </row>
    <row r="9" spans="1:1" x14ac:dyDescent="0.3">
      <c r="A9" s="130" t="s">
        <v>353</v>
      </c>
    </row>
    <row r="10" spans="1:1" x14ac:dyDescent="0.3">
      <c r="A10" s="131" t="s">
        <v>354</v>
      </c>
    </row>
    <row r="11" spans="1:1" x14ac:dyDescent="0.3">
      <c r="A11" s="131" t="s">
        <v>355</v>
      </c>
    </row>
    <row r="12" spans="1:1" x14ac:dyDescent="0.3">
      <c r="A12" s="129"/>
    </row>
    <row r="14" spans="1:1" ht="21.75" x14ac:dyDescent="0.3">
      <c r="A14" s="128" t="s">
        <v>356</v>
      </c>
    </row>
    <row r="15" spans="1:1" x14ac:dyDescent="0.3">
      <c r="A15" s="129"/>
    </row>
    <row r="16" spans="1:1" x14ac:dyDescent="0.3">
      <c r="A16" s="130" t="s">
        <v>357</v>
      </c>
    </row>
    <row r="17" spans="1:1" x14ac:dyDescent="0.3">
      <c r="A17" s="131" t="s">
        <v>358</v>
      </c>
    </row>
    <row r="18" spans="1:1" x14ac:dyDescent="0.3">
      <c r="A18" s="131" t="s">
        <v>359</v>
      </c>
    </row>
    <row r="19" spans="1:1" x14ac:dyDescent="0.3">
      <c r="A19" s="129"/>
    </row>
    <row r="20" spans="1:1" x14ac:dyDescent="0.3">
      <c r="A20" s="130" t="s">
        <v>360</v>
      </c>
    </row>
    <row r="21" spans="1:1" x14ac:dyDescent="0.3">
      <c r="A21" s="131" t="s">
        <v>361</v>
      </c>
    </row>
    <row r="22" spans="1:1" x14ac:dyDescent="0.3">
      <c r="A22" s="131" t="s">
        <v>362</v>
      </c>
    </row>
    <row r="23" spans="1:1" x14ac:dyDescent="0.3">
      <c r="A23" s="129"/>
    </row>
    <row r="24" spans="1:1" x14ac:dyDescent="0.3">
      <c r="A24" s="130" t="s">
        <v>363</v>
      </c>
    </row>
    <row r="25" spans="1:1" x14ac:dyDescent="0.3">
      <c r="A25" s="131" t="s">
        <v>364</v>
      </c>
    </row>
    <row r="26" spans="1:1" x14ac:dyDescent="0.3">
      <c r="A26" s="131" t="s">
        <v>365</v>
      </c>
    </row>
    <row r="27" spans="1:1" x14ac:dyDescent="0.3">
      <c r="A27" s="129"/>
    </row>
    <row r="28" spans="1:1" x14ac:dyDescent="0.3">
      <c r="A28" s="130" t="s">
        <v>366</v>
      </c>
    </row>
    <row r="29" spans="1:1" x14ac:dyDescent="0.3">
      <c r="A29" s="131" t="s">
        <v>367</v>
      </c>
    </row>
    <row r="30" spans="1:1" x14ac:dyDescent="0.3">
      <c r="A30" s="131" t="s">
        <v>368</v>
      </c>
    </row>
    <row r="31" spans="1:1" x14ac:dyDescent="0.3">
      <c r="A31" s="129"/>
    </row>
    <row r="32" spans="1:1" x14ac:dyDescent="0.3">
      <c r="A32" s="130" t="s">
        <v>369</v>
      </c>
    </row>
    <row r="33" spans="1:1" x14ac:dyDescent="0.3">
      <c r="A33" s="131" t="s">
        <v>370</v>
      </c>
    </row>
    <row r="34" spans="1:1" x14ac:dyDescent="0.3">
      <c r="A34" s="131" t="s">
        <v>371</v>
      </c>
    </row>
    <row r="35" spans="1:1" x14ac:dyDescent="0.3">
      <c r="A35" s="131"/>
    </row>
    <row r="37" spans="1:1" ht="21.75" x14ac:dyDescent="0.3">
      <c r="A37" s="128" t="s">
        <v>372</v>
      </c>
    </row>
    <row r="38" spans="1:1" x14ac:dyDescent="0.3">
      <c r="A38" s="129"/>
    </row>
    <row r="39" spans="1:1" x14ac:dyDescent="0.3">
      <c r="A39" s="130" t="s">
        <v>373</v>
      </c>
    </row>
    <row r="40" spans="1:1" x14ac:dyDescent="0.3">
      <c r="A40" s="131" t="s">
        <v>374</v>
      </c>
    </row>
    <row r="41" spans="1:1" x14ac:dyDescent="0.3">
      <c r="A41" s="129"/>
    </row>
    <row r="42" spans="1:1" x14ac:dyDescent="0.3">
      <c r="A42" s="130" t="s">
        <v>375</v>
      </c>
    </row>
    <row r="43" spans="1:1" x14ac:dyDescent="0.3">
      <c r="A43" s="131" t="s">
        <v>376</v>
      </c>
    </row>
    <row r="44" spans="1:1" x14ac:dyDescent="0.3">
      <c r="A44" s="131" t="s">
        <v>389</v>
      </c>
    </row>
    <row r="45" spans="1:1" x14ac:dyDescent="0.3">
      <c r="A45" s="129"/>
    </row>
    <row r="46" spans="1:1" x14ac:dyDescent="0.3">
      <c r="A46" s="130" t="s">
        <v>377</v>
      </c>
    </row>
    <row r="47" spans="1:1" x14ac:dyDescent="0.3">
      <c r="A47" s="131" t="s">
        <v>385</v>
      </c>
    </row>
    <row r="48" spans="1:1" x14ac:dyDescent="0.3">
      <c r="A48" s="129"/>
    </row>
    <row r="49" spans="1:1" x14ac:dyDescent="0.3">
      <c r="A49" s="130" t="s">
        <v>378</v>
      </c>
    </row>
    <row r="50" spans="1:1" x14ac:dyDescent="0.3">
      <c r="A50" s="131" t="s">
        <v>379</v>
      </c>
    </row>
    <row r="51" spans="1:1" x14ac:dyDescent="0.3">
      <c r="A51" s="131" t="s">
        <v>386</v>
      </c>
    </row>
    <row r="52" spans="1:1" x14ac:dyDescent="0.3">
      <c r="A52" s="129"/>
    </row>
    <row r="53" spans="1:1" x14ac:dyDescent="0.3">
      <c r="A53" s="130" t="s">
        <v>380</v>
      </c>
    </row>
    <row r="54" spans="1:1" x14ac:dyDescent="0.3">
      <c r="A54" s="131" t="s">
        <v>387</v>
      </c>
    </row>
    <row r="55" spans="1:1" x14ac:dyDescent="0.3">
      <c r="A55" s="131" t="s">
        <v>388</v>
      </c>
    </row>
    <row r="56" spans="1:1" x14ac:dyDescent="0.3">
      <c r="A56" s="129"/>
    </row>
    <row r="57" spans="1:1" ht="21.75" x14ac:dyDescent="0.3">
      <c r="A57" s="128" t="s">
        <v>381</v>
      </c>
    </row>
    <row r="58" spans="1:1" x14ac:dyDescent="0.3">
      <c r="A58" s="129"/>
    </row>
    <row r="59" spans="1:1" x14ac:dyDescent="0.3">
      <c r="A59" s="130" t="s">
        <v>382</v>
      </c>
    </row>
    <row r="60" spans="1:1" x14ac:dyDescent="0.3">
      <c r="A60" s="133" t="s">
        <v>383</v>
      </c>
    </row>
    <row r="61" spans="1:1" x14ac:dyDescent="0.3">
      <c r="A61" s="130" t="s">
        <v>384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연간메뉴 판매 현황</vt:lpstr>
      <vt:lpstr>메뉴판매요약</vt:lpstr>
      <vt:lpstr>판매량 DATA</vt:lpstr>
      <vt:lpstr>인사이트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PC1</cp:lastModifiedBy>
  <cp:revision>1</cp:revision>
  <dcterms:created xsi:type="dcterms:W3CDTF">2024-12-29T15:23:45Z</dcterms:created>
  <dcterms:modified xsi:type="dcterms:W3CDTF">2025-01-14T04:47:42Z</dcterms:modified>
  <cp:version>1000.0100.01</cp:version>
</cp:coreProperties>
</file>