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지하아린파일\카페쿠피사업계획\2024사업계획\"/>
    </mc:Choice>
  </mc:AlternateContent>
  <bookViews>
    <workbookView xWindow="8775" yWindow="135" windowWidth="20145" windowHeight="11295" firstSheet="6" activeTab="11"/>
  </bookViews>
  <sheets>
    <sheet name="2022결산대비23년계획" sheetId="32" r:id="rId1"/>
    <sheet name="2024카페사업팀사업계획_추정손익_ver.1" sheetId="28" r:id="rId2"/>
    <sheet name="2024가상BEP" sheetId="11" r:id="rId3"/>
    <sheet name="2024년목표 매출" sheetId="23" r:id="rId4"/>
    <sheet name="Sheet1" sheetId="36" r:id="rId5"/>
    <sheet name="연간매출자료18~23년" sheetId="1" r:id="rId6"/>
    <sheet name="월간매출자료18~23년" sheetId="17" r:id="rId7"/>
    <sheet name="메뉴판매요약" sheetId="35" r:id="rId8"/>
    <sheet name="연간메뉴판매현황" sheetId="33" r:id="rId9"/>
    <sheet name="메뉴카테고리별" sheetId="34" r:id="rId10"/>
    <sheet name="2023년카페디저트판매현황" sheetId="20" r:id="rId11"/>
    <sheet name="2024년카페인력현황" sheetId="19" r:id="rId12"/>
    <sheet name="신규개설 시뮬레이션" sheetId="15" r:id="rId13"/>
    <sheet name="베이커리사업장step" sheetId="30" r:id="rId14"/>
    <sheet name="한의과대시뮬" sheetId="29" r:id="rId15"/>
    <sheet name="Sheet2" sheetId="37" r:id="rId16"/>
  </sheets>
  <definedNames>
    <definedName name="_xlnm._FilterDatabase" localSheetId="9" hidden="1">메뉴카테고리별!$A$3:$G$286</definedName>
    <definedName name="_xlnm._FilterDatabase" localSheetId="8" hidden="1">연간메뉴판매현황!$A$3:$G$276</definedName>
    <definedName name="_xlnm.Print_Area" localSheetId="0">'2022결산대비23년계획'!$A$1:$G$26</definedName>
    <definedName name="_xlnm.Print_Area" localSheetId="2">'2024가상BEP'!$A$1:$K$14</definedName>
    <definedName name="_xlnm.Print_Area" localSheetId="1">'2024카페사업팀사업계획_추정손익_ver.1'!$A$1:$E$26</definedName>
  </definedNames>
  <calcPr calcId="162913"/>
</workbook>
</file>

<file path=xl/calcChain.xml><?xml version="1.0" encoding="utf-8"?>
<calcChain xmlns="http://schemas.openxmlformats.org/spreadsheetml/2006/main">
  <c r="F9" i="37" l="1"/>
  <c r="G9" i="37"/>
  <c r="G12" i="37" s="1"/>
  <c r="G16" i="37" s="1"/>
  <c r="F10" i="37"/>
  <c r="F12" i="37" s="1"/>
  <c r="F16" i="37" s="1"/>
  <c r="G10" i="37"/>
  <c r="G20" i="37" s="1"/>
  <c r="G21" i="37" s="1"/>
  <c r="F11" i="37"/>
  <c r="G11" i="37"/>
  <c r="H11" i="37"/>
  <c r="I11" i="37"/>
  <c r="J11" i="37"/>
  <c r="E12" i="37"/>
  <c r="E16" i="37" s="1"/>
  <c r="F14" i="37"/>
  <c r="F22" i="37" s="1"/>
  <c r="G14" i="37"/>
  <c r="G22" i="37" s="1"/>
  <c r="H14" i="37"/>
  <c r="I14" i="37" s="1"/>
  <c r="E20" i="37"/>
  <c r="E21" i="37"/>
  <c r="E23" i="37" s="1"/>
  <c r="E22" i="37"/>
  <c r="I22" i="37" l="1"/>
  <c r="J14" i="37"/>
  <c r="J22" i="37" s="1"/>
  <c r="G23" i="37"/>
  <c r="H22" i="37"/>
  <c r="H9" i="37"/>
  <c r="F20" i="37"/>
  <c r="F21" i="37" s="1"/>
  <c r="F23" i="37" s="1"/>
  <c r="D43" i="29"/>
  <c r="I9" i="37" l="1"/>
  <c r="H10" i="37"/>
  <c r="H20" i="37" s="1"/>
  <c r="H21" i="37" s="1"/>
  <c r="H23" i="37" s="1"/>
  <c r="O27" i="23"/>
  <c r="H12" i="37" l="1"/>
  <c r="H16" i="37" s="1"/>
  <c r="I10" i="37"/>
  <c r="I20" i="37" s="1"/>
  <c r="I21" i="37" s="1"/>
  <c r="I23" i="37" s="1"/>
  <c r="I12" i="37"/>
  <c r="I16" i="37" s="1"/>
  <c r="J9" i="37"/>
  <c r="H18" i="28"/>
  <c r="J10" i="37" l="1"/>
  <c r="J20" i="37" s="1"/>
  <c r="J21" i="37" s="1"/>
  <c r="J23" i="37" s="1"/>
  <c r="J12" i="37"/>
  <c r="J16" i="37" s="1"/>
  <c r="O75" i="23"/>
  <c r="D6" i="28" l="1"/>
  <c r="E88" i="1" l="1"/>
  <c r="F23" i="32" l="1"/>
  <c r="F22" i="32"/>
  <c r="F17" i="32"/>
  <c r="F9" i="32"/>
  <c r="E19" i="32" l="1"/>
  <c r="F5" i="32"/>
  <c r="Q91" i="23" l="1"/>
  <c r="Q90" i="23"/>
  <c r="P90" i="23"/>
  <c r="O90" i="23"/>
  <c r="P89" i="23"/>
  <c r="O89" i="23"/>
  <c r="L92" i="23"/>
  <c r="H35" i="1" l="1"/>
  <c r="H36" i="1"/>
  <c r="H37" i="1"/>
  <c r="H38" i="1"/>
  <c r="H39" i="1"/>
  <c r="H40" i="1"/>
  <c r="H41" i="1"/>
  <c r="H42" i="1"/>
  <c r="H43" i="1"/>
  <c r="H49" i="1"/>
  <c r="H50" i="1"/>
  <c r="H51" i="1"/>
  <c r="H52" i="1"/>
  <c r="H53" i="1"/>
  <c r="H54" i="1"/>
  <c r="H55" i="1"/>
  <c r="H56" i="1"/>
  <c r="H57" i="1"/>
  <c r="H22" i="1"/>
  <c r="H23" i="1"/>
  <c r="H24" i="1"/>
  <c r="H25" i="1"/>
  <c r="H26" i="1"/>
  <c r="H27" i="1"/>
  <c r="H28" i="1"/>
  <c r="H29" i="1"/>
  <c r="H21" i="1"/>
  <c r="H15" i="1"/>
  <c r="H8" i="1"/>
  <c r="H9" i="1"/>
  <c r="H10" i="1"/>
  <c r="H11" i="1"/>
  <c r="H12" i="1"/>
  <c r="H13" i="1"/>
  <c r="H14" i="1"/>
  <c r="H7" i="1"/>
  <c r="H17" i="28" l="1"/>
  <c r="L78" i="1" l="1"/>
  <c r="L79" i="1"/>
  <c r="L80" i="1"/>
  <c r="L81" i="1"/>
  <c r="L82" i="1"/>
  <c r="L83" i="1"/>
  <c r="L84" i="1"/>
  <c r="L85" i="1"/>
  <c r="L77" i="1"/>
  <c r="K78" i="1"/>
  <c r="K79" i="1"/>
  <c r="K80" i="1"/>
  <c r="K81" i="1"/>
  <c r="K82" i="1"/>
  <c r="K83" i="1"/>
  <c r="K84" i="1"/>
  <c r="K85" i="1"/>
  <c r="K77" i="1"/>
  <c r="Q64" i="23" l="1"/>
  <c r="Q65" i="23"/>
  <c r="Q66" i="23"/>
  <c r="Q68" i="23"/>
  <c r="Q69" i="23"/>
  <c r="Q70" i="23"/>
  <c r="Q71" i="23"/>
  <c r="Q72" i="23"/>
  <c r="Q73" i="23"/>
  <c r="L93" i="23" l="1"/>
  <c r="M92" i="23"/>
  <c r="M93" i="23" s="1"/>
  <c r="H98" i="23"/>
  <c r="G98" i="23"/>
  <c r="L94" i="23" l="1"/>
  <c r="N92" i="23" s="1"/>
  <c r="O43" i="23"/>
  <c r="O56" i="23"/>
  <c r="O55" i="23"/>
  <c r="O48" i="23"/>
  <c r="O49" i="23"/>
  <c r="O50" i="23"/>
  <c r="O51" i="23"/>
  <c r="O52" i="23"/>
  <c r="O53" i="23"/>
  <c r="O54" i="23"/>
  <c r="O47" i="23"/>
  <c r="P47" i="23"/>
  <c r="E41" i="29" l="1"/>
  <c r="Q27" i="29"/>
  <c r="Q28" i="29"/>
  <c r="Q29" i="29"/>
  <c r="Q30" i="29"/>
  <c r="Q31" i="29"/>
  <c r="Q32" i="29"/>
  <c r="Q33" i="29"/>
  <c r="Q34" i="29"/>
  <c r="Q35" i="29"/>
  <c r="Q26" i="29"/>
  <c r="P35" i="29" l="1"/>
  <c r="P27" i="29"/>
  <c r="P28" i="29"/>
  <c r="P29" i="29"/>
  <c r="P30" i="29"/>
  <c r="P31" i="29"/>
  <c r="P32" i="29"/>
  <c r="P33" i="29"/>
  <c r="P34" i="29"/>
  <c r="P26" i="29"/>
  <c r="C43" i="29"/>
  <c r="C41" i="29"/>
  <c r="D41" i="29" s="1"/>
  <c r="E21" i="29"/>
  <c r="B42" i="29"/>
  <c r="D110" i="23"/>
  <c r="D111" i="23"/>
  <c r="C22" i="20"/>
  <c r="G96" i="23" l="1"/>
  <c r="G97" i="23"/>
  <c r="M99" i="23"/>
  <c r="Q67" i="23"/>
  <c r="B107" i="23"/>
  <c r="B113" i="23" l="1"/>
  <c r="B121" i="23"/>
  <c r="B120" i="23"/>
  <c r="K16" i="32"/>
  <c r="K4" i="11" l="1"/>
  <c r="K6" i="11"/>
  <c r="C13" i="11"/>
  <c r="D13" i="11"/>
  <c r="E13" i="11"/>
  <c r="F13" i="11"/>
  <c r="G13" i="11"/>
  <c r="H13" i="11"/>
  <c r="I13" i="11"/>
  <c r="J13" i="11"/>
  <c r="B13" i="11"/>
  <c r="C12" i="11"/>
  <c r="D12" i="11"/>
  <c r="E12" i="11"/>
  <c r="F12" i="11"/>
  <c r="G12" i="11"/>
  <c r="H12" i="11"/>
  <c r="I12" i="11"/>
  <c r="J12" i="11"/>
  <c r="B12" i="11"/>
  <c r="AA12" i="11"/>
  <c r="AA13" i="11"/>
  <c r="K18" i="11"/>
  <c r="L14" i="11"/>
  <c r="J5" i="11"/>
  <c r="E6" i="11"/>
  <c r="F6" i="11"/>
  <c r="G6" i="11"/>
  <c r="H6" i="11"/>
  <c r="I6" i="11"/>
  <c r="D6" i="11"/>
  <c r="K12" i="11" l="1"/>
  <c r="C20" i="36"/>
  <c r="D20" i="36"/>
  <c r="E20" i="36"/>
  <c r="F20" i="36"/>
  <c r="G20" i="36"/>
  <c r="H20" i="36"/>
  <c r="I20" i="36"/>
  <c r="J20" i="36"/>
  <c r="K20" i="36"/>
  <c r="B20" i="36"/>
  <c r="C32" i="36"/>
  <c r="C19" i="36"/>
  <c r="D19" i="36"/>
  <c r="E19" i="36"/>
  <c r="F19" i="36"/>
  <c r="G19" i="36"/>
  <c r="H19" i="36"/>
  <c r="I19" i="36"/>
  <c r="J19" i="36"/>
  <c r="K19" i="36"/>
  <c r="B19" i="36"/>
  <c r="C17" i="36"/>
  <c r="D17" i="36"/>
  <c r="E17" i="36"/>
  <c r="F17" i="36"/>
  <c r="G17" i="36"/>
  <c r="H17" i="36"/>
  <c r="I17" i="36"/>
  <c r="J17" i="36"/>
  <c r="B17" i="36"/>
  <c r="K6" i="36"/>
  <c r="K7" i="36"/>
  <c r="K8" i="36"/>
  <c r="K9" i="36"/>
  <c r="K10" i="36"/>
  <c r="K11" i="36"/>
  <c r="K12" i="36"/>
  <c r="K13" i="36"/>
  <c r="K14" i="36"/>
  <c r="K15" i="36"/>
  <c r="K16" i="36"/>
  <c r="K5" i="36"/>
  <c r="K17" i="36" l="1"/>
  <c r="O19" i="23"/>
  <c r="O20" i="23"/>
  <c r="O21" i="23"/>
  <c r="O22" i="23"/>
  <c r="O23" i="23"/>
  <c r="O24" i="23"/>
  <c r="O25" i="23"/>
  <c r="O26" i="23"/>
  <c r="O18" i="23"/>
  <c r="S34" i="23" l="1"/>
  <c r="S35" i="23"/>
  <c r="S36" i="23"/>
  <c r="S37" i="23"/>
  <c r="S38" i="23"/>
  <c r="S39" i="23"/>
  <c r="S40" i="23"/>
  <c r="S41" i="23"/>
  <c r="S42" i="23"/>
  <c r="S33" i="23"/>
  <c r="R42" i="23"/>
  <c r="Q42" i="23"/>
  <c r="R34" i="23"/>
  <c r="R35" i="23"/>
  <c r="R36" i="23"/>
  <c r="R37" i="23"/>
  <c r="R38" i="23"/>
  <c r="R39" i="23"/>
  <c r="R40" i="23"/>
  <c r="R41" i="23"/>
  <c r="R33" i="23"/>
  <c r="C110" i="23"/>
  <c r="E19" i="29" l="1"/>
  <c r="E20" i="29"/>
  <c r="E18" i="29"/>
  <c r="K17" i="29" l="1"/>
  <c r="B49" i="29" s="1"/>
  <c r="D49" i="23"/>
  <c r="P55" i="17"/>
  <c r="P54" i="17"/>
  <c r="P53" i="17"/>
  <c r="P52" i="17"/>
  <c r="P51" i="17"/>
  <c r="P50" i="17"/>
  <c r="P49" i="17"/>
  <c r="P48" i="17"/>
  <c r="J15" i="23"/>
  <c r="P47" i="17"/>
  <c r="B111" i="23" l="1"/>
  <c r="B112" i="23" s="1"/>
  <c r="C16" i="20"/>
  <c r="D16" i="20"/>
  <c r="B16" i="20"/>
  <c r="B116" i="23" l="1"/>
  <c r="F11" i="35"/>
  <c r="G5" i="35" s="1"/>
  <c r="F52" i="34"/>
  <c r="G4" i="34" s="1"/>
  <c r="F171" i="34"/>
  <c r="G60" i="34" s="1"/>
  <c r="F220" i="34"/>
  <c r="G180" i="34" s="1"/>
  <c r="F253" i="34"/>
  <c r="G228" i="34" s="1"/>
  <c r="F260" i="34"/>
  <c r="G256" i="34" s="1"/>
  <c r="F286" i="34"/>
  <c r="G268" i="34" s="1"/>
  <c r="F276" i="33"/>
  <c r="G4" i="33" s="1"/>
  <c r="G29" i="34" l="1"/>
  <c r="G27" i="34"/>
  <c r="G187" i="34"/>
  <c r="G175" i="34"/>
  <c r="G227" i="34"/>
  <c r="G211" i="34"/>
  <c r="G9" i="34"/>
  <c r="G235" i="34"/>
  <c r="G47" i="34"/>
  <c r="G46" i="34"/>
  <c r="G38" i="34"/>
  <c r="G19" i="34"/>
  <c r="G18" i="34"/>
  <c r="G213" i="34"/>
  <c r="G10" i="34"/>
  <c r="G201" i="34"/>
  <c r="G199" i="34"/>
  <c r="G37" i="34"/>
  <c r="G271" i="34"/>
  <c r="G197" i="34"/>
  <c r="G35" i="34"/>
  <c r="G17" i="34"/>
  <c r="G8" i="34"/>
  <c r="G269" i="34"/>
  <c r="G195" i="34"/>
  <c r="G7" i="34"/>
  <c r="G45" i="34"/>
  <c r="G282" i="34"/>
  <c r="G219" i="34"/>
  <c r="G43" i="34"/>
  <c r="G267" i="34"/>
  <c r="G194" i="34"/>
  <c r="G42" i="34"/>
  <c r="G33" i="34"/>
  <c r="G24" i="34"/>
  <c r="G15" i="34"/>
  <c r="G6" i="34"/>
  <c r="G259" i="34"/>
  <c r="G186" i="34"/>
  <c r="G258" i="34"/>
  <c r="G185" i="34"/>
  <c r="G217" i="34"/>
  <c r="G205" i="34"/>
  <c r="G193" i="34"/>
  <c r="G179" i="34"/>
  <c r="G50" i="34"/>
  <c r="G41" i="34"/>
  <c r="G32" i="34"/>
  <c r="G23" i="34"/>
  <c r="G14" i="34"/>
  <c r="G5" i="34"/>
  <c r="G274" i="34"/>
  <c r="G273" i="34"/>
  <c r="G173" i="34"/>
  <c r="G25" i="34"/>
  <c r="G255" i="34"/>
  <c r="G207" i="34"/>
  <c r="G51" i="34"/>
  <c r="G251" i="34"/>
  <c r="G215" i="34"/>
  <c r="G203" i="34"/>
  <c r="G191" i="34"/>
  <c r="G178" i="34"/>
  <c r="G49" i="34"/>
  <c r="G40" i="34"/>
  <c r="G31" i="34"/>
  <c r="G22" i="34"/>
  <c r="G13" i="34"/>
  <c r="G285" i="34"/>
  <c r="G283" i="34"/>
  <c r="G210" i="34"/>
  <c r="G26" i="34"/>
  <c r="G257" i="34"/>
  <c r="G209" i="34"/>
  <c r="G183" i="34"/>
  <c r="G34" i="34"/>
  <c r="G16" i="34"/>
  <c r="G281" i="34"/>
  <c r="G218" i="34"/>
  <c r="G181" i="34"/>
  <c r="G279" i="34"/>
  <c r="G266" i="34"/>
  <c r="G277" i="34"/>
  <c r="G265" i="34"/>
  <c r="G275" i="34"/>
  <c r="G263" i="34"/>
  <c r="G243" i="34"/>
  <c r="G214" i="34"/>
  <c r="G202" i="34"/>
  <c r="G189" i="34"/>
  <c r="G177" i="34"/>
  <c r="G48" i="34"/>
  <c r="G39" i="34"/>
  <c r="G30" i="34"/>
  <c r="G21" i="34"/>
  <c r="G11" i="34"/>
  <c r="G267" i="33"/>
  <c r="G275" i="33"/>
  <c r="G259" i="33"/>
  <c r="G8" i="35"/>
  <c r="G10" i="35"/>
  <c r="G9" i="35"/>
  <c r="G7" i="35"/>
  <c r="G6" i="35"/>
  <c r="G11" i="35" s="1"/>
  <c r="G155" i="34"/>
  <c r="G131" i="34"/>
  <c r="G99" i="34"/>
  <c r="G83" i="34"/>
  <c r="G250" i="34"/>
  <c r="G242" i="34"/>
  <c r="G234" i="34"/>
  <c r="G226" i="34"/>
  <c r="G170" i="34"/>
  <c r="G162" i="34"/>
  <c r="G154" i="34"/>
  <c r="G146" i="34"/>
  <c r="G138" i="34"/>
  <c r="G130" i="34"/>
  <c r="G122" i="34"/>
  <c r="G114" i="34"/>
  <c r="G106" i="34"/>
  <c r="G98" i="34"/>
  <c r="G90" i="34"/>
  <c r="G82" i="34"/>
  <c r="G74" i="34"/>
  <c r="G66" i="34"/>
  <c r="G58" i="34"/>
  <c r="G163" i="34"/>
  <c r="G139" i="34"/>
  <c r="G115" i="34"/>
  <c r="G91" i="34"/>
  <c r="G59" i="34"/>
  <c r="G249" i="34"/>
  <c r="G233" i="34"/>
  <c r="G169" i="34"/>
  <c r="G161" i="34"/>
  <c r="G153" i="34"/>
  <c r="G145" i="34"/>
  <c r="G137" i="34"/>
  <c r="G129" i="34"/>
  <c r="G121" i="34"/>
  <c r="G113" i="34"/>
  <c r="G105" i="34"/>
  <c r="G97" i="34"/>
  <c r="G89" i="34"/>
  <c r="G81" i="34"/>
  <c r="G73" i="34"/>
  <c r="G65" i="34"/>
  <c r="G57" i="34"/>
  <c r="G147" i="34"/>
  <c r="G107" i="34"/>
  <c r="G241" i="34"/>
  <c r="G225" i="34"/>
  <c r="F288" i="34"/>
  <c r="G253" i="34" s="1"/>
  <c r="G280" i="34"/>
  <c r="G272" i="34"/>
  <c r="G264" i="34"/>
  <c r="G248" i="34"/>
  <c r="G240" i="34"/>
  <c r="G232" i="34"/>
  <c r="G224" i="34"/>
  <c r="G216" i="34"/>
  <c r="G208" i="34"/>
  <c r="G200" i="34"/>
  <c r="G192" i="34"/>
  <c r="G184" i="34"/>
  <c r="G176" i="34"/>
  <c r="G168" i="34"/>
  <c r="G160" i="34"/>
  <c r="G152" i="34"/>
  <c r="G144" i="34"/>
  <c r="G136" i="34"/>
  <c r="G128" i="34"/>
  <c r="G120" i="34"/>
  <c r="G112" i="34"/>
  <c r="G104" i="34"/>
  <c r="G96" i="34"/>
  <c r="G88" i="34"/>
  <c r="G80" i="34"/>
  <c r="G72" i="34"/>
  <c r="G64" i="34"/>
  <c r="G56" i="34"/>
  <c r="G67" i="34"/>
  <c r="G239" i="34"/>
  <c r="G231" i="34"/>
  <c r="G167" i="34"/>
  <c r="G159" i="34"/>
  <c r="G151" i="34"/>
  <c r="G143" i="34"/>
  <c r="G135" i="34"/>
  <c r="G127" i="34"/>
  <c r="G119" i="34"/>
  <c r="G111" i="34"/>
  <c r="G103" i="34"/>
  <c r="G95" i="34"/>
  <c r="G87" i="34"/>
  <c r="G79" i="34"/>
  <c r="G71" i="34"/>
  <c r="G63" i="34"/>
  <c r="G55" i="34"/>
  <c r="G247" i="34"/>
  <c r="G223" i="34"/>
  <c r="G278" i="34"/>
  <c r="G270" i="34"/>
  <c r="G262" i="34"/>
  <c r="G246" i="34"/>
  <c r="G238" i="34"/>
  <c r="G230" i="34"/>
  <c r="G222" i="34"/>
  <c r="G206" i="34"/>
  <c r="G198" i="34"/>
  <c r="G190" i="34"/>
  <c r="G182" i="34"/>
  <c r="G174" i="34"/>
  <c r="G166" i="34"/>
  <c r="G158" i="34"/>
  <c r="G150" i="34"/>
  <c r="G142" i="34"/>
  <c r="G134" i="34"/>
  <c r="G126" i="34"/>
  <c r="G118" i="34"/>
  <c r="G110" i="34"/>
  <c r="G102" i="34"/>
  <c r="G94" i="34"/>
  <c r="G86" i="34"/>
  <c r="G78" i="34"/>
  <c r="G70" i="34"/>
  <c r="G62" i="34"/>
  <c r="G54" i="34"/>
  <c r="G75" i="34"/>
  <c r="G237" i="34"/>
  <c r="G165" i="34"/>
  <c r="G157" i="34"/>
  <c r="G149" i="34"/>
  <c r="G133" i="34"/>
  <c r="G125" i="34"/>
  <c r="G117" i="34"/>
  <c r="G109" i="34"/>
  <c r="G101" i="34"/>
  <c r="G93" i="34"/>
  <c r="G85" i="34"/>
  <c r="G77" i="34"/>
  <c r="G69" i="34"/>
  <c r="G61" i="34"/>
  <c r="G123" i="34"/>
  <c r="G245" i="34"/>
  <c r="G229" i="34"/>
  <c r="G141" i="34"/>
  <c r="G284" i="34"/>
  <c r="G276" i="34"/>
  <c r="G252" i="34"/>
  <c r="G244" i="34"/>
  <c r="G236" i="34"/>
  <c r="G212" i="34"/>
  <c r="G204" i="34"/>
  <c r="G196" i="34"/>
  <c r="G188" i="34"/>
  <c r="G164" i="34"/>
  <c r="G156" i="34"/>
  <c r="G148" i="34"/>
  <c r="G140" i="34"/>
  <c r="G132" i="34"/>
  <c r="G124" i="34"/>
  <c r="G116" i="34"/>
  <c r="G108" i="34"/>
  <c r="G100" i="34"/>
  <c r="G92" i="34"/>
  <c r="G84" i="34"/>
  <c r="G76" i="34"/>
  <c r="G68" i="34"/>
  <c r="G44" i="34"/>
  <c r="G36" i="34"/>
  <c r="G28" i="34"/>
  <c r="G20" i="34"/>
  <c r="G12" i="34"/>
  <c r="G251" i="33"/>
  <c r="G195" i="33"/>
  <c r="G155" i="33"/>
  <c r="G123" i="33"/>
  <c r="G83" i="33"/>
  <c r="G59" i="33"/>
  <c r="G43" i="33"/>
  <c r="G274" i="33"/>
  <c r="G234" i="33"/>
  <c r="G210" i="33"/>
  <c r="G202" i="33"/>
  <c r="G194" i="33"/>
  <c r="G186" i="33"/>
  <c r="G178" i="33"/>
  <c r="G170" i="33"/>
  <c r="G162" i="33"/>
  <c r="G154" i="33"/>
  <c r="G146" i="33"/>
  <c r="G138" i="33"/>
  <c r="G130" i="33"/>
  <c r="G122" i="33"/>
  <c r="G114" i="33"/>
  <c r="G106" i="33"/>
  <c r="G98" i="33"/>
  <c r="G90" i="33"/>
  <c r="G82" i="33"/>
  <c r="G74" i="33"/>
  <c r="G66" i="33"/>
  <c r="G58" i="33"/>
  <c r="G50" i="33"/>
  <c r="G42" i="33"/>
  <c r="G34" i="33"/>
  <c r="G26" i="33"/>
  <c r="G18" i="33"/>
  <c r="G10" i="33"/>
  <c r="G219" i="33"/>
  <c r="G179" i="33"/>
  <c r="G139" i="33"/>
  <c r="G107" i="33"/>
  <c r="G67" i="33"/>
  <c r="G35" i="33"/>
  <c r="G266" i="33"/>
  <c r="G249" i="33"/>
  <c r="G209" i="33"/>
  <c r="G177" i="33"/>
  <c r="G153" i="33"/>
  <c r="G145" i="33"/>
  <c r="G137" i="33"/>
  <c r="G129" i="33"/>
  <c r="G121" i="33"/>
  <c r="G113" i="33"/>
  <c r="G105" i="33"/>
  <c r="G97" i="33"/>
  <c r="G89" i="33"/>
  <c r="G81" i="33"/>
  <c r="G73" i="33"/>
  <c r="G65" i="33"/>
  <c r="G57" i="33"/>
  <c r="G49" i="33"/>
  <c r="G41" i="33"/>
  <c r="G33" i="33"/>
  <c r="G25" i="33"/>
  <c r="G17" i="33"/>
  <c r="G9" i="33"/>
  <c r="G243" i="33"/>
  <c r="G211" i="33"/>
  <c r="G171" i="33"/>
  <c r="G131" i="33"/>
  <c r="G75" i="33"/>
  <c r="G19" i="33"/>
  <c r="G242" i="33"/>
  <c r="G218" i="33"/>
  <c r="G257" i="33"/>
  <c r="G233" i="33"/>
  <c r="G217" i="33"/>
  <c r="G185" i="33"/>
  <c r="G264" i="33"/>
  <c r="G256" i="33"/>
  <c r="G248" i="33"/>
  <c r="G240" i="33"/>
  <c r="G232" i="33"/>
  <c r="G224" i="33"/>
  <c r="G216" i="33"/>
  <c r="G208" i="33"/>
  <c r="G200" i="33"/>
  <c r="G192" i="33"/>
  <c r="G184" i="33"/>
  <c r="G176" i="33"/>
  <c r="G168" i="33"/>
  <c r="G160" i="33"/>
  <c r="G152" i="33"/>
  <c r="G144" i="33"/>
  <c r="G136" i="33"/>
  <c r="G128" i="33"/>
  <c r="G120" i="33"/>
  <c r="G112" i="33"/>
  <c r="G104" i="33"/>
  <c r="G96" i="33"/>
  <c r="G88" i="33"/>
  <c r="G80" i="33"/>
  <c r="G72" i="33"/>
  <c r="G64" i="33"/>
  <c r="G56" i="33"/>
  <c r="G48" i="33"/>
  <c r="G40" i="33"/>
  <c r="G32" i="33"/>
  <c r="G24" i="33"/>
  <c r="G16" i="33"/>
  <c r="G8" i="33"/>
  <c r="G227" i="33"/>
  <c r="G187" i="33"/>
  <c r="G147" i="33"/>
  <c r="G99" i="33"/>
  <c r="G27" i="33"/>
  <c r="G258" i="33"/>
  <c r="G226" i="33"/>
  <c r="G265" i="33"/>
  <c r="G241" i="33"/>
  <c r="G201" i="33"/>
  <c r="G169" i="33"/>
  <c r="G272" i="33"/>
  <c r="G271" i="33"/>
  <c r="G263" i="33"/>
  <c r="G255" i="33"/>
  <c r="G247" i="33"/>
  <c r="G239" i="33"/>
  <c r="G231" i="33"/>
  <c r="G223" i="33"/>
  <c r="G215" i="33"/>
  <c r="G207" i="33"/>
  <c r="G199" i="33"/>
  <c r="G191" i="33"/>
  <c r="G183" i="33"/>
  <c r="G175" i="33"/>
  <c r="G167" i="33"/>
  <c r="G159" i="33"/>
  <c r="G151" i="33"/>
  <c r="G143" i="33"/>
  <c r="G135" i="33"/>
  <c r="G127" i="33"/>
  <c r="G119" i="33"/>
  <c r="G111" i="33"/>
  <c r="G103" i="33"/>
  <c r="G95" i="33"/>
  <c r="G87" i="33"/>
  <c r="G79" i="33"/>
  <c r="G71" i="33"/>
  <c r="G63" i="33"/>
  <c r="G55" i="33"/>
  <c r="G47" i="33"/>
  <c r="G39" i="33"/>
  <c r="G31" i="33"/>
  <c r="G23" i="33"/>
  <c r="G15" i="33"/>
  <c r="G7" i="33"/>
  <c r="G235" i="33"/>
  <c r="G203" i="33"/>
  <c r="G163" i="33"/>
  <c r="G115" i="33"/>
  <c r="G91" i="33"/>
  <c r="G51" i="33"/>
  <c r="G11" i="33"/>
  <c r="G250" i="33"/>
  <c r="G273" i="33"/>
  <c r="G225" i="33"/>
  <c r="G193" i="33"/>
  <c r="G161" i="33"/>
  <c r="G270" i="33"/>
  <c r="G262" i="33"/>
  <c r="G254" i="33"/>
  <c r="G246" i="33"/>
  <c r="G238" i="33"/>
  <c r="G230" i="33"/>
  <c r="G222" i="33"/>
  <c r="G214" i="33"/>
  <c r="G206" i="33"/>
  <c r="G198" i="33"/>
  <c r="G190" i="33"/>
  <c r="G182" i="33"/>
  <c r="G174" i="33"/>
  <c r="G166" i="33"/>
  <c r="G158" i="33"/>
  <c r="G150" i="33"/>
  <c r="G142" i="33"/>
  <c r="G134" i="33"/>
  <c r="G126" i="33"/>
  <c r="G118" i="33"/>
  <c r="G110" i="33"/>
  <c r="G102" i="33"/>
  <c r="G94" i="33"/>
  <c r="G86" i="33"/>
  <c r="G78" i="33"/>
  <c r="G70" i="33"/>
  <c r="G62" i="33"/>
  <c r="G54" i="33"/>
  <c r="G46" i="33"/>
  <c r="G38" i="33"/>
  <c r="G30" i="33"/>
  <c r="G22" i="33"/>
  <c r="G14" i="33"/>
  <c r="G6" i="33"/>
  <c r="G269" i="33"/>
  <c r="G261" i="33"/>
  <c r="G253" i="33"/>
  <c r="G245" i="33"/>
  <c r="G237" i="33"/>
  <c r="G229" i="33"/>
  <c r="G221" i="33"/>
  <c r="G213" i="33"/>
  <c r="G205" i="33"/>
  <c r="G197" i="33"/>
  <c r="G189" i="33"/>
  <c r="G181" i="33"/>
  <c r="G173" i="33"/>
  <c r="G165" i="33"/>
  <c r="G157" i="33"/>
  <c r="G149" i="33"/>
  <c r="G141" i="33"/>
  <c r="G133" i="33"/>
  <c r="G125" i="33"/>
  <c r="G117" i="33"/>
  <c r="G109" i="33"/>
  <c r="G101" i="33"/>
  <c r="G93" i="33"/>
  <c r="G85" i="33"/>
  <c r="G77" i="33"/>
  <c r="G69" i="33"/>
  <c r="G61" i="33"/>
  <c r="G53" i="33"/>
  <c r="G45" i="33"/>
  <c r="G37" i="33"/>
  <c r="G29" i="33"/>
  <c r="G21" i="33"/>
  <c r="G13" i="33"/>
  <c r="G5" i="33"/>
  <c r="G268" i="33"/>
  <c r="G260" i="33"/>
  <c r="G252" i="33"/>
  <c r="G244" i="33"/>
  <c r="G236" i="33"/>
  <c r="G228" i="33"/>
  <c r="G220" i="33"/>
  <c r="G212" i="33"/>
  <c r="G204" i="33"/>
  <c r="G196" i="33"/>
  <c r="G188" i="33"/>
  <c r="G180" i="33"/>
  <c r="G172" i="33"/>
  <c r="G164" i="33"/>
  <c r="G156" i="33"/>
  <c r="G148" i="33"/>
  <c r="G140" i="33"/>
  <c r="G132" i="33"/>
  <c r="G124" i="33"/>
  <c r="G116" i="33"/>
  <c r="G108" i="33"/>
  <c r="G100" i="33"/>
  <c r="G92" i="33"/>
  <c r="G84" i="33"/>
  <c r="G76" i="33"/>
  <c r="G68" i="33"/>
  <c r="G60" i="33"/>
  <c r="G52" i="33"/>
  <c r="G44" i="33"/>
  <c r="G36" i="33"/>
  <c r="G28" i="33"/>
  <c r="G20" i="33"/>
  <c r="G12" i="33"/>
  <c r="D88" i="23"/>
  <c r="D87" i="23"/>
  <c r="D86" i="23"/>
  <c r="D67" i="23"/>
  <c r="E67" i="23"/>
  <c r="F67" i="23"/>
  <c r="G67" i="23"/>
  <c r="H67" i="23"/>
  <c r="I67" i="23"/>
  <c r="J67" i="23"/>
  <c r="K67" i="23"/>
  <c r="L67" i="23"/>
  <c r="M67" i="23"/>
  <c r="N67" i="23"/>
  <c r="C67" i="23"/>
  <c r="G171" i="34" l="1"/>
  <c r="G276" i="33"/>
  <c r="G260" i="34"/>
  <c r="G52" i="34"/>
  <c r="G220" i="34"/>
  <c r="G286" i="34"/>
  <c r="O42" i="23"/>
  <c r="D46" i="23" l="1"/>
  <c r="F56" i="23"/>
  <c r="F55" i="23"/>
  <c r="E55" i="23"/>
  <c r="E56" i="23"/>
  <c r="G288" i="34"/>
  <c r="O6" i="23"/>
  <c r="O7" i="23"/>
  <c r="O8" i="23"/>
  <c r="O9" i="23"/>
  <c r="O10" i="23"/>
  <c r="O11" i="23"/>
  <c r="O12" i="23"/>
  <c r="O13" i="23"/>
  <c r="O5" i="23"/>
  <c r="D14" i="23"/>
  <c r="D25" i="23" s="1"/>
  <c r="E14" i="23"/>
  <c r="E25" i="23" s="1"/>
  <c r="F14" i="23"/>
  <c r="F25" i="23" s="1"/>
  <c r="G14" i="23"/>
  <c r="G25" i="23" s="1"/>
  <c r="H14" i="23"/>
  <c r="H25" i="23" s="1"/>
  <c r="I14" i="23"/>
  <c r="I25" i="23" s="1"/>
  <c r="J14" i="23"/>
  <c r="J25" i="23" s="1"/>
  <c r="K14" i="23"/>
  <c r="K25" i="23" s="1"/>
  <c r="L14" i="23"/>
  <c r="L25" i="23" s="1"/>
  <c r="M14" i="23"/>
  <c r="M25" i="23" s="1"/>
  <c r="N14" i="23"/>
  <c r="N25" i="23" s="1"/>
  <c r="C14" i="23"/>
  <c r="C22" i="23" s="1"/>
  <c r="P77" i="17"/>
  <c r="P78" i="17"/>
  <c r="P79" i="17"/>
  <c r="P80" i="17"/>
  <c r="P81" i="17"/>
  <c r="P82" i="17"/>
  <c r="P83" i="17"/>
  <c r="P84" i="17"/>
  <c r="P76" i="17"/>
  <c r="D57" i="17"/>
  <c r="D72" i="17" s="1"/>
  <c r="E57" i="17"/>
  <c r="F57" i="17"/>
  <c r="G57" i="17"/>
  <c r="H57" i="17"/>
  <c r="I57" i="17"/>
  <c r="I72" i="17" s="1"/>
  <c r="J57" i="17"/>
  <c r="J72" i="17" s="1"/>
  <c r="K57" i="17"/>
  <c r="K72" i="17" s="1"/>
  <c r="L57" i="17"/>
  <c r="L72" i="17" s="1"/>
  <c r="M57" i="17"/>
  <c r="N57" i="17"/>
  <c r="C57" i="17"/>
  <c r="E72" i="17"/>
  <c r="F72" i="17"/>
  <c r="G72" i="17"/>
  <c r="H72" i="17"/>
  <c r="M72" i="17"/>
  <c r="N72" i="17"/>
  <c r="C72" i="17"/>
  <c r="O67" i="17"/>
  <c r="O59" i="17"/>
  <c r="O60" i="17"/>
  <c r="O61" i="17"/>
  <c r="O62" i="17"/>
  <c r="O63" i="17"/>
  <c r="O64" i="17"/>
  <c r="O65" i="17"/>
  <c r="O66" i="17"/>
  <c r="O58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C67" i="17"/>
  <c r="D67" i="17"/>
  <c r="E67" i="17"/>
  <c r="F67" i="17"/>
  <c r="G67" i="17"/>
  <c r="H67" i="17"/>
  <c r="I67" i="17"/>
  <c r="J67" i="17"/>
  <c r="K67" i="17"/>
  <c r="K68" i="17" s="1"/>
  <c r="L67" i="17"/>
  <c r="M67" i="17"/>
  <c r="N67" i="17"/>
  <c r="E87" i="1"/>
  <c r="H86" i="1"/>
  <c r="E98" i="1" l="1"/>
  <c r="E99" i="1" s="1"/>
  <c r="F99" i="1" s="1"/>
  <c r="J86" i="1"/>
  <c r="D24" i="23"/>
  <c r="D23" i="23"/>
  <c r="C21" i="23"/>
  <c r="L23" i="23"/>
  <c r="F23" i="23"/>
  <c r="K24" i="23"/>
  <c r="K23" i="23"/>
  <c r="F24" i="23"/>
  <c r="E24" i="23"/>
  <c r="J18" i="23"/>
  <c r="N24" i="23"/>
  <c r="J24" i="23"/>
  <c r="E23" i="23"/>
  <c r="N23" i="23"/>
  <c r="J23" i="23"/>
  <c r="M24" i="23"/>
  <c r="I24" i="23"/>
  <c r="I18" i="23"/>
  <c r="M23" i="23"/>
  <c r="I23" i="23"/>
  <c r="L24" i="23"/>
  <c r="G24" i="23"/>
  <c r="H24" i="23"/>
  <c r="C18" i="23"/>
  <c r="C19" i="23"/>
  <c r="K18" i="23"/>
  <c r="N22" i="23"/>
  <c r="M22" i="23"/>
  <c r="L22" i="23"/>
  <c r="K22" i="23"/>
  <c r="J22" i="23"/>
  <c r="I22" i="23"/>
  <c r="H22" i="23"/>
  <c r="G22" i="23"/>
  <c r="F22" i="23"/>
  <c r="E22" i="23"/>
  <c r="D22" i="23"/>
  <c r="C20" i="23"/>
  <c r="C26" i="23"/>
  <c r="D18" i="23"/>
  <c r="L18" i="23"/>
  <c r="N21" i="23"/>
  <c r="M21" i="23"/>
  <c r="L21" i="23"/>
  <c r="K21" i="23"/>
  <c r="J21" i="23"/>
  <c r="I21" i="23"/>
  <c r="H21" i="23"/>
  <c r="G21" i="23"/>
  <c r="F21" i="23"/>
  <c r="E21" i="23"/>
  <c r="D21" i="23"/>
  <c r="C25" i="23"/>
  <c r="E18" i="23"/>
  <c r="M18" i="23"/>
  <c r="N20" i="23"/>
  <c r="M20" i="23"/>
  <c r="L20" i="23"/>
  <c r="K20" i="23"/>
  <c r="J20" i="23"/>
  <c r="I20" i="23"/>
  <c r="H20" i="23"/>
  <c r="G20" i="23"/>
  <c r="F20" i="23"/>
  <c r="E20" i="23"/>
  <c r="D20" i="23"/>
  <c r="G23" i="23"/>
  <c r="C24" i="23"/>
  <c r="F18" i="23"/>
  <c r="N18" i="23"/>
  <c r="N19" i="23"/>
  <c r="M19" i="23"/>
  <c r="L19" i="23"/>
  <c r="K19" i="23"/>
  <c r="J19" i="23"/>
  <c r="I19" i="23"/>
  <c r="H19" i="23"/>
  <c r="G19" i="23"/>
  <c r="F19" i="23"/>
  <c r="E19" i="23"/>
  <c r="D19" i="23"/>
  <c r="C23" i="23"/>
  <c r="G18" i="23"/>
  <c r="N26" i="23"/>
  <c r="M26" i="23"/>
  <c r="L26" i="23"/>
  <c r="K26" i="23"/>
  <c r="J26" i="23"/>
  <c r="I26" i="23"/>
  <c r="H26" i="23"/>
  <c r="G26" i="23"/>
  <c r="F26" i="23"/>
  <c r="E26" i="23"/>
  <c r="D26" i="23"/>
  <c r="H23" i="23"/>
  <c r="H18" i="23"/>
  <c r="O14" i="23"/>
  <c r="I15" i="23" s="1"/>
  <c r="I42" i="23" s="1"/>
  <c r="P56" i="17"/>
  <c r="P59" i="17"/>
  <c r="P63" i="17"/>
  <c r="P66" i="17"/>
  <c r="P62" i="17"/>
  <c r="P65" i="17"/>
  <c r="H68" i="17"/>
  <c r="P61" i="17"/>
  <c r="O57" i="17"/>
  <c r="P64" i="17"/>
  <c r="C68" i="17"/>
  <c r="O68" i="17" s="1"/>
  <c r="J68" i="17"/>
  <c r="G68" i="17"/>
  <c r="N68" i="17"/>
  <c r="P58" i="17"/>
  <c r="M68" i="17"/>
  <c r="E68" i="17"/>
  <c r="I68" i="17"/>
  <c r="D68" i="17"/>
  <c r="P60" i="17"/>
  <c r="F68" i="17"/>
  <c r="L68" i="17"/>
  <c r="P67" i="17"/>
  <c r="D87" i="1"/>
  <c r="C87" i="1"/>
  <c r="B87" i="1"/>
  <c r="H85" i="1"/>
  <c r="H84" i="1"/>
  <c r="H83" i="1"/>
  <c r="H82" i="1"/>
  <c r="H81" i="1"/>
  <c r="H80" i="1"/>
  <c r="H79" i="1"/>
  <c r="H77" i="1"/>
  <c r="I35" i="23" l="1"/>
  <c r="I38" i="23"/>
  <c r="I39" i="23"/>
  <c r="I40" i="23"/>
  <c r="I33" i="23"/>
  <c r="I36" i="23"/>
  <c r="I37" i="23"/>
  <c r="I41" i="23"/>
  <c r="I34" i="23"/>
  <c r="H15" i="23"/>
  <c r="H42" i="23" s="1"/>
  <c r="M15" i="23"/>
  <c r="M42" i="23" s="1"/>
  <c r="K15" i="23"/>
  <c r="K42" i="23" s="1"/>
  <c r="J42" i="23"/>
  <c r="P9" i="23"/>
  <c r="P13" i="23"/>
  <c r="P8" i="23"/>
  <c r="E15" i="23"/>
  <c r="E42" i="23" s="1"/>
  <c r="F15" i="23"/>
  <c r="F42" i="23" s="1"/>
  <c r="D15" i="23"/>
  <c r="D42" i="23" s="1"/>
  <c r="P7" i="23"/>
  <c r="P10" i="23"/>
  <c r="G15" i="23"/>
  <c r="G42" i="23" s="1"/>
  <c r="P5" i="23"/>
  <c r="N15" i="23"/>
  <c r="N42" i="23" s="1"/>
  <c r="C15" i="23"/>
  <c r="C42" i="23" s="1"/>
  <c r="P6" i="23"/>
  <c r="P12" i="23"/>
  <c r="P11" i="23"/>
  <c r="L15" i="23"/>
  <c r="L42" i="23" s="1"/>
  <c r="H78" i="1"/>
  <c r="G41" i="23" l="1"/>
  <c r="G33" i="23"/>
  <c r="G37" i="23"/>
  <c r="G34" i="23"/>
  <c r="G36" i="23"/>
  <c r="G38" i="23"/>
  <c r="G39" i="23"/>
  <c r="G40" i="23"/>
  <c r="G35" i="23"/>
  <c r="J36" i="23"/>
  <c r="J37" i="23"/>
  <c r="J40" i="23"/>
  <c r="J35" i="23"/>
  <c r="J41" i="23"/>
  <c r="J34" i="23"/>
  <c r="J33" i="23"/>
  <c r="J38" i="23"/>
  <c r="J39" i="23"/>
  <c r="K37" i="23"/>
  <c r="K38" i="23"/>
  <c r="K41" i="23"/>
  <c r="K39" i="23"/>
  <c r="K40" i="23"/>
  <c r="K34" i="23"/>
  <c r="K33" i="23"/>
  <c r="K36" i="23"/>
  <c r="K35" i="23"/>
  <c r="D38" i="23"/>
  <c r="D34" i="23"/>
  <c r="D33" i="23"/>
  <c r="D41" i="23"/>
  <c r="D35" i="23"/>
  <c r="D36" i="23"/>
  <c r="D37" i="23"/>
  <c r="D39" i="23"/>
  <c r="D40" i="23"/>
  <c r="M39" i="23"/>
  <c r="M40" i="23"/>
  <c r="M34" i="23"/>
  <c r="M33" i="23"/>
  <c r="M35" i="23"/>
  <c r="M36" i="23"/>
  <c r="M38" i="23"/>
  <c r="M41" i="23"/>
  <c r="M37" i="23"/>
  <c r="H34" i="23"/>
  <c r="H33" i="23"/>
  <c r="H36" i="23"/>
  <c r="H37" i="23"/>
  <c r="H38" i="23"/>
  <c r="H41" i="23"/>
  <c r="H39" i="23"/>
  <c r="H40" i="23"/>
  <c r="H35" i="23"/>
  <c r="N40" i="23"/>
  <c r="N41" i="23"/>
  <c r="N34" i="23"/>
  <c r="N35" i="23"/>
  <c r="N36" i="23"/>
  <c r="N39" i="23"/>
  <c r="N37" i="23"/>
  <c r="N38" i="23"/>
  <c r="N33" i="23"/>
  <c r="L38" i="23"/>
  <c r="L39" i="23"/>
  <c r="L40" i="23"/>
  <c r="L34" i="23"/>
  <c r="L33" i="23"/>
  <c r="L35" i="23"/>
  <c r="L41" i="23"/>
  <c r="L36" i="23"/>
  <c r="L37" i="23"/>
  <c r="F40" i="23"/>
  <c r="F36" i="23"/>
  <c r="F39" i="23"/>
  <c r="F34" i="23"/>
  <c r="F37" i="23"/>
  <c r="F41" i="23"/>
  <c r="F33" i="23"/>
  <c r="F35" i="23"/>
  <c r="F38" i="23"/>
  <c r="C37" i="23"/>
  <c r="C38" i="23"/>
  <c r="C41" i="23"/>
  <c r="C36" i="23"/>
  <c r="C39" i="23"/>
  <c r="C34" i="23"/>
  <c r="C33" i="23"/>
  <c r="C40" i="23"/>
  <c r="C35" i="23"/>
  <c r="E39" i="23"/>
  <c r="E41" i="23"/>
  <c r="E33" i="23"/>
  <c r="E35" i="23"/>
  <c r="E40" i="23"/>
  <c r="E36" i="23"/>
  <c r="E38" i="23"/>
  <c r="E37" i="23"/>
  <c r="E34" i="23"/>
  <c r="O15" i="23"/>
  <c r="P14" i="23"/>
  <c r="E10" i="32"/>
  <c r="E11" i="32"/>
  <c r="E12" i="32"/>
  <c r="E14" i="32"/>
  <c r="E15" i="32"/>
  <c r="E16" i="32"/>
  <c r="E17" i="32"/>
  <c r="E18" i="32"/>
  <c r="E22" i="32"/>
  <c r="E23" i="32"/>
  <c r="E24" i="32"/>
  <c r="E25" i="32"/>
  <c r="E5" i="32"/>
  <c r="D21" i="32"/>
  <c r="D13" i="32"/>
  <c r="D9" i="32"/>
  <c r="D7" i="32"/>
  <c r="C21" i="32"/>
  <c r="E21" i="32" s="1"/>
  <c r="C13" i="32"/>
  <c r="C9" i="32"/>
  <c r="D8" i="32" l="1"/>
  <c r="E13" i="32"/>
  <c r="E9" i="32"/>
  <c r="D20" i="32"/>
  <c r="D26" i="32" s="1"/>
  <c r="O39" i="23"/>
  <c r="P39" i="23" s="1"/>
  <c r="O33" i="23"/>
  <c r="P33" i="23" s="1"/>
  <c r="O36" i="23"/>
  <c r="P36" i="23" s="1"/>
  <c r="O41" i="23"/>
  <c r="P41" i="23" s="1"/>
  <c r="O38" i="23"/>
  <c r="P38" i="23" s="1"/>
  <c r="O34" i="23"/>
  <c r="P34" i="23" s="1"/>
  <c r="O37" i="23"/>
  <c r="P37" i="23" s="1"/>
  <c r="O35" i="23"/>
  <c r="P35" i="23" s="1"/>
  <c r="O40" i="23"/>
  <c r="P40" i="23" s="1"/>
  <c r="C8" i="32"/>
  <c r="E8" i="32" s="1"/>
  <c r="D27" i="32" l="1"/>
  <c r="P42" i="23"/>
  <c r="O17" i="29" l="1"/>
  <c r="M17" i="29"/>
  <c r="B44" i="29"/>
  <c r="B46" i="29" s="1"/>
  <c r="B51" i="29"/>
  <c r="B45" i="29" s="1"/>
  <c r="L12" i="29"/>
  <c r="Q21" i="29"/>
  <c r="R21" i="29" s="1"/>
  <c r="Q20" i="29"/>
  <c r="R20" i="29" s="1"/>
  <c r="Q19" i="29"/>
  <c r="R19" i="29" s="1"/>
  <c r="Q18" i="29"/>
  <c r="R18" i="29" s="1"/>
  <c r="Q17" i="29"/>
  <c r="R17" i="29" s="1"/>
  <c r="C5" i="28" l="1"/>
  <c r="C6" i="28"/>
  <c r="D7" i="28"/>
  <c r="C7" i="28" s="1"/>
  <c r="D9" i="28"/>
  <c r="C10" i="28"/>
  <c r="C11" i="28"/>
  <c r="C12" i="28"/>
  <c r="C14" i="28"/>
  <c r="C15" i="28"/>
  <c r="C16" i="28"/>
  <c r="C17" i="28"/>
  <c r="C19" i="28"/>
  <c r="D21" i="28"/>
  <c r="C21" i="28" s="1"/>
  <c r="C22" i="28"/>
  <c r="C23" i="28"/>
  <c r="C24" i="28"/>
  <c r="D25" i="28"/>
  <c r="C25" i="28" s="1"/>
  <c r="B106" i="23"/>
  <c r="B105" i="23"/>
  <c r="B108" i="23" l="1"/>
  <c r="C9" i="28"/>
  <c r="E86" i="23" l="1"/>
  <c r="E87" i="23"/>
  <c r="E88" i="23"/>
  <c r="B97" i="23"/>
  <c r="B96" i="23"/>
  <c r="O67" i="23" l="1"/>
  <c r="D84" i="23" s="1"/>
  <c r="E84" i="23" s="1"/>
  <c r="C70" i="23" l="1"/>
  <c r="D71" i="23"/>
  <c r="E64" i="23"/>
  <c r="N64" i="23"/>
  <c r="N71" i="23"/>
  <c r="M64" i="23"/>
  <c r="K66" i="23"/>
  <c r="N66" i="23"/>
  <c r="D66" i="23"/>
  <c r="L71" i="23"/>
  <c r="N65" i="23"/>
  <c r="D65" i="23"/>
  <c r="L66" i="23"/>
  <c r="E66" i="23"/>
  <c r="M71" i="23"/>
  <c r="M66" i="23"/>
  <c r="M65" i="23"/>
  <c r="C68" i="23"/>
  <c r="E71" i="23"/>
  <c r="L65" i="23"/>
  <c r="K65" i="23"/>
  <c r="C64" i="23"/>
  <c r="C65" i="23"/>
  <c r="D70" i="23"/>
  <c r="E70" i="23"/>
  <c r="K70" i="23"/>
  <c r="L70" i="23"/>
  <c r="N70" i="23"/>
  <c r="C66" i="23"/>
  <c r="K71" i="23"/>
  <c r="C71" i="23"/>
  <c r="K64" i="23"/>
  <c r="D68" i="23"/>
  <c r="E68" i="23"/>
  <c r="K68" i="23"/>
  <c r="L68" i="23"/>
  <c r="M68" i="23"/>
  <c r="N68" i="23"/>
  <c r="D64" i="23"/>
  <c r="L64" i="23"/>
  <c r="E65" i="23" l="1"/>
  <c r="C85" i="23"/>
  <c r="F27" i="23"/>
  <c r="G27" i="23"/>
  <c r="M27" i="23"/>
  <c r="C27" i="23"/>
  <c r="K27" i="23"/>
  <c r="D27" i="23"/>
  <c r="L27" i="23"/>
  <c r="H27" i="23"/>
  <c r="M70" i="23"/>
  <c r="N27" i="23"/>
  <c r="J27" i="23"/>
  <c r="E27" i="23"/>
  <c r="I27" i="23"/>
  <c r="C89" i="23" l="1"/>
  <c r="F64" i="23" l="1"/>
  <c r="F68" i="23"/>
  <c r="F65" i="23"/>
  <c r="F66" i="23"/>
  <c r="F71" i="23"/>
  <c r="F70" i="23"/>
  <c r="I68" i="23"/>
  <c r="I66" i="23"/>
  <c r="I70" i="23"/>
  <c r="I65" i="23"/>
  <c r="I71" i="23"/>
  <c r="J71" i="23"/>
  <c r="J66" i="23"/>
  <c r="J68" i="23"/>
  <c r="J65" i="23"/>
  <c r="J70" i="23"/>
  <c r="J64" i="23"/>
  <c r="H66" i="23"/>
  <c r="H68" i="23"/>
  <c r="H71" i="23"/>
  <c r="H64" i="23"/>
  <c r="H65" i="23"/>
  <c r="H70" i="23"/>
  <c r="G64" i="23"/>
  <c r="G66" i="23"/>
  <c r="G65" i="23"/>
  <c r="G68" i="23"/>
  <c r="G71" i="23"/>
  <c r="G70" i="23"/>
  <c r="O71" i="23" l="1"/>
  <c r="D83" i="23" s="1"/>
  <c r="E83" i="23" s="1"/>
  <c r="O66" i="23"/>
  <c r="D81" i="23" s="1"/>
  <c r="E81" i="23" s="1"/>
  <c r="O65" i="23"/>
  <c r="D80" i="23" s="1"/>
  <c r="E80" i="23" s="1"/>
  <c r="I64" i="23"/>
  <c r="O64" i="23" s="1"/>
  <c r="D85" i="23" s="1"/>
  <c r="E85" i="23" s="1"/>
  <c r="O68" i="23"/>
  <c r="D79" i="23" s="1"/>
  <c r="O70" i="23"/>
  <c r="D82" i="23" s="1"/>
  <c r="E82" i="23" s="1"/>
  <c r="E79" i="23" l="1"/>
  <c r="D89" i="23"/>
  <c r="E89" i="23" s="1"/>
  <c r="O74" i="23"/>
  <c r="F59" i="23" l="1"/>
  <c r="D48" i="23"/>
  <c r="B99" i="23"/>
  <c r="B100" i="23" s="1"/>
  <c r="D45" i="23"/>
  <c r="F53" i="23"/>
  <c r="F54" i="23"/>
  <c r="F52" i="23"/>
  <c r="E53" i="23"/>
  <c r="E52" i="23"/>
  <c r="E54" i="23"/>
  <c r="C21" i="20" l="1"/>
  <c r="D21" i="20" l="1"/>
  <c r="B96" i="1"/>
  <c r="C72" i="1"/>
  <c r="C97" i="1" s="1"/>
  <c r="D58" i="1"/>
  <c r="D96" i="1" s="1"/>
  <c r="E58" i="1"/>
  <c r="E96" i="1" s="1"/>
  <c r="C58" i="1"/>
  <c r="C96" i="1" s="1"/>
  <c r="P37" i="17"/>
  <c r="P38" i="17"/>
  <c r="P39" i="17"/>
  <c r="P40" i="17"/>
  <c r="P41" i="17"/>
  <c r="P42" i="17"/>
  <c r="P43" i="17"/>
  <c r="P44" i="17"/>
  <c r="P36" i="17"/>
  <c r="D45" i="17"/>
  <c r="D46" i="17" s="1"/>
  <c r="P26" i="17"/>
  <c r="P27" i="17"/>
  <c r="P28" i="17"/>
  <c r="P29" i="17"/>
  <c r="P30" i="17"/>
  <c r="P31" i="17"/>
  <c r="P32" i="17"/>
  <c r="P33" i="17"/>
  <c r="P25" i="17"/>
  <c r="P15" i="17"/>
  <c r="P16" i="17"/>
  <c r="P17" i="17"/>
  <c r="P18" i="17"/>
  <c r="P19" i="17"/>
  <c r="P20" i="17"/>
  <c r="P21" i="17"/>
  <c r="P22" i="17"/>
  <c r="P14" i="17"/>
  <c r="P23" i="17" l="1"/>
  <c r="P45" i="17"/>
  <c r="P34" i="17"/>
  <c r="P4" i="17"/>
  <c r="P5" i="17"/>
  <c r="P6" i="17"/>
  <c r="P7" i="17"/>
  <c r="P8" i="17"/>
  <c r="P9" i="17"/>
  <c r="P10" i="17"/>
  <c r="P11" i="17"/>
  <c r="P3" i="17"/>
  <c r="N45" i="17"/>
  <c r="N46" i="17" s="1"/>
  <c r="M45" i="17"/>
  <c r="M46" i="17" s="1"/>
  <c r="L45" i="17"/>
  <c r="L46" i="17" s="1"/>
  <c r="K45" i="17"/>
  <c r="K46" i="17" s="1"/>
  <c r="J45" i="17"/>
  <c r="J46" i="17" s="1"/>
  <c r="I45" i="17"/>
  <c r="I46" i="17" s="1"/>
  <c r="H45" i="17"/>
  <c r="H46" i="17" s="1"/>
  <c r="G45" i="17"/>
  <c r="G46" i="17" s="1"/>
  <c r="F45" i="17"/>
  <c r="F46" i="17" s="1"/>
  <c r="E45" i="17"/>
  <c r="E46" i="17" s="1"/>
  <c r="C45" i="17"/>
  <c r="C46" i="17" s="1"/>
  <c r="N34" i="17"/>
  <c r="N35" i="17" s="1"/>
  <c r="M34" i="17"/>
  <c r="M35" i="17" s="1"/>
  <c r="L34" i="17"/>
  <c r="L35" i="17" s="1"/>
  <c r="K34" i="17"/>
  <c r="K35" i="17" s="1"/>
  <c r="J34" i="17"/>
  <c r="J35" i="17" s="1"/>
  <c r="I34" i="17"/>
  <c r="I35" i="17" s="1"/>
  <c r="H34" i="17"/>
  <c r="H35" i="17" s="1"/>
  <c r="G34" i="17"/>
  <c r="G35" i="17" s="1"/>
  <c r="F34" i="17"/>
  <c r="F35" i="17" s="1"/>
  <c r="E34" i="17"/>
  <c r="E35" i="17" s="1"/>
  <c r="D34" i="17"/>
  <c r="D35" i="17" s="1"/>
  <c r="C34" i="17"/>
  <c r="C35" i="17" s="1"/>
  <c r="N23" i="17"/>
  <c r="M23" i="17"/>
  <c r="L23" i="17"/>
  <c r="K23" i="17"/>
  <c r="J23" i="17"/>
  <c r="J24" i="17" s="1"/>
  <c r="I23" i="17"/>
  <c r="I24" i="17" s="1"/>
  <c r="H23" i="17"/>
  <c r="H24" i="17" s="1"/>
  <c r="G23" i="17"/>
  <c r="G24" i="17" s="1"/>
  <c r="F23" i="17"/>
  <c r="F24" i="17" s="1"/>
  <c r="E23" i="17"/>
  <c r="E24" i="17" s="1"/>
  <c r="D23" i="17"/>
  <c r="D24" i="17" s="1"/>
  <c r="C23" i="17"/>
  <c r="C24" i="17" s="1"/>
  <c r="C16" i="1"/>
  <c r="C93" i="1" s="1"/>
  <c r="N12" i="17"/>
  <c r="N13" i="17" s="1"/>
  <c r="D12" i="17"/>
  <c r="D13" i="17" s="1"/>
  <c r="E12" i="17"/>
  <c r="E13" i="17" s="1"/>
  <c r="F12" i="17"/>
  <c r="F13" i="17" s="1"/>
  <c r="G12" i="17"/>
  <c r="G13" i="17" s="1"/>
  <c r="H12" i="17"/>
  <c r="H13" i="17" s="1"/>
  <c r="I12" i="17"/>
  <c r="I13" i="17" s="1"/>
  <c r="J12" i="17"/>
  <c r="J13" i="17" s="1"/>
  <c r="K12" i="17"/>
  <c r="K13" i="17" s="1"/>
  <c r="L12" i="17"/>
  <c r="L13" i="17" s="1"/>
  <c r="M12" i="17"/>
  <c r="M13" i="17" s="1"/>
  <c r="C12" i="17"/>
  <c r="C13" i="17" s="1"/>
  <c r="M24" i="17" l="1"/>
  <c r="N24" i="17"/>
  <c r="K24" i="17"/>
  <c r="L24" i="17"/>
  <c r="O13" i="17"/>
  <c r="O46" i="17"/>
  <c r="O35" i="17"/>
  <c r="P12" i="17"/>
  <c r="P85" i="17" s="1"/>
  <c r="O24" i="17" l="1"/>
  <c r="O72" i="17"/>
  <c r="E70" i="1"/>
  <c r="E71" i="1"/>
  <c r="E63" i="1"/>
  <c r="F77" i="1" s="1"/>
  <c r="E64" i="1"/>
  <c r="E66" i="1"/>
  <c r="E65" i="1"/>
  <c r="E67" i="1"/>
  <c r="E68" i="1"/>
  <c r="E69" i="1"/>
  <c r="B72" i="1"/>
  <c r="B97" i="1" s="1"/>
  <c r="F80" i="1" l="1"/>
  <c r="F85" i="1"/>
  <c r="I71" i="1"/>
  <c r="F84" i="1"/>
  <c r="F82" i="1"/>
  <c r="I68" i="1"/>
  <c r="F79" i="1"/>
  <c r="I65" i="1"/>
  <c r="F78" i="1"/>
  <c r="I64" i="1"/>
  <c r="F83" i="1"/>
  <c r="I69" i="1"/>
  <c r="F81" i="1"/>
  <c r="I67" i="1"/>
  <c r="F66" i="1"/>
  <c r="H66" i="1"/>
  <c r="F64" i="1"/>
  <c r="H64" i="1"/>
  <c r="F63" i="1"/>
  <c r="H63" i="1"/>
  <c r="F69" i="1"/>
  <c r="H69" i="1"/>
  <c r="F67" i="1"/>
  <c r="H67" i="1"/>
  <c r="F71" i="1"/>
  <c r="H71" i="1"/>
  <c r="F70" i="1"/>
  <c r="H70" i="1"/>
  <c r="F68" i="1"/>
  <c r="H68" i="1"/>
  <c r="F65" i="1"/>
  <c r="H65" i="1"/>
  <c r="E72" i="1"/>
  <c r="D72" i="1"/>
  <c r="D97" i="1" s="1"/>
  <c r="I70" i="1" l="1"/>
  <c r="I86" i="1"/>
  <c r="I81" i="1"/>
  <c r="I85" i="1"/>
  <c r="I77" i="1"/>
  <c r="I79" i="1"/>
  <c r="I83" i="1"/>
  <c r="I78" i="1"/>
  <c r="I80" i="1"/>
  <c r="I82" i="1"/>
  <c r="I84" i="1"/>
  <c r="F87" i="1"/>
  <c r="I63" i="1"/>
  <c r="I66" i="1"/>
  <c r="F72" i="1"/>
  <c r="E97" i="1"/>
  <c r="C5" i="11"/>
  <c r="K5" i="11" s="1"/>
  <c r="D5" i="11"/>
  <c r="E5" i="11"/>
  <c r="F5" i="11"/>
  <c r="G5" i="11"/>
  <c r="H5" i="11"/>
  <c r="I5" i="11"/>
  <c r="B5" i="11"/>
  <c r="J7" i="11"/>
  <c r="I7" i="11"/>
  <c r="G7" i="11"/>
  <c r="F7" i="11"/>
  <c r="E7" i="11"/>
  <c r="D7" i="11"/>
  <c r="C7" i="11"/>
  <c r="K7" i="11" s="1"/>
  <c r="B7" i="11"/>
  <c r="C14" i="11"/>
  <c r="D14" i="11"/>
  <c r="E14" i="11"/>
  <c r="F14" i="11"/>
  <c r="G14" i="11"/>
  <c r="H14" i="11"/>
  <c r="I14" i="11"/>
  <c r="J14" i="11"/>
  <c r="B14" i="11"/>
  <c r="F97" i="1" l="1"/>
  <c r="F98" i="1"/>
  <c r="D52" i="15" l="1"/>
  <c r="D56" i="15" s="1"/>
  <c r="D41" i="15" l="1"/>
  <c r="D45" i="15" s="1"/>
  <c r="D31" i="15" l="1"/>
  <c r="D35" i="15" s="1"/>
  <c r="E25" i="15"/>
  <c r="C11" i="15"/>
  <c r="B8" i="11" l="1"/>
  <c r="B9" i="11" s="1"/>
  <c r="C8" i="11"/>
  <c r="C9" i="11" s="1"/>
  <c r="D8" i="11"/>
  <c r="E8" i="11"/>
  <c r="F8" i="11"/>
  <c r="F9" i="11" s="1"/>
  <c r="G8" i="11"/>
  <c r="H8" i="11"/>
  <c r="H9" i="11" s="1"/>
  <c r="J8" i="11"/>
  <c r="J9" i="11" s="1"/>
  <c r="K13" i="11"/>
  <c r="I8" i="11"/>
  <c r="I9" i="11" s="1"/>
  <c r="D9" i="11" l="1"/>
  <c r="G9" i="11"/>
  <c r="K8" i="11"/>
  <c r="E9" i="11"/>
  <c r="K14" i="11"/>
  <c r="K9" i="11" l="1"/>
  <c r="F50" i="1" l="1"/>
  <c r="F51" i="1"/>
  <c r="F52" i="1"/>
  <c r="F53" i="1"/>
  <c r="F54" i="1"/>
  <c r="F55" i="1"/>
  <c r="F56" i="1"/>
  <c r="F57" i="1"/>
  <c r="F49" i="1"/>
  <c r="F36" i="1"/>
  <c r="F37" i="1"/>
  <c r="F38" i="1"/>
  <c r="F39" i="1"/>
  <c r="F40" i="1"/>
  <c r="F41" i="1"/>
  <c r="F42" i="1"/>
  <c r="F43" i="1"/>
  <c r="F35" i="1"/>
  <c r="F22" i="1"/>
  <c r="F23" i="1"/>
  <c r="F24" i="1"/>
  <c r="F25" i="1"/>
  <c r="F26" i="1"/>
  <c r="F27" i="1"/>
  <c r="F28" i="1"/>
  <c r="F29" i="1"/>
  <c r="F21" i="1"/>
  <c r="E44" i="1" l="1"/>
  <c r="E95" i="1" s="1"/>
  <c r="F96" i="1" s="1"/>
  <c r="C44" i="1"/>
  <c r="C95" i="1" s="1"/>
  <c r="D44" i="1"/>
  <c r="D95" i="1" s="1"/>
  <c r="B44" i="1"/>
  <c r="B95" i="1" s="1"/>
  <c r="C30" i="1"/>
  <c r="C94" i="1" s="1"/>
  <c r="D30" i="1"/>
  <c r="D94" i="1" s="1"/>
  <c r="E30" i="1"/>
  <c r="E94" i="1" s="1"/>
  <c r="B30" i="1"/>
  <c r="B94" i="1" s="1"/>
  <c r="D16" i="1"/>
  <c r="D93" i="1" s="1"/>
  <c r="E16" i="1"/>
  <c r="E93" i="1" s="1"/>
  <c r="B16" i="1"/>
  <c r="B93" i="1" s="1"/>
  <c r="F94" i="1" l="1"/>
  <c r="F95" i="1"/>
  <c r="F30" i="1"/>
  <c r="F58" i="1"/>
  <c r="F44" i="1"/>
  <c r="C18" i="28"/>
  <c r="D13" i="28"/>
  <c r="C13" i="28" s="1"/>
  <c r="D8" i="28"/>
  <c r="D20" i="28" s="1"/>
  <c r="D27" i="28" l="1"/>
  <c r="D26" i="28"/>
  <c r="C20" i="28"/>
  <c r="C8" i="28"/>
  <c r="C26" i="28" l="1"/>
  <c r="C27" i="28"/>
  <c r="C7" i="32"/>
  <c r="E7" i="32" s="1"/>
  <c r="E6" i="32"/>
  <c r="C20" i="32" l="1"/>
  <c r="E20" i="32" l="1"/>
  <c r="C26" i="32"/>
  <c r="E26" i="32" s="1"/>
  <c r="C27" i="32"/>
  <c r="E27" i="32" s="1"/>
</calcChain>
</file>

<file path=xl/comments1.xml><?xml version="1.0" encoding="utf-8"?>
<comments xmlns="http://schemas.openxmlformats.org/spreadsheetml/2006/main">
  <authors>
    <author>Windows 사용자</author>
  </authors>
  <commentList>
    <comment ref="H16" authorId="0" shapeId="0">
      <text>
        <r>
          <rPr>
            <sz val="9"/>
            <color indexed="81"/>
            <rFont val="돋움"/>
            <family val="3"/>
            <charset val="129"/>
          </rPr>
          <t>경증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 35
</t>
        </r>
        <r>
          <rPr>
            <sz val="9"/>
            <color indexed="81"/>
            <rFont val="돋움"/>
            <family val="3"/>
            <charset val="129"/>
          </rPr>
          <t>경증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50
</t>
        </r>
        <r>
          <rPr>
            <sz val="9"/>
            <color indexed="81"/>
            <rFont val="돋움"/>
            <family val="3"/>
            <charset val="129"/>
          </rPr>
          <t>중증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</t>
        </r>
        <r>
          <rPr>
            <sz val="9"/>
            <color indexed="81"/>
            <rFont val="Tahoma"/>
            <family val="2"/>
          </rPr>
          <t xml:space="preserve"> 70
</t>
        </r>
        <r>
          <rPr>
            <sz val="9"/>
            <color indexed="81"/>
            <rFont val="돋움"/>
            <family val="3"/>
            <charset val="129"/>
          </rPr>
          <t>중증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90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기초액
</t>
        </r>
        <r>
          <rPr>
            <b/>
            <sz val="9"/>
            <color indexed="81"/>
            <rFont val="Tahoma"/>
            <family val="2"/>
          </rPr>
          <t>1,237,000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<sst xmlns="http://schemas.openxmlformats.org/spreadsheetml/2006/main" count="2245" uniqueCount="995">
  <si>
    <t>가맹점</t>
  </si>
  <si>
    <t>영수</t>
  </si>
  <si>
    <t>순매출액</t>
  </si>
  <si>
    <t>부가세</t>
  </si>
  <si>
    <t>NET매출</t>
  </si>
  <si>
    <t/>
  </si>
  <si>
    <t>카페쿠피(중앙도서관)</t>
  </si>
  <si>
    <t>카페쿠피(멀티교육관)</t>
  </si>
  <si>
    <t>카페쿠피(제2기숙사)</t>
  </si>
  <si>
    <t>카페쿠피(학생회관)</t>
  </si>
  <si>
    <t>카페쿠피(의과대학)</t>
  </si>
  <si>
    <t>카페쿠피(공학관)</t>
  </si>
  <si>
    <t>카페쿠피(예술디자인대)</t>
  </si>
  <si>
    <t>카페쿠피(푸른솔문화관)</t>
  </si>
  <si>
    <t>카페쿠피(선승관)</t>
  </si>
  <si>
    <t>카페쿠피 연간 매출 점포별 매출 현황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</si>
  <si>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</si>
  <si>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</si>
  <si>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</si>
  <si>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</si>
  <si>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</si>
  <si>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</si>
  <si>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</si>
  <si>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</si>
  <si>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</si>
  <si>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</si>
  <si>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</si>
  <si>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누계</t>
  </si>
  <si>
    <t>제2기숙사</t>
  </si>
  <si>
    <t>멀티미디어</t>
  </si>
  <si>
    <t>공학관</t>
  </si>
  <si>
    <t>선승관</t>
  </si>
  <si>
    <t>예디대</t>
  </si>
  <si>
    <t>중앙도서관</t>
  </si>
  <si>
    <t>학생회관</t>
  </si>
  <si>
    <t>의과대학</t>
  </si>
  <si>
    <t>푸른솔</t>
  </si>
  <si>
    <t>합계</t>
    <phoneticPr fontId="1" type="noConversion"/>
  </si>
  <si>
    <t>당월 매출 변경</t>
    <phoneticPr fontId="1" type="noConversion"/>
  </si>
  <si>
    <t>고용장려금</t>
    <phoneticPr fontId="1" type="noConversion"/>
  </si>
  <si>
    <t>인건비</t>
  </si>
  <si>
    <t>영업이익</t>
  </si>
  <si>
    <t>*인건비</t>
    <phoneticPr fontId="1" type="noConversion"/>
  </si>
  <si>
    <t>매출원가</t>
  </si>
  <si>
    <t>월 변경</t>
    <phoneticPr fontId="1" type="noConversion"/>
  </si>
  <si>
    <t>전년도 매출 변경</t>
    <phoneticPr fontId="1" type="noConversion"/>
  </si>
  <si>
    <t>(단위: 원)</t>
  </si>
  <si>
    <t>가상 BEP</t>
    <phoneticPr fontId="1" type="noConversion"/>
  </si>
  <si>
    <r>
      <t>*</t>
    </r>
    <r>
      <rPr>
        <b/>
        <sz val="9"/>
        <color rgb="FF000000"/>
        <rFont val="나눔스퀘어_ac"/>
        <family val="3"/>
        <charset val="129"/>
      </rPr>
      <t xml:space="preserve">점포별 예상 손익분기점 </t>
    </r>
    <r>
      <rPr>
        <b/>
        <sz val="9"/>
        <color rgb="FF000000"/>
        <rFont val="맑은 고딕"/>
        <family val="3"/>
        <charset val="129"/>
        <scheme val="minor"/>
      </rPr>
      <t>(</t>
    </r>
    <r>
      <rPr>
        <b/>
        <sz val="9"/>
        <color rgb="FF000000"/>
        <rFont val="나눔스퀘어_ac"/>
        <family val="3"/>
        <charset val="129"/>
      </rPr>
      <t>카페쿠피</t>
    </r>
    <r>
      <rPr>
        <b/>
        <sz val="9"/>
        <color rgb="FF000000"/>
        <rFont val="맑은 고딕"/>
        <family val="3"/>
        <charset val="129"/>
        <scheme val="minor"/>
      </rPr>
      <t xml:space="preserve"> 점포 </t>
    </r>
    <r>
      <rPr>
        <b/>
        <sz val="9"/>
        <color rgb="FF000000"/>
        <rFont val="나눔스퀘어_ac"/>
        <family val="3"/>
        <charset val="129"/>
      </rPr>
      <t>판관비</t>
    </r>
    <r>
      <rPr>
        <b/>
        <sz val="9"/>
        <color rgb="FF000000"/>
        <rFont val="맑은 고딕"/>
        <family val="3"/>
        <charset val="129"/>
        <scheme val="minor"/>
      </rPr>
      <t xml:space="preserve">, </t>
    </r>
    <r>
      <rPr>
        <b/>
        <sz val="9"/>
        <color rgb="FF000000"/>
        <rFont val="나눔스퀘어_ac"/>
        <family val="3"/>
        <charset val="129"/>
      </rPr>
      <t xml:space="preserve">원가 적용 기준 </t>
    </r>
    <r>
      <rPr>
        <b/>
        <sz val="9"/>
        <color rgb="FF000000"/>
        <rFont val="맑은 고딕"/>
        <family val="3"/>
        <charset val="129"/>
        <scheme val="minor"/>
      </rPr>
      <t xml:space="preserve">– </t>
    </r>
    <r>
      <rPr>
        <b/>
        <sz val="9"/>
        <color rgb="FF000000"/>
        <rFont val="나눔스퀘어_ac"/>
        <family val="3"/>
        <charset val="129"/>
      </rPr>
      <t>본사 운영 인력 제외</t>
    </r>
    <r>
      <rPr>
        <b/>
        <sz val="9"/>
        <color rgb="FF000000"/>
        <rFont val="맑은 고딕"/>
        <family val="3"/>
        <charset val="129"/>
        <scheme val="minor"/>
      </rPr>
      <t xml:space="preserve">) </t>
    </r>
    <phoneticPr fontId="1" type="noConversion"/>
  </si>
  <si>
    <t xml:space="preserve">  *인건비 산정 내역(인건비-고용장려금 등)</t>
    <phoneticPr fontId="1" type="noConversion"/>
  </si>
  <si>
    <t>2018년도</t>
    <phoneticPr fontId="1" type="noConversion"/>
  </si>
  <si>
    <t>전년변동비</t>
    <phoneticPr fontId="1" type="noConversion"/>
  </si>
  <si>
    <t>비고</t>
    <phoneticPr fontId="1" type="noConversion"/>
  </si>
  <si>
    <t>2019년도</t>
    <phoneticPr fontId="1" type="noConversion"/>
  </si>
  <si>
    <t xml:space="preserve">2018년 9월 오픈 </t>
    <phoneticPr fontId="1" type="noConversion"/>
  </si>
  <si>
    <t>2020년도</t>
    <phoneticPr fontId="1" type="noConversion"/>
  </si>
  <si>
    <t>2021년도</t>
    <phoneticPr fontId="1" type="noConversion"/>
  </si>
  <si>
    <t>가맹점</t>
    <phoneticPr fontId="1" type="noConversion"/>
  </si>
  <si>
    <t>영수</t>
    <phoneticPr fontId="1" type="noConversion"/>
  </si>
  <si>
    <t>순매출액</t>
    <phoneticPr fontId="1" type="noConversion"/>
  </si>
  <si>
    <t>부가세</t>
    <phoneticPr fontId="1" type="noConversion"/>
  </si>
  <si>
    <t>NET매출</t>
    <phoneticPr fontId="1" type="noConversion"/>
  </si>
  <si>
    <t>카페쿠피(중앙도서관)</t>
    <phoneticPr fontId="1" type="noConversion"/>
  </si>
  <si>
    <t>카페쿠피(멀티교육관)</t>
    <phoneticPr fontId="1" type="noConversion"/>
  </si>
  <si>
    <t>카페쿠피(제2기숙사)</t>
    <phoneticPr fontId="1" type="noConversion"/>
  </si>
  <si>
    <t>카페쿠피(학생회관)</t>
    <phoneticPr fontId="1" type="noConversion"/>
  </si>
  <si>
    <t>카페쿠피(의과대학)</t>
    <phoneticPr fontId="1" type="noConversion"/>
  </si>
  <si>
    <t>카페쿠피(공학관)</t>
    <phoneticPr fontId="1" type="noConversion"/>
  </si>
  <si>
    <t>카페쿠피(예술디자인대)</t>
    <phoneticPr fontId="1" type="noConversion"/>
  </si>
  <si>
    <t>카페쿠피(푸른솔문화관)</t>
    <phoneticPr fontId="1" type="noConversion"/>
  </si>
  <si>
    <t>카페쿠피(선승관)</t>
    <phoneticPr fontId="1" type="noConversion"/>
  </si>
  <si>
    <t>카페쿠피 연간 매출 변동 현황</t>
    <phoneticPr fontId="1" type="noConversion"/>
  </si>
  <si>
    <t>연 도</t>
    <phoneticPr fontId="1" type="noConversion"/>
  </si>
  <si>
    <t>변동비</t>
    <phoneticPr fontId="1" type="noConversion"/>
  </si>
  <si>
    <t>2018년</t>
    <phoneticPr fontId="1" type="noConversion"/>
  </si>
  <si>
    <t>2019년</t>
    <phoneticPr fontId="1" type="noConversion"/>
  </si>
  <si>
    <t>2020년</t>
    <phoneticPr fontId="1" type="noConversion"/>
  </si>
  <si>
    <t>2021년</t>
    <phoneticPr fontId="1" type="noConversion"/>
  </si>
  <si>
    <t>인건비</t>
    <phoneticPr fontId="12" type="noConversion"/>
  </si>
  <si>
    <t>항목</t>
    <phoneticPr fontId="1" type="noConversion"/>
  </si>
  <si>
    <t>비용</t>
    <phoneticPr fontId="1" type="noConversion"/>
  </si>
  <si>
    <t>비고</t>
    <phoneticPr fontId="1" type="noConversion"/>
  </si>
  <si>
    <t>인테리어</t>
    <phoneticPr fontId="1" type="noConversion"/>
  </si>
  <si>
    <t>기본공사</t>
    <phoneticPr fontId="1" type="noConversion"/>
  </si>
  <si>
    <t>간판</t>
    <phoneticPr fontId="1" type="noConversion"/>
  </si>
  <si>
    <t>전면 기본 간판 기준, 입점 컨디션에 따라 상이</t>
    <phoneticPr fontId="1" type="noConversion"/>
  </si>
  <si>
    <t>초도물품</t>
    <phoneticPr fontId="1" type="noConversion"/>
  </si>
  <si>
    <t>기기장비</t>
    <phoneticPr fontId="1" type="noConversion"/>
  </si>
  <si>
    <t>초도 기물</t>
    <phoneticPr fontId="1" type="noConversion"/>
  </si>
  <si>
    <t>총계</t>
    <phoneticPr fontId="1" type="noConversion"/>
  </si>
  <si>
    <t>기기장비 내역</t>
    <phoneticPr fontId="1" type="noConversion"/>
  </si>
  <si>
    <t>커피머신</t>
    <phoneticPr fontId="1" type="noConversion"/>
  </si>
  <si>
    <t>자동그라인더</t>
    <phoneticPr fontId="1" type="noConversion"/>
  </si>
  <si>
    <t>온수기</t>
    <phoneticPr fontId="1" type="noConversion"/>
  </si>
  <si>
    <t>1500바트 냉장고</t>
    <phoneticPr fontId="1" type="noConversion"/>
  </si>
  <si>
    <t>1500바트 냉동고</t>
    <phoneticPr fontId="1" type="noConversion"/>
  </si>
  <si>
    <t>쇼케이스</t>
    <phoneticPr fontId="1" type="noConversion"/>
  </si>
  <si>
    <t>제빙기</t>
    <phoneticPr fontId="1" type="noConversion"/>
  </si>
  <si>
    <t>블랜더 본체</t>
    <phoneticPr fontId="1" type="noConversion"/>
  </si>
  <si>
    <t>블랜더 볼</t>
    <phoneticPr fontId="1" type="noConversion"/>
  </si>
  <si>
    <t>10평 규모 점포 투자비 예시</t>
    <phoneticPr fontId="1" type="noConversion"/>
  </si>
  <si>
    <t xml:space="preserve">외부 점포 개설 수익(안) </t>
    <phoneticPr fontId="1" type="noConversion"/>
  </si>
  <si>
    <t>기기장비 구매 세부 내역 참고</t>
    <phoneticPr fontId="1" type="noConversion"/>
  </si>
  <si>
    <t>가구외 기타 매장용품 구매 비용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</si>
  <si>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</si>
  <si>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</si>
  <si>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</si>
  <si>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대</t>
    <phoneticPr fontId="1" type="noConversion"/>
  </si>
  <si>
    <t>CIME-CO-03라이트 2그룹 툴컵버젼</t>
    <phoneticPr fontId="1" type="noConversion"/>
  </si>
  <si>
    <t>피오렌자또-F64E</t>
    <phoneticPr fontId="1" type="noConversion"/>
  </si>
  <si>
    <t>NS-3000 3-2</t>
    <phoneticPr fontId="1" type="noConversion"/>
  </si>
  <si>
    <t>우성/메탈</t>
    <phoneticPr fontId="1" type="noConversion"/>
  </si>
  <si>
    <t>사각3단 후문형 쇼케이스</t>
    <phoneticPr fontId="1" type="noConversion"/>
  </si>
  <si>
    <t>아이스트로 JETICE-130</t>
    <phoneticPr fontId="1" type="noConversion"/>
  </si>
  <si>
    <t>하이믹서3</t>
    <phoneticPr fontId="1" type="noConversion"/>
  </si>
  <si>
    <t>하이믹서3용 볼</t>
    <phoneticPr fontId="1" type="noConversion"/>
  </si>
  <si>
    <t>매출</t>
    <phoneticPr fontId="1" type="noConversion"/>
  </si>
  <si>
    <t>원재료</t>
    <phoneticPr fontId="1" type="noConversion"/>
  </si>
  <si>
    <t>임대료외</t>
    <phoneticPr fontId="1" type="noConversion"/>
  </si>
  <si>
    <t>인건비</t>
    <phoneticPr fontId="1" type="noConversion"/>
  </si>
  <si>
    <t>기타잡비</t>
    <phoneticPr fontId="1" type="noConversion"/>
  </si>
  <si>
    <t>총 투자비</t>
    <phoneticPr fontId="1" type="noConversion"/>
  </si>
  <si>
    <t>일 평균 매출 64만원</t>
    <phoneticPr fontId="1" type="noConversion"/>
  </si>
  <si>
    <t>매출의 30%</t>
    <phoneticPr fontId="1" type="noConversion"/>
  </si>
  <si>
    <t>월 임차료 220만원</t>
    <phoneticPr fontId="1" type="noConversion"/>
  </si>
  <si>
    <t>바리스타 2인 채용 (연봉 2,800만원)</t>
    <phoneticPr fontId="1" type="noConversion"/>
  </si>
  <si>
    <t>점포 운영 소모품외</t>
    <phoneticPr fontId="1" type="noConversion"/>
  </si>
  <si>
    <t>예상 수익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</si>
  <si>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</si>
  <si>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</si>
  <si>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</si>
  <si>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</si>
  <si>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</si>
  <si>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 xml:space="preserve"> = a-(b+c+d+e)</t>
    <phoneticPr fontId="1" type="noConversion"/>
  </si>
  <si>
    <t>상가 임차 비용 별도</t>
    <phoneticPr fontId="1" type="noConversion"/>
  </si>
  <si>
    <t>임차보증금 7,000만원 제외, 10평 기준
인건비 절감을 위한 키오스크 2대 운영</t>
    <phoneticPr fontId="1" type="noConversion"/>
  </si>
  <si>
    <t>인테리어 평당 220만원, 
냉난방 및 도어 공사 별도
전기 증설 비용 별도
(상가 시설 외벽, 천장, 급배수 완비 기준)</t>
    <phoneticPr fontId="1" type="noConversion"/>
  </si>
  <si>
    <t>일 평균 매출 33만원</t>
    <phoneticPr fontId="1" type="noConversion"/>
  </si>
  <si>
    <t>바리스타 1인, 파트타이머 1인 채용</t>
    <phoneticPr fontId="1" type="noConversion"/>
  </si>
  <si>
    <t>일 평균 매출 30만원</t>
    <phoneticPr fontId="1" type="noConversion"/>
  </si>
  <si>
    <t>월 임차료 70만원</t>
    <phoneticPr fontId="1" type="noConversion"/>
  </si>
  <si>
    <t>바리스타 1인, 주말파트타이머 1인 채용</t>
    <phoneticPr fontId="1" type="noConversion"/>
  </si>
  <si>
    <t>임차보증금 4,000만원 제외, 10평 기준
점포인수 권리금 6,500만원 포함
인건비 절감을 위한 키오스크 1대 운영</t>
    <phoneticPr fontId="1" type="noConversion"/>
  </si>
  <si>
    <t xml:space="preserve">A사 여수전남대(여수) 진입로 상가 위치 점포 </t>
    <phoneticPr fontId="1" type="noConversion"/>
  </si>
  <si>
    <t xml:space="preserve"> - A사 가천대(성남) 정문 상가 위치 점포 </t>
    <phoneticPr fontId="1" type="noConversion"/>
  </si>
  <si>
    <t xml:space="preserve"> - A사 성균관대(서울) 진입로 상가 위치 점포 </t>
    <phoneticPr fontId="1" type="noConversion"/>
  </si>
  <si>
    <t>월 임차료 110만원</t>
    <phoneticPr fontId="1" type="noConversion"/>
  </si>
  <si>
    <t>(단위: 원, 부가세 별도)</t>
    <phoneticPr fontId="1" type="noConversion"/>
  </si>
  <si>
    <t>중증</t>
    <phoneticPr fontId="57" type="noConversion"/>
  </si>
  <si>
    <t>경증</t>
    <phoneticPr fontId="57" type="noConversion"/>
  </si>
  <si>
    <t>부서명</t>
    <phoneticPr fontId="57" type="noConversion"/>
  </si>
  <si>
    <t>사원명</t>
    <phoneticPr fontId="57" type="noConversion"/>
  </si>
  <si>
    <t>장애유형</t>
    <phoneticPr fontId="57" type="noConversion"/>
  </si>
  <si>
    <t>중증여부</t>
    <phoneticPr fontId="57" type="noConversion"/>
  </si>
  <si>
    <t>비고</t>
    <phoneticPr fontId="57" type="noConversion"/>
  </si>
  <si>
    <t>남</t>
    <phoneticPr fontId="57" type="noConversion"/>
  </si>
  <si>
    <t>여</t>
    <phoneticPr fontId="57" type="noConversion"/>
  </si>
  <si>
    <t>일
근로시간</t>
    <phoneticPr fontId="57" type="noConversion"/>
  </si>
  <si>
    <t>월
근로시간</t>
    <phoneticPr fontId="57" type="noConversion"/>
  </si>
  <si>
    <t>급여 60% 환산 기준 
낮은 금액</t>
    <phoneticPr fontId="57" type="noConversion"/>
  </si>
  <si>
    <t>장려금 기초액</t>
    <phoneticPr fontId="57" type="noConversion"/>
  </si>
  <si>
    <t>부담금 기초액</t>
    <phoneticPr fontId="57" type="noConversion"/>
  </si>
  <si>
    <t>2배수 환산</t>
    <phoneticPr fontId="57" type="noConversion"/>
  </si>
  <si>
    <t>장려금 
단순계산(월)</t>
    <phoneticPr fontId="57" type="noConversion"/>
  </si>
  <si>
    <t>부담금 
단순계산(월)</t>
    <phoneticPr fontId="57" type="noConversion"/>
  </si>
  <si>
    <t>파트별 연간 급여</t>
    <phoneticPr fontId="57" type="noConversion"/>
  </si>
  <si>
    <t>파트별 연간 장려금</t>
    <phoneticPr fontId="57" type="noConversion"/>
  </si>
  <si>
    <t>파트별 연간 부담금</t>
    <phoneticPr fontId="57" type="noConversion"/>
  </si>
  <si>
    <t>임차료</t>
    <phoneticPr fontId="1" type="noConversion"/>
  </si>
  <si>
    <t>관리비</t>
    <phoneticPr fontId="1" type="noConversion"/>
  </si>
  <si>
    <t>2022년도</t>
    <phoneticPr fontId="1" type="noConversion"/>
  </si>
  <si>
    <t>2022년</t>
    <phoneticPr fontId="1" type="noConversion"/>
  </si>
  <si>
    <t>1월</t>
    <phoneticPr fontId="1" type="noConversion"/>
  </si>
  <si>
    <t>2월</t>
    <phoneticPr fontId="1" type="noConversion"/>
  </si>
  <si>
    <t>합 계</t>
    <phoneticPr fontId="1" type="noConversion"/>
  </si>
  <si>
    <t>합 계</t>
    <phoneticPr fontId="1" type="noConversion"/>
  </si>
  <si>
    <t>2019년</t>
    <phoneticPr fontId="1" type="noConversion"/>
  </si>
  <si>
    <t>2020년</t>
    <phoneticPr fontId="1" type="noConversion"/>
  </si>
  <si>
    <t>2018년</t>
    <phoneticPr fontId="1" type="noConversion"/>
  </si>
  <si>
    <t>2021년</t>
    <phoneticPr fontId="1" type="noConversion"/>
  </si>
  <si>
    <t>월별 점유율</t>
    <phoneticPr fontId="1" type="noConversion"/>
  </si>
  <si>
    <t>매장별 점유율</t>
    <phoneticPr fontId="1" type="noConversion"/>
  </si>
  <si>
    <t>1월</t>
    <phoneticPr fontId="1" type="noConversion"/>
  </si>
  <si>
    <t>월 평균 점유율</t>
    <phoneticPr fontId="1" type="noConversion"/>
  </si>
  <si>
    <t>매장 평균 점유율</t>
    <phoneticPr fontId="1" type="noConversion"/>
  </si>
  <si>
    <t>학생회관</t>
    <phoneticPr fontId="1" type="noConversion"/>
  </si>
  <si>
    <t>제2기숙사</t>
    <phoneticPr fontId="1" type="noConversion"/>
  </si>
  <si>
    <t>멀티교육관</t>
    <phoneticPr fontId="1" type="noConversion"/>
  </si>
  <si>
    <t>중앙도서관</t>
    <phoneticPr fontId="1" type="noConversion"/>
  </si>
  <si>
    <t>선승관</t>
    <phoneticPr fontId="1" type="noConversion"/>
  </si>
  <si>
    <t>의과대학</t>
    <phoneticPr fontId="1" type="noConversion"/>
  </si>
  <si>
    <t>공학관</t>
    <phoneticPr fontId="1" type="noConversion"/>
  </si>
  <si>
    <t>예술디자인대</t>
    <phoneticPr fontId="1" type="noConversion"/>
  </si>
  <si>
    <t>푸른솔문화관</t>
    <phoneticPr fontId="1" type="noConversion"/>
  </si>
  <si>
    <t>목예원</t>
    <phoneticPr fontId="1" type="noConversion"/>
  </si>
  <si>
    <t>김유진</t>
    <phoneticPr fontId="1" type="noConversion"/>
  </si>
  <si>
    <t>박영민</t>
    <phoneticPr fontId="1" type="noConversion"/>
  </si>
  <si>
    <t>이유경</t>
    <phoneticPr fontId="1" type="noConversion"/>
  </si>
  <si>
    <t>유성희</t>
    <phoneticPr fontId="1" type="noConversion"/>
  </si>
  <si>
    <t>이현석</t>
    <phoneticPr fontId="1" type="noConversion"/>
  </si>
  <si>
    <t>홍수정</t>
    <phoneticPr fontId="1" type="noConversion"/>
  </si>
  <si>
    <t>홍예은</t>
    <phoneticPr fontId="1" type="noConversion"/>
  </si>
  <si>
    <t>전호경</t>
    <phoneticPr fontId="1" type="noConversion"/>
  </si>
  <si>
    <t>구현정</t>
    <phoneticPr fontId="1" type="noConversion"/>
  </si>
  <si>
    <t>김동규</t>
    <phoneticPr fontId="1" type="noConversion"/>
  </si>
  <si>
    <t>김덕임</t>
    <phoneticPr fontId="1" type="noConversion"/>
  </si>
  <si>
    <t>김동현</t>
    <phoneticPr fontId="1" type="noConversion"/>
  </si>
  <si>
    <t>중앙도서관</t>
    <phoneticPr fontId="1" type="noConversion"/>
  </si>
  <si>
    <t>공학관</t>
    <phoneticPr fontId="1" type="noConversion"/>
  </si>
  <si>
    <t>학생회관</t>
    <phoneticPr fontId="1" type="noConversion"/>
  </si>
  <si>
    <t>선승관</t>
    <phoneticPr fontId="1" type="noConversion"/>
  </si>
  <si>
    <t>예술디자인대</t>
    <phoneticPr fontId="1" type="noConversion"/>
  </si>
  <si>
    <t>제2기숙사</t>
    <phoneticPr fontId="1" type="noConversion"/>
  </si>
  <si>
    <t>멀티미디어</t>
    <phoneticPr fontId="1" type="noConversion"/>
  </si>
  <si>
    <t>의대</t>
    <phoneticPr fontId="1" type="noConversion"/>
  </si>
  <si>
    <t>푸른솔</t>
    <phoneticPr fontId="1" type="noConversion"/>
  </si>
  <si>
    <t>퇴사자</t>
    <phoneticPr fontId="1" type="noConversion"/>
  </si>
  <si>
    <t>SV</t>
    <phoneticPr fontId="1" type="noConversion"/>
  </si>
  <si>
    <t xml:space="preserve"> -. 비장애인 8인 (팀장, 정규 매니저 6인 + 본사 채용 SV 포함) </t>
    <phoneticPr fontId="1" type="noConversion"/>
  </si>
  <si>
    <t>본사</t>
    <phoneticPr fontId="1" type="noConversion"/>
  </si>
  <si>
    <t xml:space="preserve"> * 근로자 현황</t>
    <phoneticPr fontId="1" type="noConversion"/>
  </si>
  <si>
    <t>지하아린</t>
    <phoneticPr fontId="1" type="noConversion"/>
  </si>
  <si>
    <t xml:space="preserve"> * 카페사업팀 인력 운영안</t>
    <phoneticPr fontId="1" type="noConversion"/>
  </si>
  <si>
    <t>입고금액</t>
    <phoneticPr fontId="1" type="noConversion"/>
  </si>
  <si>
    <t>판매금액</t>
    <phoneticPr fontId="1" type="noConversion"/>
  </si>
  <si>
    <t>재고금액</t>
    <phoneticPr fontId="1" type="noConversion"/>
  </si>
  <si>
    <t>3월</t>
    <phoneticPr fontId="1" type="noConversion"/>
  </si>
  <si>
    <t>마진금액</t>
    <phoneticPr fontId="1" type="noConversion"/>
  </si>
  <si>
    <t xml:space="preserve">누계 </t>
    <phoneticPr fontId="1" type="noConversion"/>
  </si>
  <si>
    <t>병음료</t>
    <phoneticPr fontId="1" type="noConversion"/>
  </si>
  <si>
    <t>콤부차+삼다수</t>
    <phoneticPr fontId="1" type="noConversion"/>
  </si>
  <si>
    <t>점유율</t>
    <phoneticPr fontId="1" type="noConversion"/>
  </si>
  <si>
    <t>급여 60% 환산</t>
    <phoneticPr fontId="57" type="noConversion"/>
  </si>
  <si>
    <t>상여금제외 급여</t>
    <phoneticPr fontId="57" type="noConversion"/>
  </si>
  <si>
    <t>2023년도 적용 금액
100원단위 절삭/상여금 제외 급여</t>
    <phoneticPr fontId="57" type="noConversion"/>
  </si>
  <si>
    <t>콤부차(애플베리)</t>
  </si>
  <si>
    <t>콤부차(석류)</t>
  </si>
  <si>
    <t>&lt;M&gt;레몬차(HOT)</t>
  </si>
  <si>
    <t>&lt;M&gt;잉글리쉬블랙퍼스트(HOT)</t>
  </si>
  <si>
    <t>&lt;M&gt;페퍼민트(HOT)</t>
  </si>
  <si>
    <t>&lt;M&gt;루이보스오렌지(HOT)</t>
  </si>
  <si>
    <t>&lt;M&gt;청귤차(HOT)</t>
  </si>
  <si>
    <t>&lt;M&gt;카모마일(HOT)</t>
  </si>
  <si>
    <t>&lt;M&gt;망고요거트스무디</t>
  </si>
  <si>
    <t>&lt;M&gt;망고스무디</t>
  </si>
  <si>
    <t>&lt;M&gt;블루베리요거트스무디</t>
  </si>
  <si>
    <t>&lt;M&gt;플레인요거트스무디</t>
  </si>
  <si>
    <t>&lt;M&gt;딸기요거트스무디</t>
  </si>
  <si>
    <t>&lt;M&gt;청귤스무디</t>
  </si>
  <si>
    <t>&lt;M&gt;딸기스무디</t>
  </si>
  <si>
    <t>&lt;M&gt;핑크엘더플라워에이드</t>
  </si>
  <si>
    <t>&lt;M&gt;청귤에이드</t>
  </si>
  <si>
    <t>&lt;M&gt;토피넛라떼(ICE)</t>
  </si>
  <si>
    <t>&lt;M&gt;흑당밀크티(HOT)</t>
  </si>
  <si>
    <t>&lt;M&gt;고구마라떼(HOT)</t>
  </si>
  <si>
    <t>&lt;M&gt;청포도에이드</t>
  </si>
  <si>
    <t>&lt;M&gt;홍차라떼(HOT)</t>
  </si>
  <si>
    <t>&lt;M&gt;녹차라떼(HOT)</t>
  </si>
  <si>
    <t>&lt;M&gt;코코아밀크(HOT)</t>
  </si>
  <si>
    <t>커피 합계</t>
  </si>
  <si>
    <t>&lt;M&gt;카푸치노(HOT)</t>
  </si>
  <si>
    <t>&lt;M&gt;카페모카(HOT)</t>
  </si>
  <si>
    <t>&lt;M&gt;카라멜마끼야또(HOT)</t>
  </si>
  <si>
    <t>&lt;L&gt;카페라떼(ICE)</t>
  </si>
  <si>
    <t>&lt;L&gt;카페라떼(HOT)</t>
  </si>
  <si>
    <t>&lt;M&gt;카페라떼(ICE)</t>
  </si>
  <si>
    <t>합 계</t>
  </si>
  <si>
    <t>월별 점유율</t>
  </si>
  <si>
    <t>1월</t>
    <phoneticPr fontId="1" type="noConversion"/>
  </si>
  <si>
    <t>2월</t>
    <phoneticPr fontId="1" type="noConversion"/>
  </si>
  <si>
    <t>점포명</t>
    <phoneticPr fontId="1" type="noConversion"/>
  </si>
  <si>
    <t>매장별 합계</t>
    <phoneticPr fontId="1" type="noConversion"/>
  </si>
  <si>
    <t>매장별 점유율</t>
    <phoneticPr fontId="1" type="noConversion"/>
  </si>
  <si>
    <t>1월</t>
    <phoneticPr fontId="1" type="noConversion"/>
  </si>
  <si>
    <t>점포별
누 계</t>
    <phoneticPr fontId="1" type="noConversion"/>
  </si>
  <si>
    <t>월별 목표 매출액</t>
    <phoneticPr fontId="1" type="noConversion"/>
  </si>
  <si>
    <t>22년 목표액</t>
    <phoneticPr fontId="1" type="noConversion"/>
  </si>
  <si>
    <t>22년 매출액</t>
    <phoneticPr fontId="1" type="noConversion"/>
  </si>
  <si>
    <t>로스팅창고</t>
    <phoneticPr fontId="1" type="noConversion"/>
  </si>
  <si>
    <t>월 매출 15%</t>
    <phoneticPr fontId="1" type="noConversion"/>
  </si>
  <si>
    <t>연 2,400,000원</t>
    <phoneticPr fontId="1" type="noConversion"/>
  </si>
  <si>
    <t>연 4,363,636원</t>
    <phoneticPr fontId="1" type="noConversion"/>
  </si>
  <si>
    <t>1월</t>
    <phoneticPr fontId="1" type="noConversion"/>
  </si>
  <si>
    <t>학관</t>
    <phoneticPr fontId="1" type="noConversion"/>
  </si>
  <si>
    <t>중도</t>
    <phoneticPr fontId="1" type="noConversion"/>
  </si>
  <si>
    <t>멀티</t>
    <phoneticPr fontId="1" type="noConversion"/>
  </si>
  <si>
    <t>공대</t>
    <phoneticPr fontId="1" type="noConversion"/>
  </si>
  <si>
    <t>예디</t>
    <phoneticPr fontId="1" type="noConversion"/>
  </si>
  <si>
    <t>기숙</t>
    <phoneticPr fontId="1" type="noConversion"/>
  </si>
  <si>
    <t>선승</t>
    <phoneticPr fontId="1" type="noConversion"/>
  </si>
  <si>
    <t>의대</t>
    <phoneticPr fontId="1" type="noConversion"/>
  </si>
  <si>
    <t>푸른솔</t>
    <phoneticPr fontId="1" type="noConversion"/>
  </si>
  <si>
    <t>로스팅공장</t>
    <phoneticPr fontId="1" type="noConversion"/>
  </si>
  <si>
    <t>원두매출(삼의원)</t>
    <phoneticPr fontId="1" type="noConversion"/>
  </si>
  <si>
    <t>목표매출 합계</t>
    <phoneticPr fontId="1" type="noConversion"/>
  </si>
  <si>
    <t>원가 합계</t>
    <phoneticPr fontId="1" type="noConversion"/>
  </si>
  <si>
    <t>소모품 추산</t>
    <phoneticPr fontId="1" type="noConversion"/>
  </si>
  <si>
    <t>필터교체 22년 10월 4일 교체 기안 근거 * 연간 2회</t>
    <phoneticPr fontId="1" type="noConversion"/>
  </si>
  <si>
    <t>지급수수료 산정</t>
    <phoneticPr fontId="1" type="noConversion"/>
  </si>
  <si>
    <t>4) 목표 매출 근거 예상 임차료 산정</t>
    <phoneticPr fontId="1" type="noConversion"/>
  </si>
  <si>
    <t>합계</t>
    <phoneticPr fontId="1" type="noConversion"/>
  </si>
  <si>
    <t>원두납품원가</t>
    <phoneticPr fontId="1" type="noConversion"/>
  </si>
  <si>
    <t>매장 원가+ 원두납품 원가</t>
    <phoneticPr fontId="1" type="noConversion"/>
  </si>
  <si>
    <t xml:space="preserve">19년 매출액 </t>
    <phoneticPr fontId="1" type="noConversion"/>
  </si>
  <si>
    <t>기준대비
목표차액</t>
    <phoneticPr fontId="1" type="noConversion"/>
  </si>
  <si>
    <t>매출액</t>
    <phoneticPr fontId="1" type="noConversion"/>
  </si>
  <si>
    <t>4) 비고</t>
    <phoneticPr fontId="1" type="noConversion"/>
  </si>
  <si>
    <t xml:space="preserve">2019년 매출대비 2023년 목표매출 차액 </t>
    <phoneticPr fontId="1" type="noConversion"/>
  </si>
  <si>
    <t>2019년 오버타임(18~20시) 및 주말영업(13일) 매출액</t>
    <phoneticPr fontId="1" type="noConversion"/>
  </si>
  <si>
    <t>기존 고정임차료 대비 목표매출 임차료 비교</t>
    <phoneticPr fontId="1" type="noConversion"/>
  </si>
  <si>
    <t>기존임차료(연)</t>
    <phoneticPr fontId="1" type="noConversion"/>
  </si>
  <si>
    <t>예상 임차료</t>
    <phoneticPr fontId="1" type="noConversion"/>
  </si>
  <si>
    <t>차액</t>
    <phoneticPr fontId="1" type="noConversion"/>
  </si>
  <si>
    <t>유지보수</t>
    <phoneticPr fontId="1" type="noConversion"/>
  </si>
  <si>
    <t>카드수수료</t>
    <phoneticPr fontId="1" type="noConversion"/>
  </si>
  <si>
    <t>합계</t>
    <phoneticPr fontId="1" type="noConversion"/>
  </si>
  <si>
    <t>항목</t>
    <phoneticPr fontId="1" type="noConversion"/>
  </si>
  <si>
    <t>비용</t>
    <phoneticPr fontId="1" type="noConversion"/>
  </si>
  <si>
    <t>비고</t>
    <phoneticPr fontId="1" type="noConversion"/>
  </si>
  <si>
    <t>교육장보수 / 교육 시설 운영</t>
    <phoneticPr fontId="1" type="noConversion"/>
  </si>
  <si>
    <t>포스임대 월 3만원*9매장*12개월</t>
    <phoneticPr fontId="1" type="noConversion"/>
  </si>
  <si>
    <t>키오스크 임대 월 7.5만원*2매장*12개월</t>
    <phoneticPr fontId="1" type="noConversion"/>
  </si>
  <si>
    <t>카드수수료 매출액 1.3%</t>
    <phoneticPr fontId="1" type="noConversion"/>
  </si>
  <si>
    <t>점포 원재료 사용 금액 (음료 제조용+우유+디저트+부자재)</t>
    <phoneticPr fontId="1" type="noConversion"/>
  </si>
  <si>
    <t>복리후생비 산정</t>
    <phoneticPr fontId="1" type="noConversion"/>
  </si>
  <si>
    <t>매니저</t>
    <phoneticPr fontId="1" type="noConversion"/>
  </si>
  <si>
    <t>장애인</t>
    <phoneticPr fontId="1" type="noConversion"/>
  </si>
  <si>
    <t>업무추진비 월 10만원 * 12개월</t>
    <phoneticPr fontId="1" type="noConversion"/>
  </si>
  <si>
    <t>매니저 6인 * 식대 8천원 * 12개월</t>
    <phoneticPr fontId="1" type="noConversion"/>
  </si>
  <si>
    <t>&lt;참고&gt; 부담금
감면 제외 이익</t>
    <phoneticPr fontId="1" type="noConversion"/>
  </si>
  <si>
    <t>법인세전이익</t>
    <phoneticPr fontId="12" type="noConversion"/>
  </si>
  <si>
    <t>영업외비용</t>
    <phoneticPr fontId="12" type="noConversion"/>
  </si>
  <si>
    <t>교육사업</t>
    <phoneticPr fontId="12" type="noConversion"/>
  </si>
  <si>
    <t>장애인장려금</t>
    <phoneticPr fontId="12" type="noConversion"/>
  </si>
  <si>
    <t>부담금감면수익</t>
    <phoneticPr fontId="12" type="noConversion"/>
  </si>
  <si>
    <t xml:space="preserve"> 영업외수익 계</t>
    <phoneticPr fontId="12" type="noConversion"/>
  </si>
  <si>
    <t>영업이익</t>
    <phoneticPr fontId="12" type="noConversion"/>
  </si>
  <si>
    <t>기타</t>
    <phoneticPr fontId="12" type="noConversion"/>
  </si>
  <si>
    <t>지급수수료</t>
    <phoneticPr fontId="12" type="noConversion"/>
  </si>
  <si>
    <t>지급임차료</t>
    <phoneticPr fontId="12" type="noConversion"/>
  </si>
  <si>
    <t>감가상각비</t>
    <phoneticPr fontId="12" type="noConversion"/>
  </si>
  <si>
    <t>사무용품비, 
 소모품비</t>
    <phoneticPr fontId="12" type="noConversion"/>
  </si>
  <si>
    <t>복리후생비</t>
    <phoneticPr fontId="12" type="noConversion"/>
  </si>
  <si>
    <t>인건비 외</t>
    <phoneticPr fontId="12" type="noConversion"/>
  </si>
  <si>
    <t xml:space="preserve"> ▶ 국민, 건강, 고용, 산재</t>
    <phoneticPr fontId="1" type="noConversion"/>
  </si>
  <si>
    <t>4대보험</t>
    <phoneticPr fontId="12" type="noConversion"/>
  </si>
  <si>
    <t xml:space="preserve"> ▶ 퇴직급여 충당금</t>
    <phoneticPr fontId="1" type="noConversion"/>
  </si>
  <si>
    <t>퇴직급여</t>
    <phoneticPr fontId="12" type="noConversion"/>
  </si>
  <si>
    <t>인건비</t>
    <phoneticPr fontId="12" type="noConversion"/>
  </si>
  <si>
    <t>판관비 계</t>
    <phoneticPr fontId="12" type="noConversion"/>
  </si>
  <si>
    <t>매출총이익</t>
    <phoneticPr fontId="12" type="noConversion"/>
  </si>
  <si>
    <t>매출원가</t>
    <phoneticPr fontId="12" type="noConversion"/>
  </si>
  <si>
    <t>매 출 액</t>
    <phoneticPr fontId="12" type="noConversion"/>
  </si>
  <si>
    <t>카페쿠피</t>
    <phoneticPr fontId="12" type="noConversion"/>
  </si>
  <si>
    <t>비  고</t>
    <phoneticPr fontId="12" type="noConversion"/>
  </si>
  <si>
    <t>식품유통사업부</t>
    <phoneticPr fontId="12" type="noConversion"/>
  </si>
  <si>
    <t>총 계</t>
    <phoneticPr fontId="12" type="noConversion"/>
  </si>
  <si>
    <t>구 분</t>
    <phoneticPr fontId="12" type="noConversion"/>
  </si>
  <si>
    <t>(단위 : 원 / 부가세별도)</t>
    <phoneticPr fontId="13" type="noConversion"/>
  </si>
  <si>
    <t>비장애</t>
  </si>
  <si>
    <t>지적</t>
  </si>
  <si>
    <t>중증</t>
  </si>
  <si>
    <t>신규매니저</t>
    <phoneticPr fontId="1" type="noConversion"/>
  </si>
  <si>
    <t>사원1</t>
    <phoneticPr fontId="1" type="noConversion"/>
  </si>
  <si>
    <t>사원2</t>
  </si>
  <si>
    <t>사원3</t>
  </si>
  <si>
    <t>사원4</t>
  </si>
  <si>
    <t>한의과대</t>
    <phoneticPr fontId="1" type="noConversion"/>
  </si>
  <si>
    <t>인건비 시뮬레이션</t>
    <phoneticPr fontId="1" type="noConversion"/>
  </si>
  <si>
    <t>1월</t>
  </si>
  <si>
    <t>점포별
누 계</t>
  </si>
  <si>
    <t>월별 목표 매출액</t>
  </si>
  <si>
    <t>.</t>
    <phoneticPr fontId="1" type="noConversion"/>
  </si>
  <si>
    <t>월 평균</t>
    <phoneticPr fontId="1" type="noConversion"/>
  </si>
  <si>
    <t xml:space="preserve"> * 가상 BEP</t>
    <phoneticPr fontId="1" type="noConversion"/>
  </si>
  <si>
    <t>월 평균</t>
    <phoneticPr fontId="1" type="noConversion"/>
  </si>
  <si>
    <t>(단위: 원, 부가세 별도)</t>
    <phoneticPr fontId="1" type="noConversion"/>
  </si>
  <si>
    <t>실행목표</t>
    <phoneticPr fontId="1" type="noConversion"/>
  </si>
  <si>
    <t>24온즈 확장</t>
    <phoneticPr fontId="1" type="noConversion"/>
  </si>
  <si>
    <t>디저트 확장</t>
    <phoneticPr fontId="1" type="noConversion"/>
  </si>
  <si>
    <t>1단계</t>
    <phoneticPr fontId="1" type="noConversion"/>
  </si>
  <si>
    <t>창업 환경 검토</t>
    <phoneticPr fontId="1" type="noConversion"/>
  </si>
  <si>
    <t>아이템 선택 ㅜ(시장조사)</t>
    <phoneticPr fontId="1" type="noConversion"/>
  </si>
  <si>
    <t>사업 타당성 검토</t>
    <phoneticPr fontId="1" type="noConversion"/>
  </si>
  <si>
    <t>시장조사 분석 (유사제품, 경쟁사 제품 경쟁력</t>
    <phoneticPr fontId="1" type="noConversion"/>
  </si>
  <si>
    <t>상권 입지 선정</t>
    <phoneticPr fontId="1" type="noConversion"/>
  </si>
  <si>
    <t>자금계획 수립</t>
    <phoneticPr fontId="1" type="noConversion"/>
  </si>
  <si>
    <t>사업계획서 작성</t>
    <phoneticPr fontId="1" type="noConversion"/>
  </si>
  <si>
    <t>직원 채용</t>
    <phoneticPr fontId="1" type="noConversion"/>
  </si>
  <si>
    <t>인허가</t>
    <phoneticPr fontId="1" type="noConversion"/>
  </si>
  <si>
    <t>사업자</t>
    <phoneticPr fontId="1" type="noConversion"/>
  </si>
  <si>
    <t>창업 준비</t>
    <phoneticPr fontId="1" type="noConversion"/>
  </si>
  <si>
    <t>2단계</t>
    <phoneticPr fontId="1" type="noConversion"/>
  </si>
  <si>
    <t>출시</t>
    <phoneticPr fontId="1" type="noConversion"/>
  </si>
  <si>
    <t>내부 테스트</t>
    <phoneticPr fontId="1" type="noConversion"/>
  </si>
  <si>
    <t>3단계</t>
    <phoneticPr fontId="1" type="noConversion"/>
  </si>
  <si>
    <t>외부 준비</t>
    <phoneticPr fontId="1" type="noConversion"/>
  </si>
  <si>
    <t>4단계</t>
    <phoneticPr fontId="1" type="noConversion"/>
  </si>
  <si>
    <t>유통</t>
    <phoneticPr fontId="1" type="noConversion"/>
  </si>
  <si>
    <t>홍보</t>
    <phoneticPr fontId="1" type="noConversion"/>
  </si>
  <si>
    <t>5단계</t>
    <phoneticPr fontId="1" type="noConversion"/>
  </si>
  <si>
    <t>외부 사업</t>
    <phoneticPr fontId="1" type="noConversion"/>
  </si>
  <si>
    <t>시장조사 분석 (유사제품 및 경쟁사 제품 분석)</t>
    <phoneticPr fontId="1" type="noConversion"/>
  </si>
  <si>
    <t>상권 입지에 따른 자금 계획 수립 ( 무상지원금 활용 방안)</t>
    <phoneticPr fontId="1" type="noConversion"/>
  </si>
  <si>
    <t>생산/ 판매 아이템 선정 및 요구 장비 시장 조사</t>
    <phoneticPr fontId="1" type="noConversion"/>
  </si>
  <si>
    <t>1단계 (시장조사)</t>
    <phoneticPr fontId="1" type="noConversion"/>
  </si>
  <si>
    <t>상권 입지 선정 (현장 판매 가능성 고려)</t>
    <phoneticPr fontId="1" type="noConversion"/>
  </si>
  <si>
    <t>2단계 (사업계획 설정)</t>
    <phoneticPr fontId="1" type="noConversion"/>
  </si>
  <si>
    <t>3단계 (개설 진행)</t>
    <phoneticPr fontId="1" type="noConversion"/>
  </si>
  <si>
    <t>판매 품목 설정 및 생산 계획</t>
    <phoneticPr fontId="1" type="noConversion"/>
  </si>
  <si>
    <t>인허가 절차 진행</t>
    <phoneticPr fontId="1" type="noConversion"/>
  </si>
  <si>
    <t>4단계 (개점 시뮬레이션)</t>
    <phoneticPr fontId="1" type="noConversion"/>
  </si>
  <si>
    <t>생산 품목의 시장 반응 조사</t>
    <phoneticPr fontId="1" type="noConversion"/>
  </si>
  <si>
    <t>내부 유통(카페쿠피)를 통한 상품성 검증</t>
    <phoneticPr fontId="1" type="noConversion"/>
  </si>
  <si>
    <t>5단계 (확장 검토)</t>
    <phoneticPr fontId="1" type="noConversion"/>
  </si>
  <si>
    <t>상품성 검증을 통한 생산 확대 (공장 단위 개설 검토)</t>
    <phoneticPr fontId="1" type="noConversion"/>
  </si>
  <si>
    <t>인테리어 시공 및 직원(관리자외 장애인 근로자) 채용</t>
    <phoneticPr fontId="1" type="noConversion"/>
  </si>
  <si>
    <t>유통 시스템 개선(안) 조사</t>
    <phoneticPr fontId="1" type="noConversion"/>
  </si>
  <si>
    <t>추가 점포 확장 검토</t>
    <phoneticPr fontId="1" type="noConversion"/>
  </si>
  <si>
    <t>브랜드 컨셉 확보 (유기농, 명장, 사회적공헌외)</t>
    <phoneticPr fontId="1" type="noConversion"/>
  </si>
  <si>
    <t>베이커리 카페 개설 단계 (소규모-&gt;대형 확장)</t>
    <phoneticPr fontId="1" type="noConversion"/>
  </si>
  <si>
    <t>증감액</t>
    <phoneticPr fontId="1" type="noConversion"/>
  </si>
  <si>
    <t>2023년도</t>
    <phoneticPr fontId="1" type="noConversion"/>
  </si>
  <si>
    <t>성시은</t>
    <phoneticPr fontId="1" type="noConversion"/>
  </si>
  <si>
    <t>김진오</t>
    <phoneticPr fontId="1" type="noConversion"/>
  </si>
  <si>
    <t>중2</t>
    <phoneticPr fontId="1" type="noConversion"/>
  </si>
  <si>
    <t>오여진</t>
    <phoneticPr fontId="1" type="noConversion"/>
  </si>
  <si>
    <t>이재성</t>
    <phoneticPr fontId="1" type="noConversion"/>
  </si>
  <si>
    <t>김민서</t>
    <phoneticPr fontId="1" type="noConversion"/>
  </si>
  <si>
    <t>변영우</t>
    <phoneticPr fontId="1" type="noConversion"/>
  </si>
  <si>
    <t>조민희</t>
    <phoneticPr fontId="1" type="noConversion"/>
  </si>
  <si>
    <t>2023년</t>
    <phoneticPr fontId="1" type="noConversion"/>
  </si>
  <si>
    <t>원두영업(삼의원창업센터)</t>
    <phoneticPr fontId="1" type="noConversion"/>
  </si>
  <si>
    <t>점포매출+원두영업</t>
    <phoneticPr fontId="1" type="noConversion"/>
  </si>
  <si>
    <t>목표 예상 매출</t>
    <phoneticPr fontId="1" type="noConversion"/>
  </si>
  <si>
    <t>2024년</t>
    <phoneticPr fontId="1" type="noConversion"/>
  </si>
  <si>
    <t>2023년</t>
    <phoneticPr fontId="1" type="noConversion"/>
  </si>
  <si>
    <t>2023년</t>
    <phoneticPr fontId="1" type="noConversion"/>
  </si>
  <si>
    <t>2024년 목표 매출</t>
    <phoneticPr fontId="1" type="noConversion"/>
  </si>
  <si>
    <t xml:space="preserve">2023년
점포별 월별
점유율
</t>
    <phoneticPr fontId="1" type="noConversion"/>
  </si>
  <si>
    <t>2024
목표 매출액</t>
    <phoneticPr fontId="1" type="noConversion"/>
  </si>
  <si>
    <t xml:space="preserve">3) 2024년 점포별/월별 매출 목표 </t>
    <phoneticPr fontId="1" type="noConversion"/>
  </si>
  <si>
    <t>2023년 3% 성장 매출
기준액</t>
    <phoneticPr fontId="1" type="noConversion"/>
  </si>
  <si>
    <t>점포 목표 매출</t>
    <phoneticPr fontId="1" type="noConversion"/>
  </si>
  <si>
    <t>23년 목표액</t>
    <phoneticPr fontId="1" type="noConversion"/>
  </si>
  <si>
    <t>23년 매출액</t>
    <phoneticPr fontId="1" type="noConversion"/>
  </si>
  <si>
    <t>2024년 
목표대비율</t>
    <phoneticPr fontId="1" type="noConversion"/>
  </si>
  <si>
    <t>1) 2023년 매장별 매출 점유율 (정상 매출 기준)</t>
    <phoneticPr fontId="1" type="noConversion"/>
  </si>
  <si>
    <t>2) 2023년 월별 매출 점유율 (정상 매출 기준)</t>
    <phoneticPr fontId="1" type="noConversion"/>
  </si>
  <si>
    <t>월 20만원 (부가세 포함)</t>
    <phoneticPr fontId="1" type="noConversion"/>
  </si>
  <si>
    <t>2023연간 매출</t>
    <phoneticPr fontId="1" type="noConversion"/>
  </si>
  <si>
    <t>음료+디저트할인</t>
  </si>
  <si>
    <t>기타</t>
    <phoneticPr fontId="1" type="noConversion"/>
  </si>
  <si>
    <t>텀블러 할인</t>
  </si>
  <si>
    <t>기타</t>
    <phoneticPr fontId="1" type="noConversion"/>
  </si>
  <si>
    <t>판매-종이컵</t>
  </si>
  <si>
    <t>경희중학교 100원</t>
  </si>
  <si>
    <t>판매-아이스컵</t>
  </si>
  <si>
    <t>종이컵 SET</t>
  </si>
  <si>
    <t>상품권 500</t>
  </si>
  <si>
    <t>&lt;L&gt;블루엘더플라워에이드</t>
  </si>
  <si>
    <t>논커피</t>
    <phoneticPr fontId="1" type="noConversion"/>
  </si>
  <si>
    <t>&lt;L&gt;녹차프라페</t>
  </si>
  <si>
    <t>스무디</t>
    <phoneticPr fontId="1" type="noConversion"/>
  </si>
  <si>
    <t>&lt;M&gt;우유(HOT)</t>
  </si>
  <si>
    <t>논커피</t>
    <phoneticPr fontId="1" type="noConversion"/>
  </si>
  <si>
    <t>금액권 (1,000원권)</t>
  </si>
  <si>
    <t>팝핑보바추가</t>
  </si>
  <si>
    <t>경희중학교 500원</t>
  </si>
  <si>
    <t>&lt;L&gt;우유(ICE)</t>
  </si>
  <si>
    <t>경희고 추가결제</t>
  </si>
  <si>
    <t>&lt;L&gt;우유(HOT)</t>
  </si>
  <si>
    <t>&lt;XL&gt;쿠키앤크림라떼(ICE)</t>
  </si>
  <si>
    <t>크렌베리아몬드스콘</t>
  </si>
  <si>
    <t>디저트</t>
    <phoneticPr fontId="1" type="noConversion"/>
  </si>
  <si>
    <t>크림치즈</t>
  </si>
  <si>
    <t>디저트</t>
    <phoneticPr fontId="1" type="noConversion"/>
  </si>
  <si>
    <t>&lt;XL&gt;(이벤트)흑당라떼(ICE)</t>
  </si>
  <si>
    <t>커피</t>
    <phoneticPr fontId="1" type="noConversion"/>
  </si>
  <si>
    <t>커피</t>
    <phoneticPr fontId="1" type="noConversion"/>
  </si>
  <si>
    <t>&lt;L&gt;자몽팝핑에이드</t>
  </si>
  <si>
    <t>바닐라시럽추가</t>
  </si>
  <si>
    <t>후결제</t>
  </si>
  <si>
    <t>&lt;XL&gt;레몬스무디</t>
  </si>
  <si>
    <t>스무디</t>
    <phoneticPr fontId="1" type="noConversion"/>
  </si>
  <si>
    <t>&lt;L&gt;초당옥수수라떼(HOT)</t>
  </si>
  <si>
    <t>&lt;M&gt;에스프레소(ICE)</t>
  </si>
  <si>
    <t>&lt;XL&gt;민트모카</t>
  </si>
  <si>
    <t>&lt;L&gt;(이벤트)흑당밀크티(HOT)</t>
  </si>
  <si>
    <t>크랜베리아몬드스콘</t>
  </si>
  <si>
    <t>&lt;L&gt;청귤팝핑에이드</t>
  </si>
  <si>
    <t>&lt;M&gt;블루엘더플라워에이드</t>
  </si>
  <si>
    <t>헤이즐넛 시럽 추가</t>
  </si>
  <si>
    <t>&lt;L&gt;핑크엘더플라워에이드</t>
  </si>
  <si>
    <t>&lt;L&gt;(이벤트)흑당라떼(ICE)</t>
  </si>
  <si>
    <t>&lt;L&gt;쿠키앤크림라떼(ICE)</t>
  </si>
  <si>
    <t>&lt;L&gt;쿠키앤크림라떼(HOT)</t>
  </si>
  <si>
    <t>&lt;XL&gt;자몽차(ICE)</t>
  </si>
  <si>
    <t>&lt;XL&gt;레몬차(ICE)</t>
  </si>
  <si>
    <t>금액권 (10,000원권)</t>
  </si>
  <si>
    <t>크로플</t>
  </si>
  <si>
    <t>&lt;L&gt;수박팝핑에이드</t>
  </si>
  <si>
    <t>&lt;L&gt;에스프레소(ICE)</t>
  </si>
  <si>
    <t>음료케이터링</t>
  </si>
  <si>
    <t>&lt;이벤트&gt;L아메리카노(HOT)</t>
  </si>
  <si>
    <t>피넛버터미니쿠키</t>
  </si>
  <si>
    <t>&lt;XL&gt;오곡프라페</t>
  </si>
  <si>
    <t>&lt;XL&gt;청귤차(ICE)</t>
  </si>
  <si>
    <t>&lt;XL&gt;초당옥수수라떼(ICE)</t>
  </si>
  <si>
    <t>&lt;XL&gt;청포도스무디</t>
  </si>
  <si>
    <t>&lt;L&gt;레몬스무디</t>
  </si>
  <si>
    <t>플레인스콘</t>
  </si>
  <si>
    <t>&lt;M&gt;레몬스무디</t>
  </si>
  <si>
    <t>&lt;XL&gt;잉글리쉬블랙퍼스트(ICE)</t>
  </si>
  <si>
    <t>&lt;XL&gt;자몽스무디</t>
  </si>
  <si>
    <t>&lt;이벤트&gt;XL청포도에이드</t>
  </si>
  <si>
    <t>&lt;XL&gt;페퍼민트(ICE)</t>
  </si>
  <si>
    <t>&lt;XL&gt;민트모카(ICE)</t>
  </si>
  <si>
    <t>&lt;M&gt;민트모카(HOT)</t>
  </si>
  <si>
    <t>디카페인샷추가</t>
  </si>
  <si>
    <t>&lt;XL&gt;카모마일(ICE)</t>
  </si>
  <si>
    <t>&lt;XL&gt;자몽홍차(ICE)</t>
  </si>
  <si>
    <t>&lt;L&gt;에스프레소(HOT)</t>
  </si>
  <si>
    <t>&lt;XL&gt;루이보스오렌지(ICE)</t>
  </si>
  <si>
    <t>대만샌드위치(에그듬뿍)</t>
  </si>
  <si>
    <t>&lt;XL&gt;초당옥수수스무디</t>
  </si>
  <si>
    <t>&lt;M&gt;에스프레소(HOT)</t>
  </si>
  <si>
    <t>&lt;M&gt;잉글리쉬블랙퍼스트(ICE)</t>
  </si>
  <si>
    <t>헤이즐넛시럽추가</t>
  </si>
  <si>
    <t>&lt;M&gt;청귤차(ICE)</t>
  </si>
  <si>
    <t>카페쿠피블랜드원두</t>
  </si>
  <si>
    <t>&lt;M&gt;민트초코라떼(HOT)</t>
  </si>
  <si>
    <t>&lt;L&gt;민트모카(HOT)</t>
  </si>
  <si>
    <t>검은깨쿠키미니쿠키</t>
  </si>
  <si>
    <t>블루베리머핀</t>
  </si>
  <si>
    <t>&lt;M&gt;레몬차(ICE)</t>
  </si>
  <si>
    <t>&lt;XL&gt;오곡라떼(ICE)</t>
  </si>
  <si>
    <t>&lt;XL&gt;청귤스무디</t>
  </si>
  <si>
    <t>플레인베이글</t>
  </si>
  <si>
    <t>플레인베이글&amp;크림치즈</t>
  </si>
  <si>
    <t>&lt;XL&gt;수박에이드</t>
  </si>
  <si>
    <t>어니언베이글</t>
  </si>
  <si>
    <t>블루베리베이글</t>
  </si>
  <si>
    <t>유자브라우니
미니쿠키</t>
  </si>
  <si>
    <t>&lt;M&gt;민트모카(ICE)</t>
  </si>
  <si>
    <t>&lt;XL&gt;고구마라떼(ICE)</t>
  </si>
  <si>
    <t>&lt;M&gt;루이보스오렌지(ICE)</t>
  </si>
  <si>
    <t>&lt;XL&gt;초코라떼(ICE)</t>
  </si>
  <si>
    <t>&lt;M&gt;쿠키앤크림프라페</t>
  </si>
  <si>
    <t>&lt;XL&gt;수박스무디</t>
  </si>
  <si>
    <t>&lt;XL&gt;청귤에이드</t>
  </si>
  <si>
    <t>경희고)5,000원쿠폰 후결제</t>
  </si>
  <si>
    <t>&lt;XL&gt;블루베리스무디</t>
  </si>
  <si>
    <t>&lt;XL&gt;흑당밀크티(ICE)</t>
  </si>
  <si>
    <t>초콜릿머핀</t>
  </si>
  <si>
    <t>&lt;XL&gt;자몽에이드</t>
  </si>
  <si>
    <t>&lt;M&gt;토피넛라떼(HOT)</t>
  </si>
  <si>
    <t>&lt;M&gt;초코라떼(HOT)</t>
  </si>
  <si>
    <t>&lt;XL&gt;블루베리요거트스무디</t>
  </si>
  <si>
    <t>&lt;XL&gt;쿠키앤크림프라페</t>
  </si>
  <si>
    <t>피넛버터
미니쿠키</t>
  </si>
  <si>
    <t>&lt;이벤트&gt;L아메리카노(ICE)</t>
  </si>
  <si>
    <t>&lt;XL&gt;(이벤트)흑당밀크티(ICE)</t>
  </si>
  <si>
    <t>&lt;XL&gt;코코아밀크(ICE)</t>
  </si>
  <si>
    <t>&lt;L&gt;쿠키앤크림프라페</t>
  </si>
  <si>
    <t>&lt;M&gt;오곡라떼(ICE)</t>
  </si>
  <si>
    <t>&lt;XL&gt;레몬요거트스무디</t>
  </si>
  <si>
    <t>&lt;XL&gt;토피넛라떼(ICE)</t>
  </si>
  <si>
    <t>다크크랜베리
미니쿠키</t>
  </si>
  <si>
    <t>디저트</t>
    <phoneticPr fontId="1" type="noConversion"/>
  </si>
  <si>
    <t>&lt;XL&gt;플레인요거트스무디</t>
  </si>
  <si>
    <t>&lt;L&gt;카라멜마끼아또(HOT)</t>
  </si>
  <si>
    <t>커피</t>
    <phoneticPr fontId="1" type="noConversion"/>
  </si>
  <si>
    <t>논커피</t>
    <phoneticPr fontId="1" type="noConversion"/>
  </si>
  <si>
    <t>병음료</t>
    <phoneticPr fontId="1" type="noConversion"/>
  </si>
  <si>
    <t>병음료</t>
    <phoneticPr fontId="1" type="noConversion"/>
  </si>
  <si>
    <t>&lt;L&gt;민트초코라떼(HOT)</t>
  </si>
  <si>
    <t>오트밀레이즌
미니쿠키</t>
  </si>
  <si>
    <t>&lt;XL&gt;망고스무디</t>
  </si>
  <si>
    <t>스무디</t>
    <phoneticPr fontId="1" type="noConversion"/>
  </si>
  <si>
    <t>&lt;XL&gt;망고요거트스무디</t>
  </si>
  <si>
    <t>&lt;XL&gt;민트초코라떼(ICE)</t>
  </si>
  <si>
    <t>논커피</t>
    <phoneticPr fontId="1" type="noConversion"/>
  </si>
  <si>
    <t>&lt;L&gt;흑당밀크티(HOT)</t>
  </si>
  <si>
    <t>어니언베이글&amp;크림치즈</t>
  </si>
  <si>
    <t>검은깨
미니쿠키</t>
  </si>
  <si>
    <t>유자브라우니미니쿠키</t>
  </si>
  <si>
    <t>&lt;XL&gt;홍차라떼(ICE)</t>
  </si>
  <si>
    <t>&lt;M&gt;페퍼민트(ICE)</t>
  </si>
  <si>
    <t>&lt;L&gt;(이벤트)흑당밀크티(ICE)</t>
  </si>
  <si>
    <t>&lt;L&gt;초당옥수수라떼(ICE)</t>
  </si>
  <si>
    <t>&lt;L&gt;자몽차(ICE)</t>
  </si>
  <si>
    <t>&lt;M&gt;흑당밀크티(ICE)</t>
  </si>
  <si>
    <t>&lt;L&gt;잉글리쉬블랙퍼스트(ICE)</t>
  </si>
  <si>
    <t>소금빵</t>
  </si>
  <si>
    <t>버터프레첼</t>
  </si>
  <si>
    <t>&lt;L&gt;자몽홍차(ICE)</t>
  </si>
  <si>
    <t>&lt;XL&gt;레몬에이드</t>
  </si>
  <si>
    <t>&lt;M&gt;오곡라떼(HOT)</t>
  </si>
  <si>
    <t>검은깨미니쿠키</t>
  </si>
  <si>
    <t>&lt;XL&gt;헤이즐넛라떼(ICE)</t>
  </si>
  <si>
    <t>&lt;XL&gt;초코프라페</t>
  </si>
  <si>
    <t>&lt;XL&gt;청포도에이드</t>
  </si>
  <si>
    <t>&lt;M&gt;카모마일(ICE)</t>
  </si>
  <si>
    <t>콤부차(오리지날)</t>
  </si>
  <si>
    <t>병음료</t>
    <phoneticPr fontId="1" type="noConversion"/>
  </si>
  <si>
    <t>&lt;M&gt;헤이즐라떼(HOT)</t>
  </si>
  <si>
    <t>크로크무슈</t>
  </si>
  <si>
    <t>&lt;L&gt;루이보스오렌지(ICE)</t>
  </si>
  <si>
    <t>&lt;M&gt;고구마라떼(ICE)</t>
  </si>
  <si>
    <t>&lt;L&gt;레몬차(ICE)</t>
  </si>
  <si>
    <t>&lt;L&gt;초당옥수수스무디</t>
  </si>
  <si>
    <t>&lt;L&gt;청귤차(ICE)</t>
  </si>
  <si>
    <t>&lt;M&gt;초코라떼(ICE)</t>
  </si>
  <si>
    <t>콤부차(진저레몬)</t>
  </si>
  <si>
    <t>&lt;XL&gt;녹차라떼(ICE)</t>
  </si>
  <si>
    <t>&lt;L&gt;자몽홍차(HOT)</t>
  </si>
  <si>
    <t>&lt;L&gt;잉글리쉬블랙퍼스트(HOT)</t>
  </si>
  <si>
    <t>&lt;XL&gt;딸기요거트스무디</t>
  </si>
  <si>
    <t>&lt;L&gt;오곡프라페</t>
  </si>
  <si>
    <t>&lt;XL&gt;카페모카(ICE)</t>
  </si>
  <si>
    <t>&lt;L&gt;민트모카(ICE)</t>
  </si>
  <si>
    <t>블루베리베이글&amp;크림치즈</t>
  </si>
  <si>
    <t>디카페인변경</t>
  </si>
  <si>
    <t>기타</t>
    <phoneticPr fontId="1" type="noConversion"/>
  </si>
  <si>
    <t>&lt;M&gt;홍차라떼(ICE)</t>
  </si>
  <si>
    <t>&lt;XL&gt;딸기스무디</t>
  </si>
  <si>
    <t>&lt;M&gt;블루베리스무디</t>
  </si>
  <si>
    <t>&lt;M&gt;민트초코라떼(ICE)</t>
  </si>
  <si>
    <t>&lt;M&gt;초코프라페</t>
  </si>
  <si>
    <t>&lt;L&gt;루이보스오렌지(HOT)</t>
  </si>
  <si>
    <t>&lt;L&gt;토피넛라떼(HOT)</t>
  </si>
  <si>
    <t>7500원 이용권</t>
  </si>
  <si>
    <t>&lt;L&gt;페퍼민트(HOT)</t>
  </si>
  <si>
    <t>&lt;L&gt;카라멜마끼아또(ICE)</t>
  </si>
  <si>
    <t>&lt;XL&gt;카라멜마끼야또(ICE)</t>
  </si>
  <si>
    <t>&lt;L&gt;초코라떼(HOT)</t>
  </si>
  <si>
    <t>&lt;M&gt;카페모카(ICE)</t>
  </si>
  <si>
    <t>&lt;M&gt;헤이즐넛라떼(ICE)</t>
  </si>
  <si>
    <t>&lt;L&gt;청포도스무디</t>
  </si>
  <si>
    <t>&lt;M&gt;코코아밀크(ICE)</t>
  </si>
  <si>
    <t>&lt;L&gt;페퍼민트(ICE)</t>
  </si>
  <si>
    <t>삼다수</t>
  </si>
  <si>
    <t>&lt;L&gt;오곡라떼(HOT)</t>
  </si>
  <si>
    <t>&lt;L&gt;자몽스무디</t>
  </si>
  <si>
    <t>옥수수크런치미니쿠키</t>
  </si>
  <si>
    <t>&lt;L&gt;흑당밀크티(ICE)</t>
  </si>
  <si>
    <t>&lt;L&gt;카모마일(ICE)</t>
  </si>
  <si>
    <t>&lt;M&gt;카라멜마끼야또(ICE)</t>
  </si>
  <si>
    <t>&lt;L&gt;카라멜마끼야또(HOT)</t>
  </si>
  <si>
    <t>&lt;L&gt;청귤스무디</t>
  </si>
  <si>
    <t>선결제</t>
  </si>
  <si>
    <t>&lt;L&gt;코코아밀크(HOT)</t>
  </si>
  <si>
    <t>&lt;L&gt;쿠키앤크림프라페</t>
    <phoneticPr fontId="1" type="noConversion"/>
  </si>
  <si>
    <t>&lt;L&gt;수박에이드</t>
  </si>
  <si>
    <t>&lt;M&gt;녹차라떼(ICE)</t>
  </si>
  <si>
    <t>&lt;L&gt;청귤에이드</t>
  </si>
  <si>
    <t>&lt;L&gt;오곡라떼(ICE)</t>
  </si>
  <si>
    <t>&lt;L&gt;고구마라떼(ICE)</t>
  </si>
  <si>
    <t>&lt;M&gt;레몬에이드</t>
  </si>
  <si>
    <t>&lt;L&gt;헤이즐넛라떼(HOT)</t>
  </si>
  <si>
    <t>&lt;L&gt;자몽차(HOT)</t>
  </si>
  <si>
    <t>&lt;L&gt;플레인요거트스무디</t>
  </si>
  <si>
    <t>&lt;L&gt;홍차라떼(HOT)</t>
  </si>
  <si>
    <t>&lt;L&gt;녹차라떼(HOT)</t>
  </si>
  <si>
    <t>&lt;L&gt;청귤차(HOT)</t>
  </si>
  <si>
    <t>&lt;L&gt;민트초코라떼(ICE)</t>
  </si>
  <si>
    <t>&lt;L&gt;카모마일(HOT)</t>
  </si>
  <si>
    <t>&lt;L&gt;레몬차(HOT)</t>
  </si>
  <si>
    <t>&lt;L&gt;홍차라떼(ICE)</t>
  </si>
  <si>
    <t>&lt;L&gt;초코라떼(ICE)</t>
  </si>
  <si>
    <t>&lt;L&gt;망고요거트스무디</t>
  </si>
  <si>
    <t>&lt;L&gt;초코프라페</t>
  </si>
  <si>
    <t>&lt;L&gt;블루베리스무디</t>
  </si>
  <si>
    <t>&lt;L&gt;블루베리요거트스무디</t>
  </si>
  <si>
    <t>&lt;L&gt;카페모카(HOT)</t>
  </si>
  <si>
    <t>&lt;L&gt;토피넛라떼(ICE)</t>
  </si>
  <si>
    <t>&lt;L&gt;코코아밀크(ICE)</t>
  </si>
  <si>
    <t>&lt;L&gt;고구마라떼(HOT)</t>
  </si>
  <si>
    <t>&lt;L&gt;카푸치노(HOT)</t>
  </si>
  <si>
    <t>&lt;M&gt;바닐라라떼(HOT)</t>
  </si>
  <si>
    <t>&lt;L&gt;수박스무디</t>
  </si>
  <si>
    <t>&lt;XL&gt;카페라떼(ICE)</t>
  </si>
  <si>
    <t>&lt;L&gt;헤이즐넛라떼(ICE)</t>
  </si>
  <si>
    <t>다크크랜베리미니쿠키</t>
  </si>
  <si>
    <t>&lt;L&gt;카페모카(ICE)</t>
  </si>
  <si>
    <t>&lt;L&gt;딸기요거트스무디</t>
  </si>
  <si>
    <t>&lt;L&gt;자몽에이드</t>
  </si>
  <si>
    <t>대만샌드위치(햄치즈)</t>
  </si>
  <si>
    <t>&lt;XL&gt;바닐라라떼(ICE)</t>
  </si>
  <si>
    <t>&lt;L&gt;레몬에이드</t>
  </si>
  <si>
    <t>&lt;L&gt;망고스무디</t>
  </si>
  <si>
    <t>&lt;L&gt;청포도에이드</t>
  </si>
  <si>
    <t>&lt;L&gt;카라멜마끼야또(ICE)</t>
  </si>
  <si>
    <t>&lt;L&gt;딸기스무디</t>
  </si>
  <si>
    <t>&lt;L&gt;레몬요거트스무디</t>
  </si>
  <si>
    <t>&lt;L&gt;녹차라떼(ICE)</t>
  </si>
  <si>
    <t>샷추가</t>
  </si>
  <si>
    <t>&lt;M&gt;바닐라라떼(ICE)</t>
  </si>
  <si>
    <t>&lt;XL&gt;복숭아아이스티</t>
  </si>
  <si>
    <t>&lt;M&gt;카페라떼(HOT)</t>
  </si>
  <si>
    <t>&lt;L&gt;바닐라라떼(HOT)</t>
  </si>
  <si>
    <t>브라우니미니쿠키</t>
  </si>
  <si>
    <t>사르르버터미니쿠키</t>
  </si>
  <si>
    <t>&lt;M&gt;복숭아아이스티</t>
  </si>
  <si>
    <t>&lt;M&gt;아메리카노(HOT)</t>
  </si>
  <si>
    <t>&lt;L&gt;바닐라라떼(ICE)</t>
  </si>
  <si>
    <t>&lt;L&gt;아메리카노(HOT)</t>
  </si>
  <si>
    <t>&lt;L&gt;복숭아아이스티</t>
  </si>
  <si>
    <t>&lt;XL&gt;아메리카노(ICE)</t>
  </si>
  <si>
    <t xml:space="preserve"> * 2023년 5월 22일부 M사이즈 판매 종료 (의대, 선승, 기숙사 제외)</t>
    <phoneticPr fontId="1" type="noConversion"/>
  </si>
  <si>
    <t>&lt;M&gt;아메리카노(ICE)</t>
  </si>
  <si>
    <t>점유율</t>
    <phoneticPr fontId="1" type="noConversion"/>
  </si>
  <si>
    <t>점유율</t>
    <phoneticPr fontId="1" type="noConversion"/>
  </si>
  <si>
    <t>판매금액(Net)</t>
    <phoneticPr fontId="1" type="noConversion"/>
  </si>
  <si>
    <t>판매량</t>
    <phoneticPr fontId="1" type="noConversion"/>
  </si>
  <si>
    <t>메뉴가격</t>
    <phoneticPr fontId="1" type="noConversion"/>
  </si>
  <si>
    <t>메뉴명</t>
    <phoneticPr fontId="1" type="noConversion"/>
  </si>
  <si>
    <t>카테고리</t>
    <phoneticPr fontId="1" type="noConversion"/>
  </si>
  <si>
    <t>순위</t>
    <phoneticPr fontId="1" type="noConversion"/>
  </si>
  <si>
    <t>2023년 카페쿠피 ITEM별(사이즈 구분)판매 순위</t>
    <phoneticPr fontId="1" type="noConversion"/>
  </si>
  <si>
    <t>카테고리별 누계</t>
    <phoneticPr fontId="1" type="noConversion"/>
  </si>
  <si>
    <t>기타 합계</t>
    <phoneticPr fontId="1" type="noConversion"/>
  </si>
  <si>
    <t>기타</t>
    <phoneticPr fontId="1" type="noConversion"/>
  </si>
  <si>
    <t>기타</t>
    <phoneticPr fontId="1" type="noConversion"/>
  </si>
  <si>
    <t>기타</t>
    <phoneticPr fontId="1" type="noConversion"/>
  </si>
  <si>
    <t>점유율</t>
    <phoneticPr fontId="1" type="noConversion"/>
  </si>
  <si>
    <t>판매금액(Net)</t>
    <phoneticPr fontId="1" type="noConversion"/>
  </si>
  <si>
    <t>판매량</t>
    <phoneticPr fontId="1" type="noConversion"/>
  </si>
  <si>
    <t>메뉴가격</t>
    <phoneticPr fontId="1" type="noConversion"/>
  </si>
  <si>
    <t>메뉴명</t>
    <phoneticPr fontId="1" type="noConversion"/>
  </si>
  <si>
    <t>카테고리</t>
    <phoneticPr fontId="1" type="noConversion"/>
  </si>
  <si>
    <t>병음료 합계</t>
    <phoneticPr fontId="1" type="noConversion"/>
  </si>
  <si>
    <t>병음료</t>
    <phoneticPr fontId="1" type="noConversion"/>
  </si>
  <si>
    <t>순위</t>
    <phoneticPr fontId="1" type="noConversion"/>
  </si>
  <si>
    <t>디저트 합계</t>
    <phoneticPr fontId="1" type="noConversion"/>
  </si>
  <si>
    <t>디저트</t>
    <phoneticPr fontId="1" type="noConversion"/>
  </si>
  <si>
    <t>메뉴명</t>
    <phoneticPr fontId="1" type="noConversion"/>
  </si>
  <si>
    <t>스무디 합계</t>
    <phoneticPr fontId="1" type="noConversion"/>
  </si>
  <si>
    <t>스무디</t>
    <phoneticPr fontId="1" type="noConversion"/>
  </si>
  <si>
    <t>&lt;L&gt;쿠키앤크림프라페</t>
    <phoneticPr fontId="1" type="noConversion"/>
  </si>
  <si>
    <t>판매금액(Net)</t>
    <phoneticPr fontId="1" type="noConversion"/>
  </si>
  <si>
    <t>판매량</t>
    <phoneticPr fontId="1" type="noConversion"/>
  </si>
  <si>
    <t>메뉴가격</t>
    <phoneticPr fontId="1" type="noConversion"/>
  </si>
  <si>
    <t>메뉴명</t>
    <phoneticPr fontId="1" type="noConversion"/>
  </si>
  <si>
    <t>카테고리</t>
    <phoneticPr fontId="1" type="noConversion"/>
  </si>
  <si>
    <t>순위</t>
    <phoneticPr fontId="1" type="noConversion"/>
  </si>
  <si>
    <t>논 커피 합계</t>
    <phoneticPr fontId="1" type="noConversion"/>
  </si>
  <si>
    <t>논커피</t>
    <phoneticPr fontId="1" type="noConversion"/>
  </si>
  <si>
    <t>논커피</t>
    <phoneticPr fontId="1" type="noConversion"/>
  </si>
  <si>
    <t>논커피</t>
    <phoneticPr fontId="1" type="noConversion"/>
  </si>
  <si>
    <t>논커피</t>
    <phoneticPr fontId="1" type="noConversion"/>
  </si>
  <si>
    <t>논커피</t>
    <phoneticPr fontId="1" type="noConversion"/>
  </si>
  <si>
    <t>판매금액(Net)</t>
    <phoneticPr fontId="1" type="noConversion"/>
  </si>
  <si>
    <t>판매량</t>
    <phoneticPr fontId="1" type="noConversion"/>
  </si>
  <si>
    <t>메뉴가격</t>
    <phoneticPr fontId="1" type="noConversion"/>
  </si>
  <si>
    <t>메뉴명</t>
    <phoneticPr fontId="1" type="noConversion"/>
  </si>
  <si>
    <t>카테고리</t>
    <phoneticPr fontId="1" type="noConversion"/>
  </si>
  <si>
    <t>순위</t>
    <phoneticPr fontId="1" type="noConversion"/>
  </si>
  <si>
    <t>커피 합계</t>
    <phoneticPr fontId="1" type="noConversion"/>
  </si>
  <si>
    <t>커피</t>
    <phoneticPr fontId="1" type="noConversion"/>
  </si>
  <si>
    <t>&lt;L&gt;아메리카노(ICE)</t>
    <phoneticPr fontId="1" type="noConversion"/>
  </si>
  <si>
    <t>점유율</t>
    <phoneticPr fontId="1" type="noConversion"/>
  </si>
  <si>
    <t>2023년 카페쿠피 카테고리별 ITEM 판매 순위</t>
    <phoneticPr fontId="1" type="noConversion"/>
  </si>
  <si>
    <t>경희고)5,000원 후결제</t>
    <phoneticPr fontId="1" type="noConversion"/>
  </si>
  <si>
    <t>전체 점유율</t>
    <phoneticPr fontId="1" type="noConversion"/>
  </si>
  <si>
    <t>판매 매출</t>
    <phoneticPr fontId="1" type="noConversion"/>
  </si>
  <si>
    <t>판매액</t>
    <phoneticPr fontId="1" type="noConversion"/>
  </si>
  <si>
    <t>메뉴명</t>
    <phoneticPr fontId="1" type="noConversion"/>
  </si>
  <si>
    <t>전체순위</t>
    <phoneticPr fontId="1" type="noConversion"/>
  </si>
  <si>
    <t>기타</t>
    <phoneticPr fontId="1" type="noConversion"/>
  </si>
  <si>
    <t>병음료</t>
    <phoneticPr fontId="1" type="noConversion"/>
  </si>
  <si>
    <t>전체순위</t>
    <phoneticPr fontId="1" type="noConversion"/>
  </si>
  <si>
    <t>디저트</t>
    <phoneticPr fontId="1" type="noConversion"/>
  </si>
  <si>
    <t>전체 점유율</t>
    <phoneticPr fontId="1" type="noConversion"/>
  </si>
  <si>
    <t>판매 매출</t>
    <phoneticPr fontId="1" type="noConversion"/>
  </si>
  <si>
    <t>판매량</t>
    <phoneticPr fontId="1" type="noConversion"/>
  </si>
  <si>
    <t>판매액</t>
    <phoneticPr fontId="1" type="noConversion"/>
  </si>
  <si>
    <t>메뉴명</t>
    <phoneticPr fontId="1" type="noConversion"/>
  </si>
  <si>
    <t>스무디</t>
    <phoneticPr fontId="1" type="noConversion"/>
  </si>
  <si>
    <t>논커피</t>
    <phoneticPr fontId="1" type="noConversion"/>
  </si>
  <si>
    <t>&lt;L&gt;아메리카노(ICE)</t>
    <phoneticPr fontId="1" type="noConversion"/>
  </si>
  <si>
    <t>커피</t>
    <phoneticPr fontId="1" type="noConversion"/>
  </si>
  <si>
    <t>2) 카테고리별 상위 5순위 아이템 (순위 기재는 전체 순위)</t>
    <phoneticPr fontId="1" type="noConversion"/>
  </si>
  <si>
    <t>전체 합계</t>
    <phoneticPr fontId="1" type="noConversion"/>
  </si>
  <si>
    <t>기타 합계</t>
  </si>
  <si>
    <t>병음료 합계</t>
  </si>
  <si>
    <t>디저트 합계</t>
  </si>
  <si>
    <t>스무디 합계</t>
  </si>
  <si>
    <t>논 커피 합계</t>
  </si>
  <si>
    <t>점유율</t>
    <phoneticPr fontId="1" type="noConversion"/>
  </si>
  <si>
    <t>매출액</t>
    <phoneticPr fontId="1" type="noConversion"/>
  </si>
  <si>
    <t xml:space="preserve">카테고리 </t>
    <phoneticPr fontId="1" type="noConversion"/>
  </si>
  <si>
    <t>1) 카테고리별 점유율 요약</t>
    <phoneticPr fontId="1" type="noConversion"/>
  </si>
  <si>
    <t>2023년 카페쿠피 카테고리별 ITEM 판매 순위 요약</t>
    <phoneticPr fontId="1" type="noConversion"/>
  </si>
  <si>
    <t>2023년 디저트 판매현황</t>
    <phoneticPr fontId="1" type="noConversion"/>
  </si>
  <si>
    <t>2023디저트+병음료</t>
    <phoneticPr fontId="1" type="noConversion"/>
  </si>
  <si>
    <t>1월</t>
    <phoneticPr fontId="1" type="noConversion"/>
  </si>
  <si>
    <t xml:space="preserve"> ▶ 2024년 카페쿠피 감가상각비</t>
    <phoneticPr fontId="1" type="noConversion"/>
  </si>
  <si>
    <t>무상지원금</t>
    <phoneticPr fontId="1" type="noConversion"/>
  </si>
  <si>
    <t>매장원가(25%)</t>
    <phoneticPr fontId="1" type="noConversion"/>
  </si>
  <si>
    <t>24년 연간 계약 목표 / 미정</t>
    <phoneticPr fontId="1" type="noConversion"/>
  </si>
  <si>
    <t>포스임대1</t>
    <phoneticPr fontId="1" type="noConversion"/>
  </si>
  <si>
    <t>포스임대2</t>
    <phoneticPr fontId="1" type="noConversion"/>
  </si>
  <si>
    <t>24 목표</t>
    <phoneticPr fontId="1" type="noConversion"/>
  </si>
  <si>
    <t>23매출</t>
    <phoneticPr fontId="1" type="noConversion"/>
  </si>
  <si>
    <t>실행합계</t>
    <phoneticPr fontId="1" type="noConversion"/>
  </si>
  <si>
    <t>신메뉴</t>
    <phoneticPr fontId="1" type="noConversion"/>
  </si>
  <si>
    <t xml:space="preserve"> ▶ 서울캠퍼스2, 국제캠퍼스 7 (2023년 달성 매출 대비 3% 추가 상승 목표)</t>
    <phoneticPr fontId="13" type="noConversion"/>
  </si>
  <si>
    <t>카페
'24년 계획</t>
    <phoneticPr fontId="12" type="noConversion"/>
  </si>
  <si>
    <t>2024년 식품유통사업부 사업계획</t>
    <phoneticPr fontId="12" type="noConversion"/>
  </si>
  <si>
    <t>&lt;2024.01.01 ~ 2024.12.31&gt;</t>
    <phoneticPr fontId="12" type="noConversion"/>
  </si>
  <si>
    <t xml:space="preserve"> ▶ 카페쿠피: 서울캠퍼스 - 푸른솔 연간 4,363,636원, 의대 연간 2,400,000원 
               국제캠퍼스 - 중도,학관,예디대,멀티,공학관,선승관 목표 매출액의 15% 산정
                                제2기숙사 연간 2,181,818원
               본사물류창고 - 회기로 111번지 창고 임차료 11,454,545원 반영</t>
    <phoneticPr fontId="13" type="noConversion"/>
  </si>
  <si>
    <t xml:space="preserve"> ▶ 카페쿠피: 소모품비 (세척세제외 기타 소모품) 매출액의 0.5% 산정 </t>
    <phoneticPr fontId="13" type="noConversion"/>
  </si>
  <si>
    <t>매장용소모품 0.5% 추정 (세제외)</t>
    <phoneticPr fontId="1" type="noConversion"/>
  </si>
  <si>
    <t>임차보증금 1,000만원 제외, 10평 기준</t>
    <phoneticPr fontId="1" type="noConversion"/>
  </si>
  <si>
    <t>2024년 기준액</t>
    <phoneticPr fontId="57" type="noConversion"/>
  </si>
  <si>
    <t>24년 월급여</t>
    <phoneticPr fontId="57" type="noConversion"/>
  </si>
  <si>
    <t>24년 목표 매출액의 점유율 5% 유지를 위한 추가 제품 도입</t>
    <phoneticPr fontId="1" type="noConversion"/>
  </si>
  <si>
    <t>4,300원대 신 메뉴 연내 약 600잔 판매 목표 (스무디류L사이즈 기준)</t>
    <phoneticPr fontId="1" type="noConversion"/>
  </si>
  <si>
    <t xml:space="preserve"> ▶ 본사: 업무추진비 월 10만원 * 12개월= 1,200,000원 
 ▶ 매니저 6인 * 식대 8천원 * 12개월 = 576,000원 / 장애인 근로자 44명 * 8천원 = 352,000원     </t>
    <phoneticPr fontId="13" type="noConversion"/>
  </si>
  <si>
    <t>점유율</t>
    <phoneticPr fontId="1" type="noConversion"/>
  </si>
  <si>
    <t>23년 매출</t>
    <phoneticPr fontId="1" type="noConversion"/>
  </si>
  <si>
    <t>차액</t>
    <phoneticPr fontId="1" type="noConversion"/>
  </si>
  <si>
    <t>2024
목표 매출액</t>
  </si>
  <si>
    <t>푸른솔문화관</t>
    <phoneticPr fontId="1" type="noConversion"/>
  </si>
  <si>
    <t>의과대학</t>
    <phoneticPr fontId="1" type="noConversion"/>
  </si>
  <si>
    <t>학생회관</t>
    <phoneticPr fontId="1" type="noConversion"/>
  </si>
  <si>
    <t>예술디자인대</t>
    <phoneticPr fontId="1" type="noConversion"/>
  </si>
  <si>
    <t>멀티교육관</t>
    <phoneticPr fontId="1" type="noConversion"/>
  </si>
  <si>
    <t>제2기숙사</t>
    <phoneticPr fontId="1" type="noConversion"/>
  </si>
  <si>
    <t>선승관</t>
    <phoneticPr fontId="1" type="noConversion"/>
  </si>
  <si>
    <t>공학관</t>
    <phoneticPr fontId="1" type="noConversion"/>
  </si>
  <si>
    <t xml:space="preserve"> 점 포 계</t>
    <phoneticPr fontId="1" type="noConversion"/>
  </si>
  <si>
    <t>월별 누계</t>
    <phoneticPr fontId="1" type="noConversion"/>
  </si>
  <si>
    <t>2024년 카페쿠피 매장별 목표 매출</t>
    <phoneticPr fontId="1" type="noConversion"/>
  </si>
  <si>
    <t>2023년 매출</t>
    <phoneticPr fontId="1" type="noConversion"/>
  </si>
  <si>
    <t>목표대비 차액</t>
    <phoneticPr fontId="1" type="noConversion"/>
  </si>
  <si>
    <t>시작일</t>
    <phoneticPr fontId="1" type="noConversion"/>
  </si>
  <si>
    <t>종료일</t>
    <phoneticPr fontId="1" type="noConversion"/>
  </si>
  <si>
    <t>근무일수</t>
    <phoneticPr fontId="1" type="noConversion"/>
  </si>
  <si>
    <t>공휴일</t>
    <phoneticPr fontId="1" type="noConversion"/>
  </si>
  <si>
    <t>명절</t>
    <phoneticPr fontId="1" type="noConversion"/>
  </si>
  <si>
    <t>신정</t>
    <phoneticPr fontId="1" type="noConversion"/>
  </si>
  <si>
    <t>구정</t>
    <phoneticPr fontId="1" type="noConversion"/>
  </si>
  <si>
    <t>구정</t>
    <phoneticPr fontId="1" type="noConversion"/>
  </si>
  <si>
    <t>대체공휴일</t>
    <phoneticPr fontId="1" type="noConversion"/>
  </si>
  <si>
    <t>삼일절</t>
    <phoneticPr fontId="1" type="noConversion"/>
  </si>
  <si>
    <t>22대 국회의원 선거</t>
    <phoneticPr fontId="1" type="noConversion"/>
  </si>
  <si>
    <t>어린이날</t>
    <phoneticPr fontId="1" type="noConversion"/>
  </si>
  <si>
    <t>부처님오신날</t>
    <phoneticPr fontId="1" type="noConversion"/>
  </si>
  <si>
    <t>현충일</t>
    <phoneticPr fontId="1" type="noConversion"/>
  </si>
  <si>
    <t>광복절</t>
    <phoneticPr fontId="1" type="noConversion"/>
  </si>
  <si>
    <t>추석</t>
    <phoneticPr fontId="1" type="noConversion"/>
  </si>
  <si>
    <t>추석</t>
    <phoneticPr fontId="1" type="noConversion"/>
  </si>
  <si>
    <t>추석</t>
    <phoneticPr fontId="1" type="noConversion"/>
  </si>
  <si>
    <t>개천절</t>
    <phoneticPr fontId="1" type="noConversion"/>
  </si>
  <si>
    <t>한글날</t>
    <phoneticPr fontId="1" type="noConversion"/>
  </si>
  <si>
    <t>크리스마스</t>
    <phoneticPr fontId="1" type="noConversion"/>
  </si>
  <si>
    <t>근로자의날</t>
    <phoneticPr fontId="1" type="noConversion"/>
  </si>
  <si>
    <t>차액/영업일수</t>
    <phoneticPr fontId="1" type="noConversion"/>
  </si>
  <si>
    <t>&lt;M&gt;아메리카노(ICE)</t>
    <phoneticPr fontId="1" type="noConversion"/>
  </si>
  <si>
    <t>&lt;M&gt;아메리카노(ICE)</t>
    <phoneticPr fontId="1" type="noConversion"/>
  </si>
  <si>
    <t>&lt;L&gt;아메리카노(ICE)</t>
    <phoneticPr fontId="1" type="noConversion"/>
  </si>
  <si>
    <t>&lt;XL&gt;아메리카노(ICE)</t>
    <phoneticPr fontId="1" type="noConversion"/>
  </si>
  <si>
    <t>병음료,디저트,기타</t>
    <phoneticPr fontId="1" type="noConversion"/>
  </si>
  <si>
    <t>&lt;M&gt; 음료</t>
    <phoneticPr fontId="1" type="noConversion"/>
  </si>
  <si>
    <t>&lt;L&gt; 음료</t>
    <phoneticPr fontId="1" type="noConversion"/>
  </si>
  <si>
    <t>&lt;XL&gt; 음료</t>
    <phoneticPr fontId="1" type="noConversion"/>
  </si>
  <si>
    <t xml:space="preserve"> -. 장애인 42인 (경증 3인 / 중증 39인) / 11~12월 퇴사자 중증 2인 제외 (신예진, 박오성) </t>
    <phoneticPr fontId="1" type="noConversion"/>
  </si>
  <si>
    <t xml:space="preserve"> -. 2023년 채용 목표 인원 수 42인 (경증 3인 / 중증 39인)  </t>
    <phoneticPr fontId="1" type="noConversion"/>
  </si>
  <si>
    <t xml:space="preserve"> -. 2024년 채용 목표 인원 수 46인 (경증 3인 / 중증 43인)</t>
    <phoneticPr fontId="1" type="noConversion"/>
  </si>
  <si>
    <t xml:space="preserve"> ▶ 카페쿠피: 연간 정수 필터 2회 교체 비용 3,200,000원, 교육장 기기장비 보수비용 3,000,000원
                신규 POS 9개점 연간 임대 비용 5,040,000원 
                (기본POS 월 30,000원 * 9개점 * 12개월 + 키오스크 월 75,000원 * 2개점 * 12개월) 
                무상지원금 신청 자사 부담금 6,680,000원(커피머신 3대의 30%+부가세), 카드수수료(1.3%) 등</t>
    <phoneticPr fontId="13" type="noConversion"/>
  </si>
  <si>
    <t xml:space="preserve"> ▶ 카페쿠피: 운반비, 인쇄비, 수선비, 보험비, 차량유지비(스타렉스: 배송차량), 회의비, 수도광열비, 통신비, 
               교육훈련비(위생교육) 등 / 신규 개설 점포 예비비 1천만원</t>
    <phoneticPr fontId="13" type="noConversion"/>
  </si>
  <si>
    <t xml:space="preserve"> ▶ 지원고용 및 일배움 프로그램 =(일 19,340원 * 15일) * 연간 18명 (23년도 30명 4,677,480원, 인당 약 8.2일 진행)</t>
    <phoneticPr fontId="13" type="noConversion"/>
  </si>
  <si>
    <t xml:space="preserve"> ▶ 교육사업 진행 실습 원부자재 비용 + 메뉴개발비용 예상 산출 , 교육 비용의 20%</t>
    <phoneticPr fontId="13" type="noConversion"/>
  </si>
  <si>
    <t xml:space="preserve"> ▶ 본사: 지하아린팀장, S/V(3월까지 채용 목표), 장애인 근로자(중증) 2인
 ▶ 점포: 매니져 6인, 장애인 44인(23년 40인, 6월까지 중증 4인 채용 계획) 
            장애인고용 확대 5개년 계획(안) 기준 2024년 카페쿠피 채용 목표 인원수 (43인) 근거</t>
    <phoneticPr fontId="13" type="noConversion"/>
  </si>
  <si>
    <t>푸</t>
    <phoneticPr fontId="1" type="noConversion"/>
  </si>
  <si>
    <t>의</t>
    <phoneticPr fontId="1" type="noConversion"/>
  </si>
  <si>
    <t>예</t>
    <phoneticPr fontId="1" type="noConversion"/>
  </si>
  <si>
    <t>선</t>
    <phoneticPr fontId="1" type="noConversion"/>
  </si>
  <si>
    <t>학</t>
    <phoneticPr fontId="1" type="noConversion"/>
  </si>
  <si>
    <t>중</t>
    <phoneticPr fontId="1" type="noConversion"/>
  </si>
  <si>
    <t>공</t>
    <phoneticPr fontId="1" type="noConversion"/>
  </si>
  <si>
    <t>멀</t>
    <phoneticPr fontId="1" type="noConversion"/>
  </si>
  <si>
    <t>숙</t>
    <phoneticPr fontId="1" type="noConversion"/>
  </si>
  <si>
    <t>디저트</t>
    <phoneticPr fontId="1" type="noConversion"/>
  </si>
  <si>
    <t>M사이즈 음료 추가 단종(의대,선승,기숙사) 및 1학기 초반 사이즈 적용으로 인한 (23년 5월 22일 단종) L사이즈 음료 판매 상승효과 기대치 약 3만2천잔 (M사이즈 상위 10순위 40,598잔) * 400원 상승 기대 효과</t>
    <phoneticPr fontId="1" type="noConversion"/>
  </si>
  <si>
    <t>장애인 근로자 44명 * 8천원</t>
    <phoneticPr fontId="1" type="noConversion"/>
  </si>
  <si>
    <t>1회 비용 1,589,000원 (출장비-방문점검비 포함)</t>
    <phoneticPr fontId="1" type="noConversion"/>
  </si>
  <si>
    <t>2024최저시급</t>
    <phoneticPr fontId="1" type="noConversion"/>
  </si>
  <si>
    <t>2023년 3% 성장 매출
기준액</t>
  </si>
  <si>
    <t>2024
목표 매출액</t>
    <phoneticPr fontId="1" type="noConversion"/>
  </si>
  <si>
    <t>카페쿠피점</t>
    <phoneticPr fontId="1" type="noConversion"/>
  </si>
  <si>
    <t>공대, 중도, 선승 커피머신 교체 계획 24년 2월
총 비용 16,700,000원(부가세 별도)
 -. 11,690,000원 무상지원금 (투자금의 70%)
- 6,680,000원 자사 부담금(투자금의 30%+부가세)</t>
    <phoneticPr fontId="1" type="noConversion"/>
  </si>
  <si>
    <t>3그룹</t>
    <phoneticPr fontId="1" type="noConversion"/>
  </si>
  <si>
    <t>3그룹</t>
    <phoneticPr fontId="1" type="noConversion"/>
  </si>
  <si>
    <t>2그룹</t>
    <phoneticPr fontId="1" type="noConversion"/>
  </si>
  <si>
    <t>총계</t>
    <phoneticPr fontId="1" type="noConversion"/>
  </si>
  <si>
    <t>본사부담금</t>
    <phoneticPr fontId="1" type="noConversion"/>
  </si>
  <si>
    <t>합계</t>
    <phoneticPr fontId="1" type="noConversion"/>
  </si>
  <si>
    <t>공단 무상지원금 내역</t>
    <phoneticPr fontId="1" type="noConversion"/>
  </si>
  <si>
    <t>지원금</t>
    <phoneticPr fontId="1" type="noConversion"/>
  </si>
  <si>
    <t>2019년 대비</t>
    <phoneticPr fontId="1" type="noConversion"/>
  </si>
  <si>
    <t xml:space="preserve"> ▶ 2024년 기준 부담금 감면액 1인 1,311,220원 기존 중증 39인, 경증 3인+신규 채용 중증 4인 계획(6월)</t>
    <phoneticPr fontId="13" type="noConversion"/>
  </si>
  <si>
    <t xml:space="preserve"> ▶ 2024년 1월 기존 중증 39인, 경증 3인+신규 채용 중증 4인 계획(6월) </t>
    <phoneticPr fontId="13" type="noConversion"/>
  </si>
  <si>
    <t>김소나 (겸임)</t>
    <phoneticPr fontId="1" type="noConversion"/>
  </si>
  <si>
    <t>김선희(겸임)</t>
    <phoneticPr fontId="1" type="noConversion"/>
  </si>
  <si>
    <t>이시영(겸임)</t>
    <phoneticPr fontId="1" type="noConversion"/>
  </si>
  <si>
    <t>이용규</t>
    <phoneticPr fontId="1" type="noConversion"/>
  </si>
  <si>
    <t>카페
'23년 결산</t>
    <phoneticPr fontId="1" type="noConversion"/>
  </si>
  <si>
    <t>23년 결산대비
목표 증감률</t>
    <phoneticPr fontId="1" type="noConversion"/>
  </si>
  <si>
    <t xml:space="preserve"> ▶ 서울캠퍼스2, 국제캠퍼스 7 (2023년 달성 매출 대비 3% 추가 상승 목표)</t>
  </si>
  <si>
    <t xml:space="preserve"> ▶ 카페쿠피: 원재료 매입 비용 매출액의 25% 산정 / 부자재 항목 포함 (22년까지는 소모품 비용으로 합산)
     -. 23년도 사업계획까지는 23% 산정하였으나 물가인상분 및 신메뉴 출시 원재료 추가 고려하여 25% 반영</t>
  </si>
  <si>
    <t xml:space="preserve"> ▶ 본사: 지하아린팀장, S/V(3월까지 채용 목표), 장애인 근로자(중증) 2인
 ▶ 점포: 매니져 6인, 장애인 44인(23년 40인, 6월까지 중증 4인 채용 계획) 
            장애인고용 확대 5개년 계획(안) 기준 2024년 카페쿠피 채용 목표 인원수 (43인) 근거</t>
  </si>
  <si>
    <t xml:space="preserve"> ▶ 퇴직급여 충당금</t>
  </si>
  <si>
    <t xml:space="preserve"> ▶ 국민, 건강, 고용, 산재</t>
  </si>
  <si>
    <t xml:space="preserve"> ▶ 본사: 업무추진비 월 10만원 * 12개월= 1,200,000원 
 ▶ 매니저 6인 * 식대 8천원 * 12개월 = 576,000원 / 장애인 근로자 44명 * 8천원 = 352,000원     </t>
  </si>
  <si>
    <t xml:space="preserve"> ▶ 카페쿠피: 소모품비 (세척세제외 기타 소모품) 매출액의 0.5% 산정 </t>
  </si>
  <si>
    <t xml:space="preserve"> ▶ 2024년 카페쿠피 감가상각비</t>
  </si>
  <si>
    <t xml:space="preserve"> ▶ 카페쿠피: 서울캠퍼스 - 푸른솔 연간 4,363,636원, 의대 연간 2,400,000원 
               국제캠퍼스 - 중도,학관,예디대,멀티,공학관,선승관 목표 매출액의 15% 산정
                                제2기숙사 연간 2,181,818원
               본사물류창고 - 회기로 111번지 창고 임차료 11,454,545원 반영</t>
  </si>
  <si>
    <t xml:space="preserve"> ▶ 카페쿠피: 연간 정수 필터 2회 교체 비용 3,200,000원, 교육장 기기장비 보수비용 3,000,000원
                신규 POS 9개점 연간 임대 비용 5,040,000원 
                (기본POS 월 30,000원 * 9개점 * 12개월 + 키오스크 월 75,000원 * 2개점 * 12개월) 
                무상지원금 신청 자사 부담금 6,680,000원(커피머신 3대의 30%+부가세), 카드수수료(1.3%) 등</t>
  </si>
  <si>
    <t xml:space="preserve"> ▶ 카페쿠피: 운반비, 인쇄비, 수선비, 보험비, 차량유지비(스타렉스: 배송차량), 회의비, 수도광열비, 통신비, 
               교육훈련비(위생교육) 등 / 신규 개설 점포 예비비 1천만원</t>
  </si>
  <si>
    <t xml:space="preserve"> ▶ 2024년 기준 부담금 감면액 1인 1,311,220원 기존 중증 39인, 경증 3인+신규 채용 중증 4인 계획(6월)</t>
  </si>
  <si>
    <t xml:space="preserve"> ▶ 2024년 1월 기존 중증 39인, 경증 3인+신규 채용 중증 4인 계획(6월) </t>
  </si>
  <si>
    <t xml:space="preserve"> ▶ 지원고용 및 일배움 프로그램 =(일 19,340원 * 15일) * 연간 18명 (23년도 30명 4,677,480원, 인당 약 8.2일 진행)</t>
  </si>
  <si>
    <t xml:space="preserve"> ▶ 교육사업 진행 실습 원부자재 비용 + 메뉴개발비용 예상 산출 , 교육 비용의 20%</t>
  </si>
  <si>
    <t xml:space="preserve"> ▶ 카페쿠피: 원재료 매입 비용 매출액의 27% 산정 / 부자재 항목 포함 (22년까지는 소모품 비용으로 합산)
     -. 매장 실사용분은 25% 수준으로 관리하고있으나, 여유 재고분 확보를 위한 매입 비용 2% 추가 산정</t>
    <phoneticPr fontId="13" type="noConversion"/>
  </si>
  <si>
    <t>전년도 결산 대비 2024년 카페 목표손익 비교</t>
    <phoneticPr fontId="12" type="noConversion"/>
  </si>
  <si>
    <t>김한나</t>
    <phoneticPr fontId="1" type="noConversion"/>
  </si>
  <si>
    <t>황용주</t>
    <phoneticPr fontId="1" type="noConversion"/>
  </si>
  <si>
    <t>3월</t>
    <phoneticPr fontId="1" type="noConversion"/>
  </si>
  <si>
    <t>3월</t>
    <phoneticPr fontId="1" type="noConversion"/>
  </si>
  <si>
    <t>정은영</t>
    <phoneticPr fontId="1" type="noConversion"/>
  </si>
  <si>
    <t>법인세전 이익</t>
    <phoneticPr fontId="1" type="noConversion"/>
  </si>
  <si>
    <t>영업외 수익</t>
    <phoneticPr fontId="1" type="noConversion"/>
  </si>
  <si>
    <t>영업 이익</t>
    <phoneticPr fontId="1" type="noConversion"/>
  </si>
  <si>
    <t>비용</t>
    <phoneticPr fontId="1" type="noConversion"/>
  </si>
  <si>
    <t>목표 매출</t>
    <phoneticPr fontId="1" type="noConversion"/>
  </si>
  <si>
    <t>구분</t>
    <phoneticPr fontId="1" type="noConversion"/>
  </si>
  <si>
    <t>법인세전이익</t>
    <phoneticPr fontId="1" type="noConversion"/>
  </si>
  <si>
    <t>교육사업</t>
    <phoneticPr fontId="1" type="noConversion"/>
  </si>
  <si>
    <t>부담금</t>
    <phoneticPr fontId="1" type="noConversion"/>
  </si>
  <si>
    <t>*인건비</t>
  </si>
  <si>
    <t>장려금</t>
    <phoneticPr fontId="1" type="noConversion"/>
  </si>
  <si>
    <t>관리비</t>
  </si>
  <si>
    <t>영업이익</t>
    <phoneticPr fontId="1" type="noConversion"/>
  </si>
  <si>
    <t>임차료</t>
  </si>
  <si>
    <t>판관비</t>
    <phoneticPr fontId="1" type="noConversion"/>
  </si>
  <si>
    <t>원가</t>
    <phoneticPr fontId="1" type="noConversion"/>
  </si>
  <si>
    <t>목표매출</t>
    <phoneticPr fontId="1" type="noConversion"/>
  </si>
  <si>
    <t>카페쿠피점</t>
  </si>
  <si>
    <t>신규개설2</t>
    <phoneticPr fontId="1" type="noConversion"/>
  </si>
  <si>
    <t>신규개설1</t>
    <phoneticPr fontId="1" type="noConversion"/>
  </si>
  <si>
    <t>선승관</t>
    <phoneticPr fontId="1" type="noConversion"/>
  </si>
  <si>
    <t>제2기숙사</t>
    <phoneticPr fontId="1" type="noConversion"/>
  </si>
  <si>
    <t>의대</t>
    <phoneticPr fontId="1" type="noConversion"/>
  </si>
  <si>
    <t>차진주</t>
    <phoneticPr fontId="1" type="noConversion"/>
  </si>
  <si>
    <t>김지혜</t>
    <phoneticPr fontId="1" type="noConversion"/>
  </si>
  <si>
    <t>오종훈</t>
    <phoneticPr fontId="1" type="noConversion"/>
  </si>
  <si>
    <t>5월</t>
    <phoneticPr fontId="1" type="noConversion"/>
  </si>
  <si>
    <t>6월</t>
    <phoneticPr fontId="1" type="noConversion"/>
  </si>
  <si>
    <t>김도희</t>
    <phoneticPr fontId="1" type="noConversion"/>
  </si>
  <si>
    <t>5월</t>
    <phoneticPr fontId="1" type="noConversion"/>
  </si>
  <si>
    <t>이혜인</t>
    <phoneticPr fontId="1" type="noConversion"/>
  </si>
  <si>
    <t>김현규</t>
    <phoneticPr fontId="1" type="noConversion"/>
  </si>
  <si>
    <t>천경민</t>
    <phoneticPr fontId="1" type="noConversion"/>
  </si>
  <si>
    <t>오설아</t>
    <phoneticPr fontId="1" type="noConversion"/>
  </si>
  <si>
    <t>이서진</t>
    <phoneticPr fontId="1" type="noConversion"/>
  </si>
  <si>
    <t>박슬람</t>
    <phoneticPr fontId="1" type="noConversion"/>
  </si>
  <si>
    <t>임현희</t>
    <phoneticPr fontId="1" type="noConversion"/>
  </si>
  <si>
    <t>서진규</t>
    <phoneticPr fontId="1" type="noConversion"/>
  </si>
  <si>
    <t>최영태</t>
    <phoneticPr fontId="1" type="noConversion"/>
  </si>
  <si>
    <t>정희진</t>
    <phoneticPr fontId="1" type="noConversion"/>
  </si>
  <si>
    <t>염인식</t>
    <phoneticPr fontId="1" type="noConversion"/>
  </si>
  <si>
    <t>노유진</t>
    <phoneticPr fontId="1" type="noConversion"/>
  </si>
  <si>
    <t>조아영</t>
    <phoneticPr fontId="1" type="noConversion"/>
  </si>
  <si>
    <t>차부영</t>
    <phoneticPr fontId="1" type="noConversion"/>
  </si>
  <si>
    <t>맹선영</t>
    <phoneticPr fontId="1" type="noConversion"/>
  </si>
  <si>
    <t>권민지</t>
    <phoneticPr fontId="1" type="noConversion"/>
  </si>
  <si>
    <t>김민우</t>
    <phoneticPr fontId="1" type="noConversion"/>
  </si>
  <si>
    <t>9월</t>
    <phoneticPr fontId="1" type="noConversion"/>
  </si>
  <si>
    <t>9월</t>
    <phoneticPr fontId="1" type="noConversion"/>
  </si>
  <si>
    <t>10월</t>
    <phoneticPr fontId="1" type="noConversion"/>
  </si>
  <si>
    <t>10월</t>
    <phoneticPr fontId="1" type="noConversion"/>
  </si>
  <si>
    <t>10월</t>
    <phoneticPr fontId="1" type="noConversion"/>
  </si>
  <si>
    <t>신승아</t>
    <phoneticPr fontId="1" type="noConversion"/>
  </si>
  <si>
    <t>장서빈</t>
    <phoneticPr fontId="1" type="noConversion"/>
  </si>
  <si>
    <t>전용화</t>
    <phoneticPr fontId="1" type="noConversion"/>
  </si>
  <si>
    <t>이승준</t>
    <phoneticPr fontId="1" type="noConversion"/>
  </si>
  <si>
    <t>안재용</t>
    <phoneticPr fontId="1" type="noConversion"/>
  </si>
  <si>
    <t>정은아</t>
    <phoneticPr fontId="1" type="noConversion"/>
  </si>
  <si>
    <t>조관희</t>
    <phoneticPr fontId="1" type="noConversion"/>
  </si>
  <si>
    <t>구진모</t>
    <phoneticPr fontId="1" type="noConversion"/>
  </si>
  <si>
    <t>조윤동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</si>
</sst>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_);[Red]\(#,##0\)"/>
    <numFmt numFmtId="178" formatCode="#,##0.0"/>
    <numFmt numFmtId="179" formatCode="_-* #,##0_-;\-* #,##0_-;_-* &quot;-&quot;??_-;_-@_-"/>
    <numFmt numFmtId="180" formatCode="&quot;임차료 15% 적용시 &quot;###,###"/>
    <numFmt numFmtId="181" formatCode="&quot;카페쿠피&quot;\ #&quot;월 영업이익 실적&quot;"/>
    <numFmt numFmtId="182" formatCode="0.0%"/>
    <numFmt numFmtId="183" formatCode="[$-F800]dddd\,\ mmmm\ dd\,\ yyyy"/>
    <numFmt numFmtId="184" formatCode="_-* #,##0.00_-;\-* #,##0.00_-;_-* &quot;-&quot;_-;_-@_-"/>
    <numFmt numFmtId="185" formatCode="_-* #,##0_-;\-* #,##0_-;_-* &quot;-&quot;?_-;_-@_-"/>
    <numFmt numFmtId="186" formatCode="0.000%"/>
    <numFmt numFmtId="187" formatCode="0.0"/>
  </numFmts>
  <fonts count="7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6"/>
      <color theme="0" tint="-0.499984740745262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2"/>
      <color indexed="8"/>
      <name val="바탕체"/>
      <family val="1"/>
      <charset val="129"/>
    </font>
    <font>
      <sz val="10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한컴바탕"/>
      <family val="1"/>
      <charset val="129"/>
    </font>
    <font>
      <sz val="12"/>
      <color indexed="8"/>
      <name val="돋움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굴림체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i/>
      <sz val="10"/>
      <color indexed="8"/>
      <name val="Arial"/>
      <family val="2"/>
    </font>
    <font>
      <sz val="11"/>
      <name val="돋움"/>
      <family val="3"/>
      <charset val="129"/>
    </font>
    <font>
      <sz val="11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돋움"/>
      <family val="3"/>
      <charset val="129"/>
    </font>
    <font>
      <sz val="10"/>
      <name val="Arial"/>
      <family val="2"/>
    </font>
    <font>
      <sz val="11"/>
      <color theme="1"/>
      <name val="굴림"/>
      <family val="3"/>
      <charset val="129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000000"/>
      <name val="나눔스퀘어_a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1"/>
      <color theme="1"/>
      <name val="KoPub돋움체 Medium"/>
      <family val="1"/>
      <charset val="129"/>
    </font>
    <font>
      <sz val="11"/>
      <color theme="1"/>
      <name val="KoPub돋움체 Medium"/>
      <family val="1"/>
      <charset val="129"/>
    </font>
    <font>
      <b/>
      <sz val="11"/>
      <color rgb="FFFF0000"/>
      <name val="KoPub돋움체 Medium"/>
      <family val="1"/>
      <charset val="129"/>
    </font>
    <font>
      <b/>
      <sz val="11"/>
      <color theme="0"/>
      <name val="KoPub돋움체 Medium"/>
      <family val="1"/>
      <charset val="129"/>
    </font>
    <font>
      <sz val="11"/>
      <name val="KoPub돋움체 Medium"/>
      <family val="1"/>
      <charset val="129"/>
    </font>
  </fonts>
  <fills count="45">
    <fill>
      <patternFill patternType="none"/>
    </fill>
    <fill>
      <patternFill patternType="gray125"/>
    </fill>
    <fill>
      <patternFill patternType="solid">
        <fgColor rgb="FFCAE7E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EB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2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medium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/>
      <top style="medium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theme="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1"/>
      </left>
      <right/>
      <top/>
      <bottom style="medium">
        <color theme="3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auto="1"/>
      </left>
      <right style="medium">
        <color theme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rgb="FFFF0000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 style="medium">
        <color theme="1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medium">
        <color theme="1"/>
      </right>
      <top style="thin">
        <color theme="1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FF0000"/>
      </bottom>
      <diagonal/>
    </border>
    <border>
      <left/>
      <right/>
      <top style="thin">
        <color theme="1"/>
      </top>
      <bottom style="medium">
        <color rgb="FFFF0000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/>
      <top style="thin">
        <color auto="1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/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indexed="64"/>
      </right>
      <top style="medium">
        <color rgb="FFFF000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medium">
        <color rgb="FFFF0000"/>
      </top>
      <bottom style="thin">
        <color theme="1"/>
      </bottom>
      <diagonal/>
    </border>
    <border>
      <left/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thin">
        <color theme="3" tint="-0.24994659260841701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 style="thin">
        <color theme="3" tint="-0.24994659260841701"/>
      </right>
      <top/>
      <bottom style="medium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medium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medium">
        <color theme="3" tint="-0.2499465926084170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3" tint="-0.24994659260841701"/>
      </top>
      <bottom/>
      <diagonal/>
    </border>
    <border>
      <left style="medium">
        <color rgb="FFFF0000"/>
      </left>
      <right style="thin">
        <color theme="3" tint="-0.24994659260841701"/>
      </right>
      <top style="thin">
        <color indexed="64"/>
      </top>
      <bottom/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 style="medium">
        <color theme="3" tint="-0.24994659260841701"/>
      </bottom>
      <diagonal/>
    </border>
    <border>
      <left/>
      <right/>
      <top style="medium">
        <color indexed="64"/>
      </top>
      <bottom style="medium">
        <color theme="3" tint="-0.2499465926084170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3" tint="-0.24994659260841701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theme="3" tint="-0.24994659260841701"/>
      </bottom>
      <diagonal/>
    </border>
    <border>
      <left style="thin">
        <color theme="1"/>
      </left>
      <right/>
      <top style="medium">
        <color indexed="64"/>
      </top>
      <bottom style="medium">
        <color theme="3" tint="-0.24994659260841701"/>
      </bottom>
      <diagonal/>
    </border>
    <border>
      <left/>
      <right style="thin">
        <color theme="1"/>
      </right>
      <top/>
      <bottom style="medium">
        <color theme="3" tint="-0.24994659260841701"/>
      </bottom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3" tint="-0.24994659260841701"/>
      </right>
      <top style="medium">
        <color indexed="64"/>
      </top>
      <bottom style="medium">
        <color theme="3" tint="-0.24994659260841701"/>
      </bottom>
      <diagonal/>
    </border>
    <border>
      <left style="thin">
        <color theme="3" tint="-0.2499465926084170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</borders>
  <cellStyleXfs count="16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9" fillId="0" borderId="0"/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7" borderId="31" applyNumberFormat="0" applyAlignment="0" applyProtection="0">
      <alignment vertical="center"/>
    </xf>
    <xf numFmtId="0" fontId="19" fillId="0" borderId="0"/>
    <xf numFmtId="0" fontId="27" fillId="10" borderId="0" applyNumberFormat="0" applyBorder="0" applyAlignment="0" applyProtection="0">
      <alignment vertical="center"/>
    </xf>
    <xf numFmtId="0" fontId="21" fillId="28" borderId="32" applyNumberFormat="0" applyFont="0" applyAlignment="0" applyProtection="0">
      <alignment vertical="center"/>
    </xf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0" fontId="30" fillId="29" borderId="0" applyNumberFormat="0" applyBorder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32" fillId="30" borderId="33" applyNumberFormat="0" applyAlignment="0" applyProtection="0">
      <alignment vertical="center"/>
    </xf>
    <xf numFmtId="41" fontId="2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9" fillId="0" borderId="0"/>
    <xf numFmtId="0" fontId="36" fillId="0" borderId="34" applyNumberFormat="0" applyFill="0" applyAlignment="0" applyProtection="0">
      <alignment vertical="center"/>
    </xf>
    <xf numFmtId="0" fontId="37" fillId="0" borderId="35" applyNumberFormat="0" applyFill="0" applyAlignment="0" applyProtection="0">
      <alignment vertical="center"/>
    </xf>
    <xf numFmtId="0" fontId="38" fillId="14" borderId="31" applyNumberFormat="0" applyAlignment="0" applyProtection="0">
      <alignment vertical="center"/>
    </xf>
    <xf numFmtId="0" fontId="39" fillId="0" borderId="36" applyNumberFormat="0" applyFill="0" applyAlignment="0" applyProtection="0">
      <alignment vertical="center"/>
    </xf>
    <xf numFmtId="0" fontId="40" fillId="0" borderId="37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27" borderId="39" applyNumberFormat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1" fillId="0" borderId="0">
      <alignment vertical="center"/>
    </xf>
    <xf numFmtId="0" fontId="5" fillId="0" borderId="0">
      <alignment vertical="center"/>
    </xf>
    <xf numFmtId="0" fontId="4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6" fillId="0" borderId="0"/>
    <xf numFmtId="0" fontId="21" fillId="0" borderId="0">
      <alignment vertical="center"/>
    </xf>
    <xf numFmtId="0" fontId="2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1" fillId="0" borderId="0">
      <alignment vertical="center"/>
    </xf>
    <xf numFmtId="0" fontId="35" fillId="0" borderId="0">
      <alignment vertical="center"/>
    </xf>
    <xf numFmtId="0" fontId="5" fillId="0" borderId="0">
      <alignment vertical="center"/>
    </xf>
    <xf numFmtId="0" fontId="46" fillId="0" borderId="0"/>
    <xf numFmtId="0" fontId="47" fillId="0" borderId="0">
      <alignment vertical="center"/>
    </xf>
    <xf numFmtId="0" fontId="21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1" fontId="3" fillId="0" borderId="0" applyFont="0" applyFill="0" applyBorder="0" applyAlignment="0" applyProtection="0">
      <alignment vertical="center"/>
    </xf>
  </cellStyleXfs>
  <cellXfs count="81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3">
      <alignment vertical="center"/>
    </xf>
    <xf numFmtId="0" fontId="10" fillId="0" borderId="0" xfId="3" applyFont="1">
      <alignment vertical="center"/>
    </xf>
    <xf numFmtId="0" fontId="2" fillId="0" borderId="0" xfId="3" applyFont="1">
      <alignment vertical="center"/>
    </xf>
    <xf numFmtId="0" fontId="2" fillId="0" borderId="0" xfId="3" applyFont="1" applyBorder="1">
      <alignment vertical="center"/>
    </xf>
    <xf numFmtId="177" fontId="2" fillId="0" borderId="0" xfId="3" applyNumberFormat="1" applyFont="1" applyBorder="1" applyAlignment="1">
      <alignment vertical="center"/>
    </xf>
    <xf numFmtId="178" fontId="11" fillId="0" borderId="0" xfId="3" applyNumberFormat="1" applyFont="1" applyFill="1" applyBorder="1" applyAlignment="1">
      <alignment horizontal="right" vertical="center"/>
    </xf>
    <xf numFmtId="178" fontId="14" fillId="0" borderId="0" xfId="3" applyNumberFormat="1" applyFont="1" applyFill="1" applyBorder="1" applyAlignment="1">
      <alignment horizontal="right" vertical="center"/>
    </xf>
    <xf numFmtId="41" fontId="2" fillId="0" borderId="0" xfId="3" applyNumberFormat="1" applyFont="1">
      <alignment vertical="center"/>
    </xf>
    <xf numFmtId="41" fontId="2" fillId="0" borderId="0" xfId="4" applyFont="1">
      <alignment vertical="center"/>
    </xf>
    <xf numFmtId="41" fontId="0" fillId="0" borderId="0" xfId="4" applyFont="1">
      <alignment vertical="center"/>
    </xf>
    <xf numFmtId="0" fontId="5" fillId="0" borderId="0" xfId="3" applyBorder="1">
      <alignment vertical="center"/>
    </xf>
    <xf numFmtId="0" fontId="7" fillId="0" borderId="0" xfId="3" applyFont="1" applyBorder="1" applyAlignment="1">
      <alignment vertical="center"/>
    </xf>
    <xf numFmtId="0" fontId="9" fillId="0" borderId="0" xfId="3" applyFont="1" applyBorder="1" applyAlignment="1">
      <alignment horizontal="center" vertical="center"/>
    </xf>
    <xf numFmtId="0" fontId="5" fillId="0" borderId="0" xfId="3" applyFill="1">
      <alignment vertical="center"/>
    </xf>
    <xf numFmtId="0" fontId="5" fillId="0" borderId="0" xfId="3" applyFill="1" applyBorder="1">
      <alignment vertical="center"/>
    </xf>
    <xf numFmtId="0" fontId="9" fillId="0" borderId="0" xfId="3" applyFont="1" applyFill="1" applyBorder="1" applyAlignment="1">
      <alignment horizontal="center" vertical="center"/>
    </xf>
    <xf numFmtId="178" fontId="10" fillId="0" borderId="0" xfId="3" applyNumberFormat="1" applyFont="1" applyFill="1" applyBorder="1" applyAlignment="1">
      <alignment horizontal="right" vertical="center"/>
    </xf>
    <xf numFmtId="177" fontId="10" fillId="0" borderId="0" xfId="3" applyNumberFormat="1" applyFont="1" applyFill="1" applyBorder="1" applyAlignment="1">
      <alignment horizontal="center" vertical="center"/>
    </xf>
    <xf numFmtId="0" fontId="15" fillId="0" borderId="0" xfId="3" applyFont="1" applyBorder="1" applyAlignment="1">
      <alignment vertical="center"/>
    </xf>
    <xf numFmtId="0" fontId="16" fillId="0" borderId="0" xfId="3" applyFont="1">
      <alignment vertical="center"/>
    </xf>
    <xf numFmtId="0" fontId="16" fillId="0" borderId="0" xfId="3" applyFont="1" applyBorder="1">
      <alignment vertical="center"/>
    </xf>
    <xf numFmtId="0" fontId="16" fillId="0" borderId="0" xfId="3" applyFont="1" applyBorder="1" applyAlignment="1">
      <alignment vertical="center"/>
    </xf>
    <xf numFmtId="178" fontId="8" fillId="0" borderId="10" xfId="3" applyNumberFormat="1" applyFont="1" applyFill="1" applyBorder="1" applyAlignment="1">
      <alignment horizontal="right" vertical="center"/>
    </xf>
    <xf numFmtId="178" fontId="48" fillId="0" borderId="10" xfId="3" applyNumberFormat="1" applyFont="1" applyFill="1" applyBorder="1" applyAlignment="1">
      <alignment vertical="center"/>
    </xf>
    <xf numFmtId="178" fontId="49" fillId="0" borderId="18" xfId="3" applyNumberFormat="1" applyFont="1" applyFill="1" applyBorder="1" applyAlignment="1">
      <alignment horizontal="left" vertical="center" wrapText="1"/>
    </xf>
    <xf numFmtId="49" fontId="49" fillId="0" borderId="10" xfId="3" applyNumberFormat="1" applyFont="1" applyFill="1" applyBorder="1" applyAlignment="1">
      <alignment horizontal="left" vertical="center" wrapText="1"/>
    </xf>
    <xf numFmtId="178" fontId="49" fillId="0" borderId="10" xfId="3" applyNumberFormat="1" applyFont="1" applyFill="1" applyBorder="1" applyAlignment="1">
      <alignment horizontal="left" vertical="center" wrapText="1"/>
    </xf>
    <xf numFmtId="178" fontId="49" fillId="0" borderId="10" xfId="3" applyNumberFormat="1" applyFont="1" applyFill="1" applyBorder="1" applyAlignment="1">
      <alignment horizontal="left" vertical="center"/>
    </xf>
    <xf numFmtId="41" fontId="0" fillId="0" borderId="0" xfId="1" applyFont="1" applyAlignment="1">
      <alignment vertical="center"/>
    </xf>
    <xf numFmtId="0" fontId="51" fillId="0" borderId="0" xfId="0" applyFont="1" applyAlignment="1">
      <alignment horizontal="center" vertical="center"/>
    </xf>
    <xf numFmtId="41" fontId="51" fillId="0" borderId="0" xfId="1" applyFont="1" applyAlignment="1">
      <alignment horizontal="center" vertical="center"/>
    </xf>
    <xf numFmtId="0" fontId="51" fillId="0" borderId="45" xfId="0" applyFont="1" applyBorder="1" applyAlignment="1">
      <alignment horizontal="center" vertical="center"/>
    </xf>
    <xf numFmtId="49" fontId="0" fillId="33" borderId="0" xfId="0" applyNumberFormat="1" applyFill="1" applyBorder="1" applyAlignment="1">
      <alignment horizontal="left" vertical="center"/>
    </xf>
    <xf numFmtId="176" fontId="0" fillId="33" borderId="42" xfId="0" applyNumberFormat="1" applyFill="1" applyBorder="1" applyAlignment="1">
      <alignment horizontal="right" vertical="center"/>
    </xf>
    <xf numFmtId="49" fontId="0" fillId="33" borderId="42" xfId="0" applyNumberFormat="1" applyFill="1" applyBorder="1" applyAlignment="1">
      <alignment horizontal="left" vertical="center"/>
    </xf>
    <xf numFmtId="0" fontId="51" fillId="0" borderId="54" xfId="0" applyFont="1" applyBorder="1" applyAlignment="1">
      <alignment horizontal="center" vertical="center"/>
    </xf>
    <xf numFmtId="0" fontId="51" fillId="0" borderId="51" xfId="0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41" fontId="51" fillId="0" borderId="0" xfId="1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41" fontId="0" fillId="0" borderId="0" xfId="0" applyNumberFormat="1" applyBorder="1">
      <alignment vertical="center"/>
    </xf>
    <xf numFmtId="176" fontId="0" fillId="7" borderId="6" xfId="0" applyNumberFormat="1" applyFill="1" applyBorder="1" applyAlignment="1">
      <alignment horizontal="right" vertical="center"/>
    </xf>
    <xf numFmtId="176" fontId="0" fillId="7" borderId="7" xfId="0" applyNumberFormat="1" applyFill="1" applyBorder="1" applyAlignment="1">
      <alignment horizontal="right" vertical="center"/>
    </xf>
    <xf numFmtId="49" fontId="0" fillId="7" borderId="8" xfId="0" applyNumberFormat="1" applyFill="1" applyBorder="1" applyAlignment="1">
      <alignment horizontal="left" vertical="center"/>
    </xf>
    <xf numFmtId="41" fontId="52" fillId="0" borderId="58" xfId="0" applyNumberFormat="1" applyFont="1" applyBorder="1">
      <alignment vertical="center"/>
    </xf>
    <xf numFmtId="41" fontId="52" fillId="0" borderId="48" xfId="1" applyFont="1" applyFill="1" applyBorder="1" applyAlignment="1">
      <alignment horizontal="center" vertical="center"/>
    </xf>
    <xf numFmtId="0" fontId="51" fillId="0" borderId="49" xfId="0" applyFont="1" applyBorder="1" applyAlignment="1">
      <alignment horizontal="center" vertical="center"/>
    </xf>
    <xf numFmtId="176" fontId="0" fillId="33" borderId="0" xfId="0" applyNumberFormat="1" applyFill="1" applyBorder="1" applyAlignment="1">
      <alignment horizontal="right" vertical="center"/>
    </xf>
    <xf numFmtId="41" fontId="52" fillId="0" borderId="59" xfId="0" applyNumberFormat="1" applyFont="1" applyBorder="1">
      <alignment vertical="center"/>
    </xf>
    <xf numFmtId="41" fontId="52" fillId="0" borderId="60" xfId="1" applyFont="1" applyFill="1" applyBorder="1" applyAlignment="1">
      <alignment horizontal="center" vertical="center"/>
    </xf>
    <xf numFmtId="41" fontId="52" fillId="0" borderId="7" xfId="1" applyFont="1" applyFill="1" applyBorder="1" applyAlignment="1">
      <alignment horizontal="center" vertical="center"/>
    </xf>
    <xf numFmtId="41" fontId="52" fillId="0" borderId="8" xfId="1" applyFont="1" applyFill="1" applyBorder="1" applyAlignment="1">
      <alignment horizontal="center" vertical="center"/>
    </xf>
    <xf numFmtId="0" fontId="51" fillId="0" borderId="44" xfId="0" applyFont="1" applyBorder="1" applyAlignment="1">
      <alignment horizontal="center" vertical="center"/>
    </xf>
    <xf numFmtId="9" fontId="51" fillId="0" borderId="0" xfId="2" applyFont="1" applyAlignment="1">
      <alignment horizontal="center" vertical="center"/>
    </xf>
    <xf numFmtId="41" fontId="51" fillId="32" borderId="56" xfId="0" applyNumberFormat="1" applyFont="1" applyFill="1" applyBorder="1">
      <alignment vertical="center"/>
    </xf>
    <xf numFmtId="41" fontId="51" fillId="32" borderId="57" xfId="0" applyNumberFormat="1" applyFont="1" applyFill="1" applyBorder="1" applyAlignment="1">
      <alignment horizontal="center" vertical="center"/>
    </xf>
    <xf numFmtId="41" fontId="51" fillId="32" borderId="52" xfId="0" applyNumberFormat="1" applyFont="1" applyFill="1" applyBorder="1" applyAlignment="1">
      <alignment horizontal="center" vertical="center"/>
    </xf>
    <xf numFmtId="0" fontId="51" fillId="32" borderId="9" xfId="0" applyFont="1" applyFill="1" applyBorder="1" applyAlignment="1">
      <alignment horizontal="center" vertical="center"/>
    </xf>
    <xf numFmtId="41" fontId="52" fillId="0" borderId="50" xfId="0" applyNumberFormat="1" applyFont="1" applyBorder="1">
      <alignment vertical="center"/>
    </xf>
    <xf numFmtId="0" fontId="0" fillId="7" borderId="46" xfId="0" applyFill="1" applyBorder="1" applyAlignment="1">
      <alignment horizontal="center" vertical="center"/>
    </xf>
    <xf numFmtId="41" fontId="50" fillId="0" borderId="58" xfId="0" applyNumberFormat="1" applyFont="1" applyBorder="1">
      <alignment vertical="center"/>
    </xf>
    <xf numFmtId="41" fontId="4" fillId="0" borderId="42" xfId="1" applyFont="1" applyFill="1" applyBorder="1" applyAlignment="1">
      <alignment horizontal="center" vertical="center"/>
    </xf>
    <xf numFmtId="0" fontId="51" fillId="0" borderId="64" xfId="0" applyFont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41" fontId="50" fillId="0" borderId="58" xfId="0" applyNumberFormat="1" applyFont="1" applyFill="1" applyBorder="1">
      <alignment vertical="center"/>
    </xf>
    <xf numFmtId="41" fontId="4" fillId="0" borderId="42" xfId="1" applyFon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41" fontId="50" fillId="31" borderId="58" xfId="0" applyNumberFormat="1" applyFont="1" applyFill="1" applyBorder="1">
      <alignment vertical="center"/>
    </xf>
    <xf numFmtId="0" fontId="51" fillId="31" borderId="64" xfId="0" applyFont="1" applyFill="1" applyBorder="1" applyAlignment="1">
      <alignment horizontal="center" vertical="center"/>
    </xf>
    <xf numFmtId="0" fontId="0" fillId="7" borderId="6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 applyAlignment="1">
      <alignment horizontal="center" vertical="center"/>
    </xf>
    <xf numFmtId="0" fontId="50" fillId="0" borderId="0" xfId="0" applyFont="1" applyAlignment="1">
      <alignment horizontal="right" vertical="center"/>
    </xf>
    <xf numFmtId="178" fontId="49" fillId="0" borderId="10" xfId="3" applyNumberFormat="1" applyFont="1" applyFill="1" applyBorder="1" applyAlignment="1">
      <alignment vertical="center" wrapText="1"/>
    </xf>
    <xf numFmtId="177" fontId="2" fillId="0" borderId="0" xfId="3" applyNumberFormat="1" applyFont="1" applyFill="1" applyBorder="1" applyAlignment="1">
      <alignment vertical="center"/>
    </xf>
    <xf numFmtId="0" fontId="2" fillId="0" borderId="0" xfId="3" applyFont="1" applyFill="1" applyBorder="1">
      <alignment vertical="center"/>
    </xf>
    <xf numFmtId="0" fontId="2" fillId="0" borderId="0" xfId="3" applyFont="1" applyFill="1">
      <alignment vertical="center"/>
    </xf>
    <xf numFmtId="0" fontId="49" fillId="0" borderId="0" xfId="3" applyFont="1" applyBorder="1" applyAlignment="1">
      <alignment vertical="center"/>
    </xf>
    <xf numFmtId="0" fontId="49" fillId="0" borderId="0" xfId="3" applyFont="1" applyFill="1" applyBorder="1" applyAlignment="1">
      <alignment horizontal="right" vertical="center"/>
    </xf>
    <xf numFmtId="177" fontId="49" fillId="4" borderId="22" xfId="3" applyNumberFormat="1" applyFont="1" applyFill="1" applyBorder="1" applyAlignment="1">
      <alignment horizontal="center" vertical="center"/>
    </xf>
    <xf numFmtId="41" fontId="8" fillId="0" borderId="14" xfId="4" applyFont="1" applyFill="1" applyBorder="1" applyAlignment="1">
      <alignment horizontal="right" vertical="center"/>
    </xf>
    <xf numFmtId="41" fontId="8" fillId="0" borderId="19" xfId="4" applyFont="1" applyFill="1" applyBorder="1" applyAlignment="1">
      <alignment horizontal="right" vertical="center"/>
    </xf>
    <xf numFmtId="179" fontId="8" fillId="0" borderId="11" xfId="4" applyNumberFormat="1" applyFont="1" applyFill="1" applyBorder="1" applyAlignment="1">
      <alignment horizontal="right" vertical="center"/>
    </xf>
    <xf numFmtId="41" fontId="8" fillId="0" borderId="11" xfId="4" applyFont="1" applyFill="1" applyBorder="1" applyAlignment="1">
      <alignment horizontal="right" vertical="center"/>
    </xf>
    <xf numFmtId="0" fontId="49" fillId="0" borderId="16" xfId="3" applyFont="1" applyFill="1" applyBorder="1" applyAlignment="1">
      <alignment vertical="center"/>
    </xf>
    <xf numFmtId="41" fontId="49" fillId="8" borderId="12" xfId="4" applyFont="1" applyFill="1" applyBorder="1" applyAlignment="1">
      <alignment horizontal="left" vertical="center"/>
    </xf>
    <xf numFmtId="41" fontId="49" fillId="8" borderId="14" xfId="4" applyFont="1" applyFill="1" applyBorder="1" applyAlignment="1">
      <alignment horizontal="right" vertical="center"/>
    </xf>
    <xf numFmtId="41" fontId="49" fillId="8" borderId="11" xfId="4" applyFont="1" applyFill="1" applyBorder="1" applyAlignment="1">
      <alignment horizontal="right" vertical="center"/>
    </xf>
    <xf numFmtId="178" fontId="49" fillId="8" borderId="10" xfId="3" applyNumberFormat="1" applyFont="1" applyFill="1" applyBorder="1" applyAlignment="1">
      <alignment horizontal="right" vertical="center"/>
    </xf>
    <xf numFmtId="41" fontId="49" fillId="0" borderId="12" xfId="4" applyFont="1" applyFill="1" applyBorder="1" applyAlignment="1">
      <alignment horizontal="left" vertical="center"/>
    </xf>
    <xf numFmtId="41" fontId="49" fillId="0" borderId="14" xfId="4" applyFont="1" applyFill="1" applyBorder="1" applyAlignment="1">
      <alignment horizontal="right" vertical="center"/>
    </xf>
    <xf numFmtId="41" fontId="49" fillId="0" borderId="11" xfId="4" applyFont="1" applyFill="1" applyBorder="1" applyAlignment="1">
      <alignment horizontal="right" vertical="center"/>
    </xf>
    <xf numFmtId="41" fontId="49" fillId="0" borderId="12" xfId="4" applyFont="1" applyFill="1" applyBorder="1" applyAlignment="1">
      <alignment horizontal="left" vertical="center" wrapText="1"/>
    </xf>
    <xf numFmtId="0" fontId="49" fillId="0" borderId="15" xfId="3" applyFont="1" applyFill="1" applyBorder="1" applyAlignment="1">
      <alignment vertical="center"/>
    </xf>
    <xf numFmtId="41" fontId="49" fillId="0" borderId="12" xfId="4" applyFont="1" applyFill="1" applyBorder="1" applyAlignment="1">
      <alignment vertical="center" wrapText="1"/>
    </xf>
    <xf numFmtId="41" fontId="49" fillId="0" borderId="11" xfId="4" applyFont="1" applyFill="1" applyBorder="1" applyAlignment="1">
      <alignment vertical="center"/>
    </xf>
    <xf numFmtId="41" fontId="8" fillId="4" borderId="14" xfId="4" applyFont="1" applyFill="1" applyBorder="1" applyAlignment="1">
      <alignment horizontal="right" vertical="center"/>
    </xf>
    <xf numFmtId="41" fontId="8" fillId="4" borderId="11" xfId="4" applyFont="1" applyFill="1" applyBorder="1" applyAlignment="1">
      <alignment vertical="center"/>
    </xf>
    <xf numFmtId="178" fontId="8" fillId="4" borderId="10" xfId="3" applyNumberFormat="1" applyFont="1" applyFill="1" applyBorder="1" applyAlignment="1">
      <alignment vertical="center"/>
    </xf>
    <xf numFmtId="41" fontId="8" fillId="0" borderId="11" xfId="4" applyFont="1" applyFill="1" applyBorder="1" applyAlignment="1">
      <alignment vertical="center"/>
    </xf>
    <xf numFmtId="178" fontId="8" fillId="0" borderId="10" xfId="3" applyNumberFormat="1" applyFont="1" applyFill="1" applyBorder="1" applyAlignment="1">
      <alignment vertical="center"/>
    </xf>
    <xf numFmtId="0" fontId="8" fillId="0" borderId="16" xfId="3" applyFont="1" applyFill="1" applyBorder="1" applyAlignment="1">
      <alignment vertical="center"/>
    </xf>
    <xf numFmtId="0" fontId="8" fillId="0" borderId="15" xfId="3" applyFont="1" applyFill="1" applyBorder="1" applyAlignment="1">
      <alignment vertical="center"/>
    </xf>
    <xf numFmtId="0" fontId="54" fillId="0" borderId="0" xfId="0" applyFont="1" applyAlignment="1">
      <alignment horizontal="left" vertical="center" indent="1" readingOrder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49" fontId="7" fillId="2" borderId="1" xfId="0" applyNumberFormat="1" applyFont="1" applyFill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9" fontId="7" fillId="6" borderId="1" xfId="2" applyFont="1" applyFill="1" applyBorder="1" applyAlignment="1">
      <alignment vertical="center"/>
    </xf>
    <xf numFmtId="0" fontId="7" fillId="0" borderId="66" xfId="0" applyFont="1" applyBorder="1" applyAlignment="1">
      <alignment horizontal="center" vertical="center"/>
    </xf>
    <xf numFmtId="41" fontId="7" fillId="0" borderId="66" xfId="1" applyFont="1" applyBorder="1" applyAlignment="1">
      <alignment vertical="center"/>
    </xf>
    <xf numFmtId="0" fontId="7" fillId="0" borderId="66" xfId="0" applyFont="1" applyBorder="1" applyAlignment="1">
      <alignment vertical="center"/>
    </xf>
    <xf numFmtId="0" fontId="7" fillId="0" borderId="0" xfId="0" applyFont="1" applyFill="1" applyAlignment="1">
      <alignment vertical="center"/>
    </xf>
    <xf numFmtId="0" fontId="49" fillId="0" borderId="69" xfId="3" applyFont="1" applyBorder="1">
      <alignment vertical="center"/>
    </xf>
    <xf numFmtId="0" fontId="49" fillId="0" borderId="0" xfId="3" applyFont="1">
      <alignment vertical="center"/>
    </xf>
    <xf numFmtId="41" fontId="49" fillId="0" borderId="70" xfId="3" applyNumberFormat="1" applyFont="1" applyBorder="1">
      <alignment vertical="center"/>
    </xf>
    <xf numFmtId="41" fontId="0" fillId="0" borderId="0" xfId="1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4" fillId="0" borderId="73" xfId="0" applyFont="1" applyBorder="1">
      <alignment vertical="center"/>
    </xf>
    <xf numFmtId="0" fontId="4" fillId="0" borderId="73" xfId="0" applyFont="1" applyBorder="1" applyAlignment="1">
      <alignment horizontal="center" vertical="center"/>
    </xf>
    <xf numFmtId="41" fontId="4" fillId="0" borderId="73" xfId="1" applyFont="1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0" fillId="7" borderId="0" xfId="0" applyFill="1" applyBorder="1" applyAlignment="1">
      <alignment horizontal="center" vertical="center"/>
    </xf>
    <xf numFmtId="0" fontId="51" fillId="0" borderId="86" xfId="0" applyFont="1" applyBorder="1" applyAlignment="1">
      <alignment horizontal="center" vertical="center"/>
    </xf>
    <xf numFmtId="0" fontId="51" fillId="7" borderId="9" xfId="0" applyFont="1" applyFill="1" applyBorder="1" applyAlignment="1">
      <alignment horizontal="center" vertical="center"/>
    </xf>
    <xf numFmtId="41" fontId="52" fillId="7" borderId="55" xfId="1" applyFont="1" applyFill="1" applyBorder="1" applyAlignment="1">
      <alignment horizontal="center" vertical="center"/>
    </xf>
    <xf numFmtId="41" fontId="52" fillId="7" borderId="56" xfId="0" applyNumberFormat="1" applyFont="1" applyFill="1" applyBorder="1">
      <alignment vertical="center"/>
    </xf>
    <xf numFmtId="49" fontId="7" fillId="0" borderId="0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right" vertical="center"/>
    </xf>
    <xf numFmtId="9" fontId="7" fillId="0" borderId="0" xfId="2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42" xfId="0" applyFont="1" applyBorder="1" applyAlignment="1">
      <alignment horizontal="center" vertical="center"/>
    </xf>
    <xf numFmtId="41" fontId="7" fillId="0" borderId="42" xfId="1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176" fontId="4" fillId="0" borderId="42" xfId="0" applyNumberFormat="1" applyFont="1" applyFill="1" applyBorder="1" applyAlignment="1">
      <alignment horizontal="right" vertical="center"/>
    </xf>
    <xf numFmtId="41" fontId="4" fillId="0" borderId="42" xfId="1" applyFont="1" applyFill="1" applyBorder="1" applyAlignment="1">
      <alignment horizontal="right" vertical="center"/>
    </xf>
    <xf numFmtId="41" fontId="4" fillId="0" borderId="66" xfId="1" applyFont="1" applyFill="1" applyBorder="1" applyAlignment="1">
      <alignment horizontal="right" vertical="center"/>
    </xf>
    <xf numFmtId="176" fontId="4" fillId="0" borderId="66" xfId="0" applyNumberFormat="1" applyFont="1" applyFill="1" applyBorder="1" applyAlignment="1">
      <alignment horizontal="right" vertical="center"/>
    </xf>
    <xf numFmtId="41" fontId="4" fillId="0" borderId="2" xfId="1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right" vertical="center"/>
    </xf>
    <xf numFmtId="41" fontId="4" fillId="0" borderId="2" xfId="1" applyFont="1" applyFill="1" applyBorder="1" applyAlignment="1">
      <alignment horizontal="right" vertical="center"/>
    </xf>
    <xf numFmtId="41" fontId="4" fillId="0" borderId="92" xfId="1" applyFont="1" applyFill="1" applyBorder="1" applyAlignment="1">
      <alignment horizontal="right" vertical="center"/>
    </xf>
    <xf numFmtId="41" fontId="4" fillId="0" borderId="93" xfId="1" applyFont="1" applyFill="1" applyBorder="1" applyAlignment="1">
      <alignment horizontal="right" vertical="center"/>
    </xf>
    <xf numFmtId="41" fontId="4" fillId="0" borderId="94" xfId="1" applyFont="1" applyFill="1" applyBorder="1" applyAlignment="1">
      <alignment horizontal="right" vertical="center"/>
    </xf>
    <xf numFmtId="41" fontId="4" fillId="0" borderId="48" xfId="1" applyFont="1" applyFill="1" applyBorder="1" applyAlignment="1">
      <alignment horizontal="left" vertical="center"/>
    </xf>
    <xf numFmtId="41" fontId="4" fillId="0" borderId="3" xfId="1" applyFont="1" applyFill="1" applyBorder="1" applyAlignment="1">
      <alignment horizontal="right" vertical="center"/>
    </xf>
    <xf numFmtId="41" fontId="4" fillId="0" borderId="83" xfId="1" applyFont="1" applyFill="1" applyBorder="1" applyAlignment="1">
      <alignment horizontal="right" vertical="center"/>
    </xf>
    <xf numFmtId="49" fontId="4" fillId="33" borderId="96" xfId="0" applyNumberFormat="1" applyFont="1" applyFill="1" applyBorder="1" applyAlignment="1">
      <alignment horizontal="left" vertical="center"/>
    </xf>
    <xf numFmtId="49" fontId="4" fillId="33" borderId="97" xfId="0" applyNumberFormat="1" applyFont="1" applyFill="1" applyBorder="1" applyAlignment="1">
      <alignment horizontal="left" vertical="center"/>
    </xf>
    <xf numFmtId="9" fontId="50" fillId="0" borderId="0" xfId="2" applyFont="1">
      <alignment vertical="center"/>
    </xf>
    <xf numFmtId="0" fontId="8" fillId="4" borderId="27" xfId="3" applyFont="1" applyFill="1" applyBorder="1" applyAlignment="1">
      <alignment horizontal="center" vertical="center" wrapText="1"/>
    </xf>
    <xf numFmtId="49" fontId="4" fillId="33" borderId="99" xfId="0" applyNumberFormat="1" applyFont="1" applyFill="1" applyBorder="1" applyAlignment="1">
      <alignment horizontal="left" vertical="center"/>
    </xf>
    <xf numFmtId="49" fontId="4" fillId="33" borderId="42" xfId="0" applyNumberFormat="1" applyFont="1" applyFill="1" applyBorder="1" applyAlignment="1">
      <alignment horizontal="left" vertical="center"/>
    </xf>
    <xf numFmtId="0" fontId="50" fillId="0" borderId="0" xfId="0" applyFont="1" applyBorder="1">
      <alignment vertical="center"/>
    </xf>
    <xf numFmtId="49" fontId="4" fillId="33" borderId="64" xfId="0" applyNumberFormat="1" applyFont="1" applyFill="1" applyBorder="1" applyAlignment="1">
      <alignment horizontal="left" vertical="center"/>
    </xf>
    <xf numFmtId="49" fontId="4" fillId="33" borderId="86" xfId="0" applyNumberFormat="1" applyFont="1" applyFill="1" applyBorder="1" applyAlignment="1">
      <alignment horizontal="left" vertical="center"/>
    </xf>
    <xf numFmtId="0" fontId="51" fillId="6" borderId="103" xfId="0" applyFont="1" applyFill="1" applyBorder="1" applyAlignment="1">
      <alignment horizontal="center" vertical="center"/>
    </xf>
    <xf numFmtId="41" fontId="51" fillId="6" borderId="104" xfId="1" applyFont="1" applyFill="1" applyBorder="1" applyAlignment="1">
      <alignment horizontal="right" vertical="center"/>
    </xf>
    <xf numFmtId="41" fontId="51" fillId="6" borderId="67" xfId="1" applyFont="1" applyFill="1" applyBorder="1" applyAlignment="1">
      <alignment horizontal="right" vertical="center"/>
    </xf>
    <xf numFmtId="0" fontId="51" fillId="6" borderId="105" xfId="0" applyFont="1" applyFill="1" applyBorder="1" applyAlignment="1">
      <alignment horizontal="center" vertical="center"/>
    </xf>
    <xf numFmtId="41" fontId="51" fillId="6" borderId="107" xfId="1" applyFont="1" applyFill="1" applyBorder="1" applyAlignment="1">
      <alignment horizontal="right" vertical="center"/>
    </xf>
    <xf numFmtId="41" fontId="50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1" fillId="0" borderId="98" xfId="0" applyFont="1" applyBorder="1">
      <alignment vertical="center"/>
    </xf>
    <xf numFmtId="176" fontId="4" fillId="0" borderId="122" xfId="0" applyNumberFormat="1" applyFont="1" applyFill="1" applyBorder="1" applyAlignment="1">
      <alignment horizontal="right" vertical="center"/>
    </xf>
    <xf numFmtId="176" fontId="4" fillId="0" borderId="123" xfId="0" applyNumberFormat="1" applyFont="1" applyFill="1" applyBorder="1" applyAlignment="1">
      <alignment horizontal="right" vertical="center"/>
    </xf>
    <xf numFmtId="176" fontId="4" fillId="0" borderId="124" xfId="0" applyNumberFormat="1" applyFont="1" applyFill="1" applyBorder="1" applyAlignment="1">
      <alignment horizontal="right" vertical="center"/>
    </xf>
    <xf numFmtId="41" fontId="51" fillId="6" borderId="125" xfId="1" applyFont="1" applyFill="1" applyBorder="1">
      <alignment vertical="center"/>
    </xf>
    <xf numFmtId="9" fontId="51" fillId="6" borderId="126" xfId="1" applyNumberFormat="1" applyFont="1" applyFill="1" applyBorder="1">
      <alignment vertical="center"/>
    </xf>
    <xf numFmtId="9" fontId="51" fillId="0" borderId="111" xfId="2" applyFont="1" applyBorder="1">
      <alignment vertical="center"/>
    </xf>
    <xf numFmtId="9" fontId="51" fillId="0" borderId="113" xfId="2" applyFont="1" applyBorder="1">
      <alignment vertical="center"/>
    </xf>
    <xf numFmtId="9" fontId="51" fillId="0" borderId="111" xfId="0" applyNumberFormat="1" applyFont="1" applyBorder="1">
      <alignment vertical="center"/>
    </xf>
    <xf numFmtId="0" fontId="51" fillId="0" borderId="113" xfId="0" applyFont="1" applyBorder="1">
      <alignment vertical="center"/>
    </xf>
    <xf numFmtId="0" fontId="51" fillId="6" borderId="116" xfId="0" applyFont="1" applyFill="1" applyBorder="1" applyAlignment="1">
      <alignment horizontal="center" vertical="center"/>
    </xf>
    <xf numFmtId="41" fontId="51" fillId="6" borderId="114" xfId="1" applyFont="1" applyFill="1" applyBorder="1" applyAlignment="1">
      <alignment horizontal="right" vertical="center"/>
    </xf>
    <xf numFmtId="41" fontId="51" fillId="6" borderId="110" xfId="1" applyFont="1" applyFill="1" applyBorder="1" applyAlignment="1">
      <alignment horizontal="right" vertical="center"/>
    </xf>
    <xf numFmtId="41" fontId="51" fillId="6" borderId="119" xfId="1" applyFont="1" applyFill="1" applyBorder="1" applyAlignment="1">
      <alignment horizontal="right" vertical="center"/>
    </xf>
    <xf numFmtId="41" fontId="51" fillId="6" borderId="127" xfId="1" applyFont="1" applyFill="1" applyBorder="1">
      <alignment vertical="center"/>
    </xf>
    <xf numFmtId="0" fontId="51" fillId="6" borderId="117" xfId="0" applyFont="1" applyFill="1" applyBorder="1" applyAlignment="1">
      <alignment horizontal="center" vertical="center"/>
    </xf>
    <xf numFmtId="9" fontId="51" fillId="6" borderId="128" xfId="1" applyNumberFormat="1" applyFont="1" applyFill="1" applyBorder="1">
      <alignment vertical="center"/>
    </xf>
    <xf numFmtId="0" fontId="50" fillId="0" borderId="131" xfId="0" applyFont="1" applyBorder="1">
      <alignment vertical="center"/>
    </xf>
    <xf numFmtId="0" fontId="50" fillId="0" borderId="132" xfId="0" applyFont="1" applyBorder="1">
      <alignment vertical="center"/>
    </xf>
    <xf numFmtId="0" fontId="4" fillId="0" borderId="132" xfId="0" applyFont="1" applyBorder="1">
      <alignment vertical="center"/>
    </xf>
    <xf numFmtId="176" fontId="50" fillId="0" borderId="42" xfId="0" applyNumberFormat="1" applyFont="1" applyFill="1" applyBorder="1" applyAlignment="1">
      <alignment horizontal="right" vertical="center"/>
    </xf>
    <xf numFmtId="49" fontId="4" fillId="33" borderId="49" xfId="0" applyNumberFormat="1" applyFont="1" applyFill="1" applyBorder="1" applyAlignment="1">
      <alignment horizontal="left" vertical="center"/>
    </xf>
    <xf numFmtId="0" fontId="51" fillId="7" borderId="133" xfId="0" applyFont="1" applyFill="1" applyBorder="1" applyAlignment="1">
      <alignment horizontal="center" vertical="center"/>
    </xf>
    <xf numFmtId="0" fontId="51" fillId="7" borderId="134" xfId="0" applyFont="1" applyFill="1" applyBorder="1" applyAlignment="1">
      <alignment horizontal="center" vertical="center"/>
    </xf>
    <xf numFmtId="0" fontId="51" fillId="7" borderId="135" xfId="0" applyFont="1" applyFill="1" applyBorder="1" applyAlignment="1">
      <alignment horizontal="center" vertical="center"/>
    </xf>
    <xf numFmtId="0" fontId="51" fillId="7" borderId="136" xfId="0" applyFont="1" applyFill="1" applyBorder="1" applyAlignment="1">
      <alignment horizontal="center" vertical="center"/>
    </xf>
    <xf numFmtId="0" fontId="51" fillId="7" borderId="98" xfId="0" applyFont="1" applyFill="1" applyBorder="1" applyAlignment="1">
      <alignment horizontal="center" vertical="center"/>
    </xf>
    <xf numFmtId="176" fontId="50" fillId="0" borderId="3" xfId="0" applyNumberFormat="1" applyFont="1" applyFill="1" applyBorder="1" applyAlignment="1">
      <alignment horizontal="right" vertical="center"/>
    </xf>
    <xf numFmtId="176" fontId="50" fillId="0" borderId="137" xfId="0" applyNumberFormat="1" applyFont="1" applyFill="1" applyBorder="1" applyAlignment="1">
      <alignment horizontal="right" vertical="center"/>
    </xf>
    <xf numFmtId="176" fontId="50" fillId="0" borderId="107" xfId="0" applyNumberFormat="1" applyFont="1" applyFill="1" applyBorder="1" applyAlignment="1">
      <alignment horizontal="right" vertical="center"/>
    </xf>
    <xf numFmtId="176" fontId="50" fillId="0" borderId="93" xfId="0" applyNumberFormat="1" applyFont="1" applyFill="1" applyBorder="1" applyAlignment="1">
      <alignment horizontal="right" vertical="center"/>
    </xf>
    <xf numFmtId="176" fontId="50" fillId="0" borderId="108" xfId="0" applyNumberFormat="1" applyFont="1" applyFill="1" applyBorder="1" applyAlignment="1">
      <alignment horizontal="right" vertical="center"/>
    </xf>
    <xf numFmtId="176" fontId="51" fillId="6" borderId="2" xfId="0" applyNumberFormat="1" applyFont="1" applyFill="1" applyBorder="1" applyAlignment="1">
      <alignment horizontal="right" vertical="center"/>
    </xf>
    <xf numFmtId="182" fontId="51" fillId="6" borderId="106" xfId="2" applyNumberFormat="1" applyFont="1" applyFill="1" applyBorder="1" applyAlignment="1">
      <alignment horizontal="right" vertical="center"/>
    </xf>
    <xf numFmtId="182" fontId="51" fillId="6" borderId="68" xfId="2" applyNumberFormat="1" applyFont="1" applyFill="1" applyBorder="1" applyAlignment="1">
      <alignment horizontal="right" vertical="center"/>
    </xf>
    <xf numFmtId="182" fontId="51" fillId="6" borderId="108" xfId="2" applyNumberFormat="1" applyFont="1" applyFill="1" applyBorder="1" applyAlignment="1">
      <alignment horizontal="right" vertical="center"/>
    </xf>
    <xf numFmtId="182" fontId="51" fillId="6" borderId="115" xfId="2" applyNumberFormat="1" applyFont="1" applyFill="1" applyBorder="1" applyAlignment="1">
      <alignment horizontal="right" vertical="center"/>
    </xf>
    <xf numFmtId="182" fontId="51" fillId="6" borderId="121" xfId="2" applyNumberFormat="1" applyFont="1" applyFill="1" applyBorder="1" applyAlignment="1">
      <alignment horizontal="right" vertical="center"/>
    </xf>
    <xf numFmtId="182" fontId="51" fillId="6" borderId="112" xfId="2" applyNumberFormat="1" applyFont="1" applyFill="1" applyBorder="1" applyAlignment="1">
      <alignment horizontal="right" vertical="center"/>
    </xf>
    <xf numFmtId="182" fontId="51" fillId="0" borderId="95" xfId="2" applyNumberFormat="1" applyFont="1" applyBorder="1">
      <alignment vertical="center"/>
    </xf>
    <xf numFmtId="182" fontId="51" fillId="0" borderId="73" xfId="2" applyNumberFormat="1" applyFont="1" applyBorder="1">
      <alignment vertical="center"/>
    </xf>
    <xf numFmtId="182" fontId="51" fillId="0" borderId="112" xfId="2" applyNumberFormat="1" applyFont="1" applyBorder="1">
      <alignment vertical="center"/>
    </xf>
    <xf numFmtId="182" fontId="51" fillId="0" borderId="110" xfId="2" applyNumberFormat="1" applyFont="1" applyBorder="1">
      <alignment vertical="center"/>
    </xf>
    <xf numFmtId="182" fontId="51" fillId="0" borderId="129" xfId="2" applyNumberFormat="1" applyFont="1" applyBorder="1">
      <alignment vertical="center"/>
    </xf>
    <xf numFmtId="182" fontId="51" fillId="6" borderId="139" xfId="2" applyNumberFormat="1" applyFont="1" applyFill="1" applyBorder="1" applyAlignment="1">
      <alignment horizontal="right" vertical="center"/>
    </xf>
    <xf numFmtId="9" fontId="51" fillId="6" borderId="138" xfId="1" applyNumberFormat="1" applyFont="1" applyFill="1" applyBorder="1">
      <alignment vertical="center"/>
    </xf>
    <xf numFmtId="182" fontId="63" fillId="0" borderId="95" xfId="2" applyNumberFormat="1" applyFont="1" applyBorder="1">
      <alignment vertical="center"/>
    </xf>
    <xf numFmtId="182" fontId="51" fillId="0" borderId="111" xfId="0" applyNumberFormat="1" applyFont="1" applyBorder="1">
      <alignment vertical="center"/>
    </xf>
    <xf numFmtId="176" fontId="50" fillId="36" borderId="42" xfId="0" applyNumberFormat="1" applyFont="1" applyFill="1" applyBorder="1" applyAlignment="1">
      <alignment horizontal="right" vertical="center"/>
    </xf>
    <xf numFmtId="176" fontId="50" fillId="36" borderId="107" xfId="0" applyNumberFormat="1" applyFont="1" applyFill="1" applyBorder="1" applyAlignment="1">
      <alignment horizontal="right" vertical="center"/>
    </xf>
    <xf numFmtId="176" fontId="50" fillId="36" borderId="3" xfId="0" applyNumberFormat="1" applyFont="1" applyFill="1" applyBorder="1" applyAlignment="1">
      <alignment horizontal="right" vertical="center"/>
    </xf>
    <xf numFmtId="176" fontId="50" fillId="36" borderId="93" xfId="0" applyNumberFormat="1" applyFont="1" applyFill="1" applyBorder="1" applyAlignment="1">
      <alignment horizontal="right" vertical="center"/>
    </xf>
    <xf numFmtId="176" fontId="50" fillId="36" borderId="83" xfId="0" applyNumberFormat="1" applyFont="1" applyFill="1" applyBorder="1" applyAlignment="1">
      <alignment horizontal="right" vertical="center"/>
    </xf>
    <xf numFmtId="41" fontId="51" fillId="6" borderId="140" xfId="1" applyFont="1" applyFill="1" applyBorder="1" applyAlignment="1">
      <alignment horizontal="right" vertical="center"/>
    </xf>
    <xf numFmtId="41" fontId="51" fillId="6" borderId="141" xfId="1" applyFont="1" applyFill="1" applyBorder="1" applyAlignment="1">
      <alignment horizontal="right" vertical="center"/>
    </xf>
    <xf numFmtId="41" fontId="51" fillId="6" borderId="142" xfId="1" applyFont="1" applyFill="1" applyBorder="1" applyAlignment="1">
      <alignment horizontal="right" vertical="center"/>
    </xf>
    <xf numFmtId="176" fontId="51" fillId="6" borderId="143" xfId="0" applyNumberFormat="1" applyFont="1" applyFill="1" applyBorder="1" applyAlignment="1">
      <alignment horizontal="right" vertical="center"/>
    </xf>
    <xf numFmtId="182" fontId="51" fillId="6" borderId="120" xfId="2" applyNumberFormat="1" applyFont="1" applyFill="1" applyBorder="1" applyAlignment="1">
      <alignment horizontal="right" vertical="center"/>
    </xf>
    <xf numFmtId="182" fontId="51" fillId="6" borderId="130" xfId="1" applyNumberFormat="1" applyFont="1" applyFill="1" applyBorder="1">
      <alignment vertical="center"/>
    </xf>
    <xf numFmtId="0" fontId="0" fillId="0" borderId="0" xfId="0">
      <alignment vertical="center"/>
    </xf>
    <xf numFmtId="182" fontId="51" fillId="0" borderId="118" xfId="0" applyNumberFormat="1" applyFont="1" applyBorder="1">
      <alignment vertical="center"/>
    </xf>
    <xf numFmtId="176" fontId="50" fillId="0" borderId="83" xfId="0" applyNumberFormat="1" applyFont="1" applyFill="1" applyBorder="1" applyAlignment="1">
      <alignment horizontal="right" vertical="center"/>
    </xf>
    <xf numFmtId="176" fontId="51" fillId="6" borderId="145" xfId="0" applyNumberFormat="1" applyFont="1" applyFill="1" applyBorder="1" applyAlignment="1">
      <alignment horizontal="right" vertical="center"/>
    </xf>
    <xf numFmtId="182" fontId="51" fillId="6" borderId="115" xfId="2" applyNumberFormat="1" applyFont="1" applyFill="1" applyBorder="1">
      <alignment vertical="center"/>
    </xf>
    <xf numFmtId="182" fontId="51" fillId="6" borderId="144" xfId="0" applyNumberFormat="1" applyFont="1" applyFill="1" applyBorder="1">
      <alignment vertical="center"/>
    </xf>
    <xf numFmtId="182" fontId="50" fillId="0" borderId="0" xfId="0" applyNumberFormat="1" applyFont="1">
      <alignment vertical="center"/>
    </xf>
    <xf numFmtId="0" fontId="50" fillId="0" borderId="42" xfId="0" applyFont="1" applyBorder="1">
      <alignment vertical="center"/>
    </xf>
    <xf numFmtId="0" fontId="4" fillId="0" borderId="42" xfId="0" applyFont="1" applyBorder="1" applyAlignment="1">
      <alignment horizontal="center" vertical="center"/>
    </xf>
    <xf numFmtId="0" fontId="50" fillId="0" borderId="42" xfId="0" applyFont="1" applyBorder="1" applyAlignment="1">
      <alignment horizontal="center" vertical="center"/>
    </xf>
    <xf numFmtId="49" fontId="51" fillId="33" borderId="42" xfId="0" applyNumberFormat="1" applyFont="1" applyFill="1" applyBorder="1" applyAlignment="1">
      <alignment horizontal="center" vertical="center"/>
    </xf>
    <xf numFmtId="182" fontId="50" fillId="0" borderId="42" xfId="0" applyNumberFormat="1" applyFont="1" applyBorder="1">
      <alignment vertical="center"/>
    </xf>
    <xf numFmtId="182" fontId="50" fillId="0" borderId="0" xfId="0" applyNumberFormat="1" applyFont="1" applyBorder="1">
      <alignment vertical="center"/>
    </xf>
    <xf numFmtId="182" fontId="51" fillId="0" borderId="42" xfId="0" applyNumberFormat="1" applyFont="1" applyBorder="1" applyAlignment="1">
      <alignment horizontal="center" vertical="center"/>
    </xf>
    <xf numFmtId="49" fontId="51" fillId="0" borderId="0" xfId="0" applyNumberFormat="1" applyFont="1" applyFill="1" applyBorder="1" applyAlignment="1">
      <alignment horizontal="center" vertical="center"/>
    </xf>
    <xf numFmtId="182" fontId="50" fillId="7" borderId="42" xfId="0" applyNumberFormat="1" applyFont="1" applyFill="1" applyBorder="1">
      <alignment vertical="center"/>
    </xf>
    <xf numFmtId="182" fontId="7" fillId="0" borderId="1" xfId="2" applyNumberFormat="1" applyFont="1" applyBorder="1" applyAlignment="1">
      <alignment vertical="center"/>
    </xf>
    <xf numFmtId="182" fontId="7" fillId="6" borderId="1" xfId="2" applyNumberFormat="1" applyFont="1" applyFill="1" applyBorder="1" applyAlignment="1">
      <alignment vertical="center"/>
    </xf>
    <xf numFmtId="182" fontId="7" fillId="0" borderId="42" xfId="2" applyNumberFormat="1" applyFont="1" applyBorder="1" applyAlignment="1">
      <alignment vertical="center"/>
    </xf>
    <xf numFmtId="182" fontId="7" fillId="0" borderId="66" xfId="2" applyNumberFormat="1" applyFont="1" applyBorder="1" applyAlignment="1">
      <alignment vertical="center"/>
    </xf>
    <xf numFmtId="9" fontId="4" fillId="0" borderId="0" xfId="2" applyFont="1">
      <alignment vertical="center"/>
    </xf>
    <xf numFmtId="0" fontId="4" fillId="0" borderId="7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5" borderId="71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34" borderId="77" xfId="0" applyFont="1" applyFill="1" applyBorder="1" applyAlignment="1">
      <alignment horizontal="center" vertical="center"/>
    </xf>
    <xf numFmtId="0" fontId="4" fillId="5" borderId="77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35" borderId="77" xfId="0" applyFont="1" applyFill="1" applyBorder="1" applyAlignment="1">
      <alignment horizontal="center" vertical="center"/>
    </xf>
    <xf numFmtId="0" fontId="4" fillId="35" borderId="4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182" fontId="50" fillId="0" borderId="0" xfId="0" applyNumberFormat="1" applyFont="1" applyFill="1" applyBorder="1">
      <alignment vertical="center"/>
    </xf>
    <xf numFmtId="0" fontId="51" fillId="0" borderId="42" xfId="0" applyFont="1" applyBorder="1" applyAlignment="1">
      <alignment horizontal="center" vertical="center"/>
    </xf>
    <xf numFmtId="41" fontId="51" fillId="0" borderId="0" xfId="1" applyFont="1" applyFill="1" applyBorder="1" applyAlignment="1">
      <alignment horizontal="center" vertical="center"/>
    </xf>
    <xf numFmtId="41" fontId="51" fillId="0" borderId="42" xfId="1" applyFont="1" applyBorder="1">
      <alignment vertical="center"/>
    </xf>
    <xf numFmtId="41" fontId="51" fillId="0" borderId="42" xfId="0" applyNumberFormat="1" applyFont="1" applyBorder="1">
      <alignment vertical="center"/>
    </xf>
    <xf numFmtId="182" fontId="51" fillId="0" borderId="42" xfId="2" applyNumberFormat="1" applyFont="1" applyBorder="1">
      <alignment vertical="center"/>
    </xf>
    <xf numFmtId="41" fontId="51" fillId="0" borderId="42" xfId="1" applyFont="1" applyFill="1" applyBorder="1" applyAlignment="1">
      <alignment horizontal="center" vertical="center"/>
    </xf>
    <xf numFmtId="0" fontId="4" fillId="0" borderId="42" xfId="0" applyFont="1" applyBorder="1">
      <alignment vertical="center"/>
    </xf>
    <xf numFmtId="176" fontId="0" fillId="0" borderId="0" xfId="0" applyNumberFormat="1">
      <alignment vertical="center"/>
    </xf>
    <xf numFmtId="41" fontId="50" fillId="0" borderId="0" xfId="1" applyFont="1">
      <alignment vertical="center"/>
    </xf>
    <xf numFmtId="43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179" fontId="50" fillId="0" borderId="0" xfId="0" applyNumberFormat="1" applyFont="1">
      <alignment vertical="center"/>
    </xf>
    <xf numFmtId="41" fontId="50" fillId="0" borderId="73" xfId="1" applyFont="1" applyBorder="1">
      <alignment vertical="center"/>
    </xf>
    <xf numFmtId="0" fontId="50" fillId="8" borderId="73" xfId="0" applyFont="1" applyFill="1" applyBorder="1">
      <alignment vertical="center"/>
    </xf>
    <xf numFmtId="0" fontId="51" fillId="0" borderId="7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8" borderId="155" xfId="0" applyFont="1" applyFill="1" applyBorder="1">
      <alignment vertical="center"/>
    </xf>
    <xf numFmtId="182" fontId="0" fillId="0" borderId="0" xfId="2" applyNumberFormat="1" applyFont="1">
      <alignment vertical="center"/>
    </xf>
    <xf numFmtId="182" fontId="0" fillId="0" borderId="0" xfId="0" applyNumberFormat="1" applyAlignment="1">
      <alignment horizontal="center" vertical="center"/>
    </xf>
    <xf numFmtId="182" fontId="0" fillId="0" borderId="0" xfId="0" applyNumberFormat="1">
      <alignment vertical="center"/>
    </xf>
    <xf numFmtId="0" fontId="51" fillId="0" borderId="154" xfId="0" applyFont="1" applyBorder="1" applyAlignment="1">
      <alignment horizontal="center" vertical="center"/>
    </xf>
    <xf numFmtId="41" fontId="50" fillId="0" borderId="154" xfId="1" applyFont="1" applyBorder="1">
      <alignment vertical="center"/>
    </xf>
    <xf numFmtId="0" fontId="51" fillId="0" borderId="158" xfId="0" applyFont="1" applyBorder="1" applyAlignment="1">
      <alignment horizontal="center" vertical="center"/>
    </xf>
    <xf numFmtId="0" fontId="51" fillId="0" borderId="159" xfId="0" applyFont="1" applyFill="1" applyBorder="1" applyAlignment="1">
      <alignment horizontal="center" vertical="center"/>
    </xf>
    <xf numFmtId="41" fontId="50" fillId="0" borderId="160" xfId="1" applyFont="1" applyBorder="1">
      <alignment vertical="center"/>
    </xf>
    <xf numFmtId="182" fontId="51" fillId="3" borderId="161" xfId="2" applyNumberFormat="1" applyFont="1" applyFill="1" applyBorder="1">
      <alignment vertical="center"/>
    </xf>
    <xf numFmtId="182" fontId="51" fillId="3" borderId="162" xfId="2" applyNumberFormat="1" applyFont="1" applyFill="1" applyBorder="1">
      <alignment vertical="center"/>
    </xf>
    <xf numFmtId="41" fontId="51" fillId="3" borderId="163" xfId="1" applyFont="1" applyFill="1" applyBorder="1">
      <alignment vertical="center"/>
    </xf>
    <xf numFmtId="0" fontId="50" fillId="8" borderId="164" xfId="0" applyFont="1" applyFill="1" applyBorder="1">
      <alignment vertical="center"/>
    </xf>
    <xf numFmtId="41" fontId="50" fillId="0" borderId="129" xfId="1" applyFont="1" applyBorder="1">
      <alignment vertical="center"/>
    </xf>
    <xf numFmtId="41" fontId="50" fillId="0" borderId="156" xfId="1" applyFont="1" applyBorder="1">
      <alignment vertical="center"/>
    </xf>
    <xf numFmtId="0" fontId="51" fillId="3" borderId="158" xfId="0" applyFont="1" applyFill="1" applyBorder="1">
      <alignment vertical="center"/>
    </xf>
    <xf numFmtId="41" fontId="51" fillId="3" borderId="165" xfId="1" applyFont="1" applyFill="1" applyBorder="1">
      <alignment vertical="center"/>
    </xf>
    <xf numFmtId="41" fontId="51" fillId="3" borderId="158" xfId="1" applyFont="1" applyFill="1" applyBorder="1">
      <alignment vertical="center"/>
    </xf>
    <xf numFmtId="182" fontId="51" fillId="3" borderId="159" xfId="2" applyNumberFormat="1" applyFont="1" applyFill="1" applyBorder="1">
      <alignment vertical="center"/>
    </xf>
    <xf numFmtId="0" fontId="51" fillId="3" borderId="162" xfId="0" applyFont="1" applyFill="1" applyBorder="1">
      <alignment vertical="center"/>
    </xf>
    <xf numFmtId="182" fontId="51" fillId="3" borderId="166" xfId="2" applyNumberFormat="1" applyFont="1" applyFill="1" applyBorder="1">
      <alignment vertical="center"/>
    </xf>
    <xf numFmtId="0" fontId="50" fillId="8" borderId="95" xfId="0" applyFont="1" applyFill="1" applyBorder="1">
      <alignment vertical="center"/>
    </xf>
    <xf numFmtId="179" fontId="50" fillId="0" borderId="95" xfId="0" applyNumberFormat="1" applyFont="1" applyBorder="1">
      <alignment vertical="center"/>
    </xf>
    <xf numFmtId="179" fontId="50" fillId="0" borderId="157" xfId="0" applyNumberFormat="1" applyFont="1" applyBorder="1">
      <alignment vertical="center"/>
    </xf>
    <xf numFmtId="0" fontId="50" fillId="8" borderId="129" xfId="0" applyFont="1" applyFill="1" applyBorder="1">
      <alignment vertical="center"/>
    </xf>
    <xf numFmtId="0" fontId="50" fillId="7" borderId="168" xfId="0" applyFont="1" applyFill="1" applyBorder="1">
      <alignment vertical="center"/>
    </xf>
    <xf numFmtId="179" fontId="51" fillId="7" borderId="135" xfId="0" applyNumberFormat="1" applyFont="1" applyFill="1" applyBorder="1">
      <alignment vertical="center"/>
    </xf>
    <xf numFmtId="0" fontId="4" fillId="0" borderId="0" xfId="0" applyFont="1" applyAlignment="1">
      <alignment vertical="center"/>
    </xf>
    <xf numFmtId="41" fontId="4" fillId="0" borderId="0" xfId="1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0" fillId="0" borderId="0" xfId="0" applyFont="1" applyFill="1" applyBorder="1">
      <alignment vertical="center"/>
    </xf>
    <xf numFmtId="179" fontId="51" fillId="0" borderId="0" xfId="0" applyNumberFormat="1" applyFont="1" applyFill="1" applyBorder="1">
      <alignment vertical="center"/>
    </xf>
    <xf numFmtId="0" fontId="50" fillId="0" borderId="0" xfId="0" applyFont="1" applyFill="1">
      <alignment vertical="center"/>
    </xf>
    <xf numFmtId="41" fontId="4" fillId="37" borderId="73" xfId="1" applyFont="1" applyFill="1" applyBorder="1">
      <alignment vertical="center"/>
    </xf>
    <xf numFmtId="41" fontId="4" fillId="0" borderId="154" xfId="1" applyFont="1" applyBorder="1">
      <alignment vertical="center"/>
    </xf>
    <xf numFmtId="41" fontId="4" fillId="37" borderId="154" xfId="1" applyFont="1" applyFill="1" applyBorder="1">
      <alignment vertical="center"/>
    </xf>
    <xf numFmtId="0" fontId="4" fillId="0" borderId="155" xfId="0" applyFont="1" applyBorder="1">
      <alignment vertical="center"/>
    </xf>
    <xf numFmtId="0" fontId="0" fillId="0" borderId="155" xfId="0" applyBorder="1">
      <alignment vertical="center"/>
    </xf>
    <xf numFmtId="0" fontId="4" fillId="37" borderId="73" xfId="0" applyFont="1" applyFill="1" applyBorder="1">
      <alignment vertical="center"/>
    </xf>
    <xf numFmtId="0" fontId="4" fillId="37" borderId="154" xfId="0" applyFont="1" applyFill="1" applyBorder="1">
      <alignment vertical="center"/>
    </xf>
    <xf numFmtId="41" fontId="4" fillId="0" borderId="95" xfId="1" applyFont="1" applyBorder="1">
      <alignment vertical="center"/>
    </xf>
    <xf numFmtId="41" fontId="4" fillId="0" borderId="157" xfId="1" applyFont="1" applyBorder="1">
      <alignment vertical="center"/>
    </xf>
    <xf numFmtId="179" fontId="50" fillId="0" borderId="42" xfId="0" applyNumberFormat="1" applyFont="1" applyBorder="1" applyAlignment="1">
      <alignment horizontal="center" vertical="center"/>
    </xf>
    <xf numFmtId="43" fontId="50" fillId="0" borderId="0" xfId="0" applyNumberFormat="1" applyFont="1">
      <alignment vertical="center"/>
    </xf>
    <xf numFmtId="43" fontId="50" fillId="0" borderId="0" xfId="0" applyNumberFormat="1" applyFont="1" applyFill="1">
      <alignment vertical="center"/>
    </xf>
    <xf numFmtId="0" fontId="4" fillId="8" borderId="155" xfId="0" applyFont="1" applyFill="1" applyBorder="1">
      <alignment vertical="center"/>
    </xf>
    <xf numFmtId="182" fontId="4" fillId="0" borderId="73" xfId="2" applyNumberFormat="1" applyFont="1" applyBorder="1">
      <alignment vertical="center"/>
    </xf>
    <xf numFmtId="0" fontId="4" fillId="8" borderId="164" xfId="0" applyFont="1" applyFill="1" applyBorder="1">
      <alignment vertical="center"/>
    </xf>
    <xf numFmtId="0" fontId="4" fillId="0" borderId="73" xfId="0" applyFont="1" applyBorder="1" applyAlignment="1">
      <alignment vertical="center"/>
    </xf>
    <xf numFmtId="182" fontId="4" fillId="0" borderId="73" xfId="0" applyNumberFormat="1" applyFont="1" applyBorder="1">
      <alignment vertical="center"/>
    </xf>
    <xf numFmtId="0" fontId="4" fillId="0" borderId="42" xfId="0" applyFont="1" applyBorder="1" applyAlignment="1">
      <alignment horizontal="center" vertical="center"/>
    </xf>
    <xf numFmtId="0" fontId="49" fillId="0" borderId="0" xfId="3" applyFont="1" applyFill="1" applyBorder="1" applyAlignment="1">
      <alignment vertical="center"/>
    </xf>
    <xf numFmtId="179" fontId="63" fillId="0" borderId="0" xfId="0" applyNumberFormat="1" applyFont="1" applyFill="1" applyBorder="1">
      <alignment vertical="center"/>
    </xf>
    <xf numFmtId="41" fontId="4" fillId="0" borderId="42" xfId="1" applyFont="1" applyBorder="1">
      <alignment vertical="center"/>
    </xf>
    <xf numFmtId="179" fontId="51" fillId="0" borderId="167" xfId="0" applyNumberFormat="1" applyFont="1" applyBorder="1">
      <alignment vertical="center"/>
    </xf>
    <xf numFmtId="179" fontId="63" fillId="0" borderId="42" xfId="0" applyNumberFormat="1" applyFont="1" applyFill="1" applyBorder="1">
      <alignment vertical="center"/>
    </xf>
    <xf numFmtId="179" fontId="63" fillId="7" borderId="42" xfId="0" applyNumberFormat="1" applyFont="1" applyFill="1" applyBorder="1">
      <alignment vertical="center"/>
    </xf>
    <xf numFmtId="0" fontId="50" fillId="0" borderId="176" xfId="0" applyFont="1" applyBorder="1">
      <alignment vertical="center"/>
    </xf>
    <xf numFmtId="179" fontId="50" fillId="0" borderId="75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50" fillId="0" borderId="85" xfId="0" applyFont="1" applyBorder="1" applyAlignment="1">
      <alignment horizontal="center" vertical="center"/>
    </xf>
    <xf numFmtId="41" fontId="51" fillId="7" borderId="177" xfId="1" applyFont="1" applyFill="1" applyBorder="1">
      <alignment vertical="center"/>
    </xf>
    <xf numFmtId="41" fontId="51" fillId="7" borderId="178" xfId="1" applyFont="1" applyFill="1" applyBorder="1">
      <alignment vertical="center"/>
    </xf>
    <xf numFmtId="41" fontId="51" fillId="38" borderId="173" xfId="1" applyFont="1" applyFill="1" applyBorder="1">
      <alignment vertical="center"/>
    </xf>
    <xf numFmtId="0" fontId="50" fillId="0" borderId="42" xfId="0" applyFont="1" applyFill="1" applyBorder="1">
      <alignment vertical="center"/>
    </xf>
    <xf numFmtId="179" fontId="63" fillId="0" borderId="42" xfId="0" applyNumberFormat="1" applyFont="1" applyFill="1" applyBorder="1" applyAlignment="1">
      <alignment horizontal="center" vertical="center" wrapText="1"/>
    </xf>
    <xf numFmtId="0" fontId="50" fillId="0" borderId="42" xfId="0" applyFont="1" applyBorder="1" applyAlignment="1">
      <alignment vertical="center"/>
    </xf>
    <xf numFmtId="182" fontId="50" fillId="0" borderId="42" xfId="2" applyNumberFormat="1" applyFont="1" applyBorder="1" applyAlignment="1">
      <alignment vertical="center"/>
    </xf>
    <xf numFmtId="179" fontId="50" fillId="0" borderId="42" xfId="0" applyNumberFormat="1" applyFont="1" applyBorder="1">
      <alignment vertical="center"/>
    </xf>
    <xf numFmtId="0" fontId="4" fillId="0" borderId="4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1" fontId="4" fillId="0" borderId="0" xfId="1" applyFont="1" applyBorder="1" applyAlignment="1">
      <alignment horizontal="center" vertical="center"/>
    </xf>
    <xf numFmtId="182" fontId="50" fillId="0" borderId="0" xfId="2" applyNumberFormat="1" applyFont="1" applyBorder="1" applyAlignment="1">
      <alignment vertical="center"/>
    </xf>
    <xf numFmtId="179" fontId="50" fillId="0" borderId="0" xfId="0" applyNumberFormat="1" applyFont="1" applyBorder="1">
      <alignment vertical="center"/>
    </xf>
    <xf numFmtId="182" fontId="4" fillId="0" borderId="0" xfId="2" applyNumberFormat="1" applyFont="1" applyBorder="1" applyAlignment="1">
      <alignment vertical="center"/>
    </xf>
    <xf numFmtId="179" fontId="4" fillId="0" borderId="0" xfId="0" applyNumberFormat="1" applyFont="1" applyBorder="1">
      <alignment vertical="center"/>
    </xf>
    <xf numFmtId="182" fontId="4" fillId="0" borderId="0" xfId="2" applyNumberFormat="1" applyFont="1" applyAlignment="1">
      <alignment vertical="center"/>
    </xf>
    <xf numFmtId="41" fontId="50" fillId="0" borderId="42" xfId="1" applyFont="1" applyBorder="1">
      <alignment vertical="center"/>
    </xf>
    <xf numFmtId="179" fontId="4" fillId="0" borderId="42" xfId="0" applyNumberFormat="1" applyFont="1" applyBorder="1" applyAlignment="1">
      <alignment horizontal="center" vertical="center"/>
    </xf>
    <xf numFmtId="41" fontId="51" fillId="0" borderId="42" xfId="0" applyNumberFormat="1" applyFont="1" applyBorder="1" applyAlignment="1">
      <alignment horizontal="center" vertical="center"/>
    </xf>
    <xf numFmtId="41" fontId="2" fillId="0" borderId="0" xfId="1" applyFont="1" applyFill="1">
      <alignment vertical="center"/>
    </xf>
    <xf numFmtId="41" fontId="2" fillId="0" borderId="0" xfId="1" applyFont="1">
      <alignment vertical="center"/>
    </xf>
    <xf numFmtId="0" fontId="50" fillId="0" borderId="42" xfId="0" applyFont="1" applyBorder="1" applyAlignment="1">
      <alignment horizontal="center" vertical="center"/>
    </xf>
    <xf numFmtId="0" fontId="51" fillId="0" borderId="42" xfId="0" applyFont="1" applyBorder="1" applyAlignment="1">
      <alignment horizontal="center" vertical="center"/>
    </xf>
    <xf numFmtId="9" fontId="0" fillId="0" borderId="0" xfId="2" applyFont="1">
      <alignment vertical="center"/>
    </xf>
    <xf numFmtId="0" fontId="62" fillId="0" borderId="42" xfId="0" applyFont="1" applyBorder="1" applyAlignment="1">
      <alignment horizontal="center" vertical="center"/>
    </xf>
    <xf numFmtId="41" fontId="7" fillId="0" borderId="42" xfId="1" applyFont="1" applyBorder="1" applyAlignment="1">
      <alignment horizontal="center" vertical="center"/>
    </xf>
    <xf numFmtId="41" fontId="8" fillId="0" borderId="179" xfId="4" applyFont="1" applyFill="1" applyBorder="1" applyAlignment="1">
      <alignment horizontal="right" vertical="center"/>
    </xf>
    <xf numFmtId="41" fontId="8" fillId="0" borderId="180" xfId="4" applyFont="1" applyFill="1" applyBorder="1" applyAlignment="1">
      <alignment vertical="center"/>
    </xf>
    <xf numFmtId="179" fontId="0" fillId="0" borderId="0" xfId="0" applyNumberFormat="1">
      <alignment vertical="center"/>
    </xf>
    <xf numFmtId="182" fontId="50" fillId="0" borderId="0" xfId="2" applyNumberFormat="1" applyFont="1">
      <alignment vertical="center"/>
    </xf>
    <xf numFmtId="182" fontId="4" fillId="0" borderId="0" xfId="2" applyNumberFormat="1" applyFont="1" applyBorder="1">
      <alignment vertical="center"/>
    </xf>
    <xf numFmtId="179" fontId="50" fillId="0" borderId="0" xfId="0" applyNumberFormat="1" applyFont="1" applyFill="1">
      <alignment vertical="center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41" fontId="4" fillId="0" borderId="0" xfId="0" applyNumberFormat="1" applyFont="1">
      <alignment vertical="center"/>
    </xf>
    <xf numFmtId="41" fontId="4" fillId="0" borderId="0" xfId="1" applyFont="1">
      <alignment vertical="center"/>
    </xf>
    <xf numFmtId="179" fontId="50" fillId="0" borderId="0" xfId="1" applyNumberFormat="1" applyFont="1">
      <alignment vertical="center"/>
    </xf>
    <xf numFmtId="41" fontId="4" fillId="0" borderId="0" xfId="1" applyFont="1" applyAlignment="1">
      <alignment horizontal="center" vertical="center"/>
    </xf>
    <xf numFmtId="41" fontId="4" fillId="0" borderId="77" xfId="1" applyFont="1" applyBorder="1">
      <alignment vertical="center"/>
    </xf>
    <xf numFmtId="41" fontId="4" fillId="0" borderId="40" xfId="1" applyFont="1" applyBorder="1">
      <alignment vertical="center"/>
    </xf>
    <xf numFmtId="41" fontId="4" fillId="0" borderId="71" xfId="1" applyFont="1" applyBorder="1">
      <alignment vertical="center"/>
    </xf>
    <xf numFmtId="41" fontId="4" fillId="0" borderId="2" xfId="1" applyFont="1" applyBorder="1">
      <alignment vertical="center"/>
    </xf>
    <xf numFmtId="41" fontId="4" fillId="0" borderId="80" xfId="1" applyFont="1" applyBorder="1">
      <alignment vertical="center"/>
    </xf>
    <xf numFmtId="41" fontId="50" fillId="0" borderId="53" xfId="1" applyFont="1" applyBorder="1" applyAlignment="1">
      <alignment horizontal="center" vertical="center"/>
    </xf>
    <xf numFmtId="41" fontId="4" fillId="0" borderId="52" xfId="1" applyFont="1" applyBorder="1" applyAlignment="1">
      <alignment horizontal="center" vertical="center" wrapText="1"/>
    </xf>
    <xf numFmtId="41" fontId="4" fillId="0" borderId="52" xfId="1" applyFont="1" applyFill="1" applyBorder="1" applyAlignment="1">
      <alignment horizontal="center" vertical="center"/>
    </xf>
    <xf numFmtId="41" fontId="4" fillId="0" borderId="81" xfId="1" applyFont="1" applyBorder="1" applyAlignment="1">
      <alignment horizontal="center" vertical="center"/>
    </xf>
    <xf numFmtId="41" fontId="4" fillId="0" borderId="0" xfId="1" applyFont="1" applyBorder="1">
      <alignment vertical="center"/>
    </xf>
    <xf numFmtId="0" fontId="51" fillId="0" borderId="153" xfId="0" applyFont="1" applyBorder="1" applyAlignment="1">
      <alignment horizontal="center" vertical="center"/>
    </xf>
    <xf numFmtId="41" fontId="4" fillId="31" borderId="64" xfId="1" applyFont="1" applyFill="1" applyBorder="1" applyAlignment="1">
      <alignment horizontal="center" vertical="center"/>
    </xf>
    <xf numFmtId="41" fontId="4" fillId="0" borderId="64" xfId="1" applyNumberFormat="1" applyFont="1" applyBorder="1" applyAlignment="1">
      <alignment horizontal="center" vertical="center"/>
    </xf>
    <xf numFmtId="41" fontId="52" fillId="0" borderId="45" xfId="1" applyNumberFormat="1" applyFont="1" applyFill="1" applyBorder="1" applyAlignment="1">
      <alignment horizontal="center" vertical="center"/>
    </xf>
    <xf numFmtId="41" fontId="51" fillId="32" borderId="9" xfId="0" applyNumberFormat="1" applyFont="1" applyFill="1" applyBorder="1" applyAlignment="1">
      <alignment horizontal="center" vertical="center"/>
    </xf>
    <xf numFmtId="179" fontId="4" fillId="0" borderId="86" xfId="1" applyNumberFormat="1" applyFont="1" applyFill="1" applyBorder="1" applyAlignment="1">
      <alignment horizontal="center" vertical="center"/>
    </xf>
    <xf numFmtId="179" fontId="4" fillId="0" borderId="0" xfId="1" applyNumberFormat="1" applyFont="1">
      <alignment vertical="center"/>
    </xf>
    <xf numFmtId="41" fontId="7" fillId="0" borderId="0" xfId="1" applyFont="1" applyAlignment="1">
      <alignment vertical="center"/>
    </xf>
    <xf numFmtId="0" fontId="51" fillId="0" borderId="85" xfId="0" applyFont="1" applyBorder="1" applyAlignment="1">
      <alignment horizontal="center" vertical="center"/>
    </xf>
    <xf numFmtId="41" fontId="52" fillId="0" borderId="85" xfId="1" applyFont="1" applyFill="1" applyBorder="1" applyAlignment="1">
      <alignment horizontal="center" vertical="center"/>
    </xf>
    <xf numFmtId="41" fontId="52" fillId="0" borderId="183" xfId="1" applyFont="1" applyFill="1" applyBorder="1" applyAlignment="1">
      <alignment horizontal="center" vertical="center"/>
    </xf>
    <xf numFmtId="41" fontId="52" fillId="7" borderId="153" xfId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51" fillId="0" borderId="0" xfId="0" applyFont="1" applyBorder="1" applyAlignment="1">
      <alignment vertical="center"/>
    </xf>
    <xf numFmtId="41" fontId="4" fillId="0" borderId="0" xfId="1" applyFont="1" applyAlignment="1">
      <alignment horizontal="right" vertical="center"/>
    </xf>
    <xf numFmtId="41" fontId="50" fillId="7" borderId="0" xfId="1" applyFont="1" applyFill="1">
      <alignment vertical="center"/>
    </xf>
    <xf numFmtId="43" fontId="0" fillId="0" borderId="0" xfId="1" applyNumberFormat="1" applyFont="1">
      <alignment vertical="center"/>
    </xf>
    <xf numFmtId="41" fontId="8" fillId="0" borderId="18" xfId="4" applyFont="1" applyFill="1" applyBorder="1" applyAlignment="1">
      <alignment horizontal="right" vertical="center"/>
    </xf>
    <xf numFmtId="179" fontId="8" fillId="0" borderId="10" xfId="4" applyNumberFormat="1" applyFont="1" applyFill="1" applyBorder="1" applyAlignment="1">
      <alignment horizontal="right" vertical="center"/>
    </xf>
    <xf numFmtId="41" fontId="8" fillId="0" borderId="10" xfId="4" applyFont="1" applyFill="1" applyBorder="1" applyAlignment="1">
      <alignment horizontal="right" vertical="center"/>
    </xf>
    <xf numFmtId="41" fontId="49" fillId="8" borderId="10" xfId="4" applyFont="1" applyFill="1" applyBorder="1" applyAlignment="1">
      <alignment horizontal="right" vertical="center"/>
    </xf>
    <xf numFmtId="41" fontId="49" fillId="0" borderId="10" xfId="4" applyFont="1" applyFill="1" applyBorder="1" applyAlignment="1">
      <alignment horizontal="right" vertical="center"/>
    </xf>
    <xf numFmtId="41" fontId="49" fillId="0" borderId="10" xfId="4" applyFont="1" applyFill="1" applyBorder="1" applyAlignment="1">
      <alignment vertical="center"/>
    </xf>
    <xf numFmtId="41" fontId="8" fillId="0" borderId="10" xfId="4" applyFont="1" applyFill="1" applyBorder="1" applyAlignment="1">
      <alignment vertical="center"/>
    </xf>
    <xf numFmtId="41" fontId="8" fillId="0" borderId="184" xfId="4" applyFont="1" applyFill="1" applyBorder="1" applyAlignment="1">
      <alignment vertical="center"/>
    </xf>
    <xf numFmtId="9" fontId="8" fillId="0" borderId="18" xfId="2" applyFont="1" applyFill="1" applyBorder="1" applyAlignment="1">
      <alignment horizontal="right" vertical="center"/>
    </xf>
    <xf numFmtId="0" fontId="4" fillId="0" borderId="82" xfId="0" applyFont="1" applyBorder="1" applyAlignment="1">
      <alignment horizontal="center" vertical="center"/>
    </xf>
    <xf numFmtId="9" fontId="7" fillId="0" borderId="0" xfId="2" applyFont="1" applyAlignment="1">
      <alignment vertical="center"/>
    </xf>
    <xf numFmtId="0" fontId="4" fillId="0" borderId="77" xfId="0" applyFont="1" applyBorder="1" applyAlignment="1">
      <alignment horizontal="center" vertical="center"/>
    </xf>
    <xf numFmtId="182" fontId="7" fillId="0" borderId="0" xfId="2" applyNumberFormat="1" applyFont="1" applyFill="1" applyBorder="1" applyAlignment="1">
      <alignment vertical="center"/>
    </xf>
    <xf numFmtId="41" fontId="4" fillId="0" borderId="42" xfId="1" applyFont="1" applyBorder="1" applyAlignment="1">
      <alignment horizontal="center" vertical="center"/>
    </xf>
    <xf numFmtId="41" fontId="4" fillId="0" borderId="40" xfId="1" applyFont="1" applyBorder="1" applyAlignment="1">
      <alignment horizontal="center" vertical="center"/>
    </xf>
    <xf numFmtId="41" fontId="4" fillId="0" borderId="42" xfId="1" applyFont="1" applyFill="1" applyBorder="1" applyAlignment="1">
      <alignment horizontal="center" vertical="center"/>
    </xf>
    <xf numFmtId="41" fontId="4" fillId="0" borderId="52" xfId="1" applyFont="1" applyBorder="1" applyAlignment="1">
      <alignment horizontal="center" vertical="center"/>
    </xf>
    <xf numFmtId="41" fontId="62" fillId="0" borderId="42" xfId="1" applyFont="1" applyBorder="1" applyAlignment="1">
      <alignment vertical="center"/>
    </xf>
    <xf numFmtId="0" fontId="62" fillId="0" borderId="42" xfId="0" applyFont="1" applyBorder="1" applyAlignment="1">
      <alignment vertical="center"/>
    </xf>
    <xf numFmtId="49" fontId="7" fillId="0" borderId="42" xfId="0" applyNumberFormat="1" applyFont="1" applyFill="1" applyBorder="1" applyAlignment="1">
      <alignment horizontal="left" vertical="center"/>
    </xf>
    <xf numFmtId="176" fontId="7" fillId="0" borderId="42" xfId="0" applyNumberFormat="1" applyFont="1" applyFill="1" applyBorder="1" applyAlignment="1">
      <alignment horizontal="right" vertical="center"/>
    </xf>
    <xf numFmtId="0" fontId="6" fillId="7" borderId="42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vertical="center"/>
    </xf>
    <xf numFmtId="43" fontId="2" fillId="7" borderId="42" xfId="0" applyNumberFormat="1" applyFont="1" applyFill="1" applyBorder="1" applyAlignment="1">
      <alignment vertical="center"/>
    </xf>
    <xf numFmtId="179" fontId="6" fillId="7" borderId="42" xfId="0" applyNumberFormat="1" applyFont="1" applyFill="1" applyBorder="1" applyAlignment="1">
      <alignment vertical="center"/>
    </xf>
    <xf numFmtId="182" fontId="6" fillId="7" borderId="42" xfId="2" applyNumberFormat="1" applyFont="1" applyFill="1" applyBorder="1" applyAlignment="1">
      <alignment vertical="center"/>
    </xf>
    <xf numFmtId="0" fontId="6" fillId="7" borderId="42" xfId="0" applyFont="1" applyFill="1" applyBorder="1" applyAlignment="1">
      <alignment vertical="center"/>
    </xf>
    <xf numFmtId="41" fontId="62" fillId="0" borderId="0" xfId="1" applyFont="1">
      <alignment vertical="center"/>
    </xf>
    <xf numFmtId="179" fontId="51" fillId="7" borderId="9" xfId="0" applyNumberFormat="1" applyFont="1" applyFill="1" applyBorder="1">
      <alignment vertical="center"/>
    </xf>
    <xf numFmtId="42" fontId="0" fillId="0" borderId="0" xfId="0" applyNumberFormat="1" applyAlignment="1">
      <alignment vertical="center"/>
    </xf>
    <xf numFmtId="182" fontId="0" fillId="0" borderId="0" xfId="0" applyNumberFormat="1" applyAlignment="1">
      <alignment vertical="center"/>
    </xf>
    <xf numFmtId="41" fontId="7" fillId="0" borderId="0" xfId="0" applyNumberFormat="1" applyFont="1" applyAlignment="1">
      <alignment vertical="center"/>
    </xf>
    <xf numFmtId="42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82" fontId="7" fillId="0" borderId="45" xfId="2" applyNumberFormat="1" applyFont="1" applyBorder="1" applyAlignment="1">
      <alignment vertical="center"/>
    </xf>
    <xf numFmtId="41" fontId="7" fillId="0" borderId="87" xfId="1" applyFont="1" applyBorder="1" applyAlignment="1">
      <alignment vertical="center"/>
    </xf>
    <xf numFmtId="41" fontId="7" fillId="0" borderId="40" xfId="1" applyFont="1" applyBorder="1" applyAlignment="1">
      <alignment vertical="center"/>
    </xf>
    <xf numFmtId="42" fontId="7" fillId="0" borderId="40" xfId="1" applyNumberFormat="1" applyFont="1" applyBorder="1" applyAlignment="1">
      <alignment vertical="center"/>
    </xf>
    <xf numFmtId="0" fontId="7" fillId="0" borderId="78" xfId="0" applyFont="1" applyBorder="1" applyAlignment="1">
      <alignment horizontal="center" vertical="center"/>
    </xf>
    <xf numFmtId="0" fontId="7" fillId="0" borderId="190" xfId="0" applyFont="1" applyBorder="1" applyAlignment="1">
      <alignment horizontal="center" vertical="center"/>
    </xf>
    <xf numFmtId="182" fontId="7" fillId="0" borderId="64" xfId="2" applyNumberFormat="1" applyFont="1" applyBorder="1" applyAlignment="1">
      <alignment vertical="center"/>
    </xf>
    <xf numFmtId="41" fontId="7" fillId="0" borderId="75" xfId="1" applyFont="1" applyBorder="1" applyAlignment="1">
      <alignment vertical="center"/>
    </xf>
    <xf numFmtId="42" fontId="7" fillId="0" borderId="42" xfId="1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182" fontId="7" fillId="0" borderId="192" xfId="2" applyNumberFormat="1" applyFont="1" applyBorder="1" applyAlignment="1">
      <alignment vertical="center"/>
    </xf>
    <xf numFmtId="41" fontId="7" fillId="0" borderId="47" xfId="1" applyFont="1" applyBorder="1" applyAlignment="1">
      <alignment vertical="center"/>
    </xf>
    <xf numFmtId="41" fontId="7" fillId="0" borderId="2" xfId="1" applyFont="1" applyBorder="1" applyAlignment="1">
      <alignment vertical="center"/>
    </xf>
    <xf numFmtId="42" fontId="7" fillId="0" borderId="2" xfId="0" applyNumberFormat="1" applyFont="1" applyBorder="1" applyAlignment="1">
      <alignment vertical="center"/>
    </xf>
    <xf numFmtId="0" fontId="7" fillId="0" borderId="48" xfId="0" applyFont="1" applyBorder="1" applyAlignment="1">
      <alignment horizontal="center" vertical="center"/>
    </xf>
    <xf numFmtId="0" fontId="7" fillId="0" borderId="193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6" fillId="0" borderId="194" xfId="0" applyFont="1" applyBorder="1" applyAlignment="1">
      <alignment horizontal="center" vertical="center"/>
    </xf>
    <xf numFmtId="0" fontId="6" fillId="0" borderId="195" xfId="0" applyFont="1" applyBorder="1" applyAlignment="1">
      <alignment horizontal="center" vertical="center"/>
    </xf>
    <xf numFmtId="42" fontId="6" fillId="0" borderId="195" xfId="0" applyNumberFormat="1" applyFont="1" applyBorder="1" applyAlignment="1">
      <alignment horizontal="center" vertical="center"/>
    </xf>
    <xf numFmtId="0" fontId="6" fillId="0" borderId="196" xfId="0" applyFont="1" applyBorder="1" applyAlignment="1">
      <alignment horizontal="center" vertical="center"/>
    </xf>
    <xf numFmtId="0" fontId="6" fillId="0" borderId="197" xfId="0" applyFont="1" applyBorder="1" applyAlignment="1">
      <alignment horizontal="center" vertical="center"/>
    </xf>
    <xf numFmtId="9" fontId="6" fillId="8" borderId="9" xfId="2" applyFont="1" applyFill="1" applyBorder="1">
      <alignment vertical="center"/>
    </xf>
    <xf numFmtId="41" fontId="6" fillId="8" borderId="9" xfId="0" applyNumberFormat="1" applyFont="1" applyFill="1" applyBorder="1">
      <alignment vertical="center"/>
    </xf>
    <xf numFmtId="182" fontId="2" fillId="8" borderId="9" xfId="2" applyNumberFormat="1" applyFont="1" applyFill="1" applyBorder="1">
      <alignment vertical="center"/>
    </xf>
    <xf numFmtId="10" fontId="7" fillId="0" borderId="64" xfId="2" applyNumberFormat="1" applyFont="1" applyBorder="1" applyAlignment="1">
      <alignment vertical="center"/>
    </xf>
    <xf numFmtId="10" fontId="7" fillId="0" borderId="49" xfId="2" applyNumberFormat="1" applyFont="1" applyBorder="1" applyAlignment="1">
      <alignment vertical="center"/>
    </xf>
    <xf numFmtId="0" fontId="6" fillId="0" borderId="198" xfId="0" applyFont="1" applyBorder="1" applyAlignment="1">
      <alignment horizontal="center" vertical="center"/>
    </xf>
    <xf numFmtId="10" fontId="7" fillId="0" borderId="86" xfId="2" applyNumberFormat="1" applyFont="1" applyBorder="1" applyAlignment="1">
      <alignment vertical="center"/>
    </xf>
    <xf numFmtId="41" fontId="7" fillId="0" borderId="88" xfId="1" applyFont="1" applyBorder="1" applyAlignment="1">
      <alignment vertical="center"/>
    </xf>
    <xf numFmtId="42" fontId="7" fillId="0" borderId="66" xfId="1" applyNumberFormat="1" applyFont="1" applyBorder="1" applyAlignment="1">
      <alignment vertical="center"/>
    </xf>
    <xf numFmtId="0" fontId="7" fillId="0" borderId="83" xfId="0" applyFont="1" applyBorder="1" applyAlignment="1">
      <alignment horizontal="center" vertical="center"/>
    </xf>
    <xf numFmtId="10" fontId="7" fillId="0" borderId="192" xfId="2" applyNumberFormat="1" applyFont="1" applyBorder="1" applyAlignment="1">
      <alignment vertical="center"/>
    </xf>
    <xf numFmtId="10" fontId="7" fillId="0" borderId="45" xfId="2" applyNumberFormat="1" applyFont="1" applyBorder="1" applyAlignment="1">
      <alignment vertical="center"/>
    </xf>
    <xf numFmtId="182" fontId="7" fillId="0" borderId="85" xfId="2" applyNumberFormat="1" applyFont="1" applyBorder="1" applyAlignment="1">
      <alignment vertical="center"/>
    </xf>
    <xf numFmtId="41" fontId="7" fillId="0" borderId="201" xfId="1" applyFont="1" applyBorder="1" applyAlignment="1">
      <alignment vertical="center"/>
    </xf>
    <xf numFmtId="41" fontId="7" fillId="0" borderId="7" xfId="1" applyFont="1" applyBorder="1" applyAlignment="1">
      <alignment vertical="center"/>
    </xf>
    <xf numFmtId="0" fontId="7" fillId="0" borderId="204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82" fontId="7" fillId="0" borderId="0" xfId="2" applyNumberFormat="1" applyFont="1" applyBorder="1" applyAlignment="1">
      <alignment vertical="center"/>
    </xf>
    <xf numFmtId="41" fontId="7" fillId="0" borderId="0" xfId="1" applyFont="1" applyBorder="1" applyAlignment="1">
      <alignment vertical="center"/>
    </xf>
    <xf numFmtId="42" fontId="7" fillId="0" borderId="0" xfId="1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82" fontId="7" fillId="0" borderId="49" xfId="2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82" fontId="2" fillId="0" borderId="0" xfId="0" applyNumberFormat="1" applyFont="1" applyBorder="1">
      <alignment vertical="center"/>
    </xf>
    <xf numFmtId="41" fontId="2" fillId="0" borderId="0" xfId="0" applyNumberFormat="1" applyFont="1" applyBorder="1">
      <alignment vertical="center"/>
    </xf>
    <xf numFmtId="182" fontId="2" fillId="0" borderId="81" xfId="0" applyNumberFormat="1" applyFont="1" applyBorder="1">
      <alignment vertical="center"/>
    </xf>
    <xf numFmtId="41" fontId="2" fillId="0" borderId="52" xfId="0" applyNumberFormat="1" applyFont="1" applyBorder="1">
      <alignment vertical="center"/>
    </xf>
    <xf numFmtId="182" fontId="0" fillId="0" borderId="71" xfId="2" applyNumberFormat="1" applyFont="1" applyBorder="1">
      <alignment vertical="center"/>
    </xf>
    <xf numFmtId="41" fontId="0" fillId="0" borderId="40" xfId="1" applyFont="1" applyBorder="1">
      <alignment vertical="center"/>
    </xf>
    <xf numFmtId="182" fontId="0" fillId="0" borderId="77" xfId="2" applyNumberFormat="1" applyFont="1" applyBorder="1">
      <alignment vertical="center"/>
    </xf>
    <xf numFmtId="41" fontId="0" fillId="0" borderId="42" xfId="1" applyFont="1" applyBorder="1">
      <alignment vertical="center"/>
    </xf>
    <xf numFmtId="182" fontId="0" fillId="0" borderId="80" xfId="2" applyNumberFormat="1" applyFont="1" applyBorder="1">
      <alignment vertical="center"/>
    </xf>
    <xf numFmtId="41" fontId="0" fillId="0" borderId="2" xfId="1" applyFont="1" applyBorder="1">
      <alignment vertical="center"/>
    </xf>
    <xf numFmtId="0" fontId="0" fillId="0" borderId="8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1" fillId="0" borderId="89" xfId="0" applyFont="1" applyBorder="1" applyAlignment="1">
      <alignment horizontal="center" vertical="center"/>
    </xf>
    <xf numFmtId="0" fontId="51" fillId="0" borderId="90" xfId="0" applyFont="1" applyBorder="1" applyAlignment="1">
      <alignment horizontal="center" vertical="center"/>
    </xf>
    <xf numFmtId="0" fontId="51" fillId="0" borderId="206" xfId="0" applyFont="1" applyBorder="1" applyAlignment="1">
      <alignment horizontal="center" vertical="center"/>
    </xf>
    <xf numFmtId="0" fontId="51" fillId="0" borderId="207" xfId="0" applyFont="1" applyBorder="1" applyAlignment="1">
      <alignment horizontal="center" vertical="center"/>
    </xf>
    <xf numFmtId="41" fontId="51" fillId="0" borderId="150" xfId="1" applyFont="1" applyBorder="1" applyAlignment="1">
      <alignment horizontal="center" vertical="center"/>
    </xf>
    <xf numFmtId="41" fontId="51" fillId="0" borderId="151" xfId="1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0" borderId="43" xfId="0" applyFont="1" applyBorder="1" applyAlignment="1">
      <alignment horizontal="center" vertical="center"/>
    </xf>
    <xf numFmtId="41" fontId="4" fillId="0" borderId="77" xfId="1" applyFont="1" applyBorder="1" applyAlignment="1">
      <alignment horizontal="center" vertical="center"/>
    </xf>
    <xf numFmtId="0" fontId="51" fillId="0" borderId="43" xfId="0" applyFont="1" applyFill="1" applyBorder="1" applyAlignment="1">
      <alignment horizontal="center" vertical="center"/>
    </xf>
    <xf numFmtId="41" fontId="4" fillId="0" borderId="77" xfId="1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41" fontId="4" fillId="0" borderId="71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0" fontId="50" fillId="0" borderId="0" xfId="1" applyNumberFormat="1" applyFont="1">
      <alignment vertical="center"/>
    </xf>
    <xf numFmtId="43" fontId="50" fillId="0" borderId="0" xfId="1" applyNumberFormat="1" applyFont="1">
      <alignment vertical="center"/>
    </xf>
    <xf numFmtId="0" fontId="50" fillId="0" borderId="208" xfId="0" applyFont="1" applyFill="1" applyBorder="1" applyAlignment="1">
      <alignment horizontal="left" vertical="center"/>
    </xf>
    <xf numFmtId="41" fontId="50" fillId="0" borderId="209" xfId="1" applyFont="1" applyBorder="1">
      <alignment vertical="center"/>
    </xf>
    <xf numFmtId="0" fontId="50" fillId="0" borderId="210" xfId="0" applyFont="1" applyBorder="1">
      <alignment vertical="center"/>
    </xf>
    <xf numFmtId="41" fontId="4" fillId="0" borderId="211" xfId="1" applyFont="1" applyBorder="1">
      <alignment vertical="center"/>
    </xf>
    <xf numFmtId="0" fontId="50" fillId="0" borderId="152" xfId="0" applyFont="1" applyBorder="1">
      <alignment vertical="center"/>
    </xf>
    <xf numFmtId="41" fontId="4" fillId="0" borderId="149" xfId="1" applyFont="1" applyBorder="1">
      <alignment vertical="center"/>
    </xf>
    <xf numFmtId="9" fontId="51" fillId="0" borderId="0" xfId="2" applyFont="1" applyFill="1" applyBorder="1">
      <alignment vertical="center"/>
    </xf>
    <xf numFmtId="41" fontId="4" fillId="0" borderId="0" xfId="1" applyFont="1" applyAlignment="1">
      <alignment horizontal="center" vertical="center"/>
    </xf>
    <xf numFmtId="182" fontId="4" fillId="0" borderId="0" xfId="2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41" fontId="50" fillId="0" borderId="66" xfId="1" applyFont="1" applyBorder="1">
      <alignment vertical="center"/>
    </xf>
    <xf numFmtId="0" fontId="51" fillId="0" borderId="53" xfId="0" applyFont="1" applyBorder="1" applyAlignment="1">
      <alignment horizontal="center" vertical="center"/>
    </xf>
    <xf numFmtId="41" fontId="51" fillId="0" borderId="52" xfId="1" applyFont="1" applyBorder="1">
      <alignment vertical="center"/>
    </xf>
    <xf numFmtId="41" fontId="51" fillId="0" borderId="81" xfId="0" applyNumberFormat="1" applyFont="1" applyBorder="1">
      <alignment vertical="center"/>
    </xf>
    <xf numFmtId="41" fontId="50" fillId="0" borderId="2" xfId="1" applyFont="1" applyBorder="1">
      <alignment vertical="center"/>
    </xf>
    <xf numFmtId="41" fontId="4" fillId="0" borderId="77" xfId="0" applyNumberFormat="1" applyFont="1" applyBorder="1">
      <alignment vertical="center"/>
    </xf>
    <xf numFmtId="41" fontId="4" fillId="0" borderId="212" xfId="0" applyNumberFormat="1" applyFont="1" applyBorder="1">
      <alignment vertical="center"/>
    </xf>
    <xf numFmtId="41" fontId="4" fillId="0" borderId="80" xfId="0" applyNumberFormat="1" applyFont="1" applyBorder="1">
      <alignment vertical="center"/>
    </xf>
    <xf numFmtId="41" fontId="51" fillId="0" borderId="53" xfId="1" applyFont="1" applyBorder="1" applyAlignment="1">
      <alignment horizontal="center" vertical="center"/>
    </xf>
    <xf numFmtId="41" fontId="51" fillId="0" borderId="52" xfId="1" applyFont="1" applyBorder="1" applyAlignment="1">
      <alignment horizontal="center" vertical="center"/>
    </xf>
    <xf numFmtId="0" fontId="51" fillId="0" borderId="81" xfId="0" applyFont="1" applyBorder="1" applyAlignment="1">
      <alignment horizontal="center" vertical="center"/>
    </xf>
    <xf numFmtId="0" fontId="51" fillId="0" borderId="79" xfId="0" applyFont="1" applyBorder="1" applyAlignment="1">
      <alignment horizontal="center" vertical="center"/>
    </xf>
    <xf numFmtId="0" fontId="51" fillId="0" borderId="82" xfId="0" applyFont="1" applyBorder="1" applyAlignment="1">
      <alignment horizontal="center" vertical="center"/>
    </xf>
    <xf numFmtId="0" fontId="8" fillId="0" borderId="0" xfId="0" applyFont="1">
      <alignment vertical="center"/>
    </xf>
    <xf numFmtId="14" fontId="4" fillId="0" borderId="0" xfId="0" applyNumberFormat="1" applyFont="1">
      <alignment vertical="center"/>
    </xf>
    <xf numFmtId="183" fontId="4" fillId="0" borderId="0" xfId="0" applyNumberFormat="1" applyFont="1">
      <alignment vertical="center"/>
    </xf>
    <xf numFmtId="14" fontId="4" fillId="0" borderId="0" xfId="0" applyNumberFormat="1" applyFont="1" applyAlignment="1">
      <alignment horizontal="center" vertical="center"/>
    </xf>
    <xf numFmtId="42" fontId="7" fillId="7" borderId="42" xfId="1" applyNumberFormat="1" applyFont="1" applyFill="1" applyBorder="1" applyAlignment="1">
      <alignment vertical="center"/>
    </xf>
    <xf numFmtId="42" fontId="7" fillId="39" borderId="2" xfId="0" applyNumberFormat="1" applyFont="1" applyFill="1" applyBorder="1" applyAlignment="1">
      <alignment vertical="center"/>
    </xf>
    <xf numFmtId="42" fontId="7" fillId="39" borderId="42" xfId="1" applyNumberFormat="1" applyFont="1" applyFill="1" applyBorder="1" applyAlignment="1">
      <alignment vertical="center"/>
    </xf>
    <xf numFmtId="42" fontId="7" fillId="40" borderId="42" xfId="1" applyNumberFormat="1" applyFont="1" applyFill="1" applyBorder="1" applyAlignment="1">
      <alignment vertical="center"/>
    </xf>
    <xf numFmtId="42" fontId="7" fillId="3" borderId="42" xfId="1" applyNumberFormat="1" applyFont="1" applyFill="1" applyBorder="1" applyAlignment="1">
      <alignment vertical="center"/>
    </xf>
    <xf numFmtId="42" fontId="7" fillId="3" borderId="40" xfId="1" applyNumberFormat="1" applyFont="1" applyFill="1" applyBorder="1" applyAlignment="1">
      <alignment vertical="center"/>
    </xf>
    <xf numFmtId="42" fontId="50" fillId="7" borderId="0" xfId="0" applyNumberFormat="1" applyFont="1" applyFill="1" applyAlignment="1">
      <alignment vertical="center"/>
    </xf>
    <xf numFmtId="41" fontId="4" fillId="42" borderId="0" xfId="0" applyNumberFormat="1" applyFont="1" applyFill="1" applyAlignment="1">
      <alignment vertical="center"/>
    </xf>
    <xf numFmtId="41" fontId="4" fillId="41" borderId="0" xfId="0" applyNumberFormat="1" applyFont="1" applyFill="1" applyAlignment="1">
      <alignment vertical="center"/>
    </xf>
    <xf numFmtId="41" fontId="4" fillId="3" borderId="0" xfId="0" applyNumberFormat="1" applyFont="1" applyFill="1" applyAlignment="1">
      <alignment vertical="center"/>
    </xf>
    <xf numFmtId="41" fontId="4" fillId="0" borderId="0" xfId="1" applyFont="1" applyAlignment="1">
      <alignment horizontal="center" vertical="center"/>
    </xf>
    <xf numFmtId="41" fontId="52" fillId="0" borderId="213" xfId="1" applyFont="1" applyFill="1" applyBorder="1" applyAlignment="1">
      <alignment horizontal="center" vertical="center"/>
    </xf>
    <xf numFmtId="41" fontId="52" fillId="0" borderId="201" xfId="1" applyFont="1" applyFill="1" applyBorder="1" applyAlignment="1">
      <alignment horizontal="center" vertical="center"/>
    </xf>
    <xf numFmtId="182" fontId="7" fillId="0" borderId="0" xfId="2" applyNumberFormat="1" applyFont="1" applyAlignment="1">
      <alignment vertical="center"/>
    </xf>
    <xf numFmtId="9" fontId="7" fillId="0" borderId="0" xfId="2" applyNumberFormat="1" applyFont="1" applyAlignment="1">
      <alignment vertical="center"/>
    </xf>
    <xf numFmtId="41" fontId="5" fillId="0" borderId="0" xfId="3" applyNumberFormat="1" applyBorder="1">
      <alignment vertical="center"/>
    </xf>
    <xf numFmtId="184" fontId="4" fillId="31" borderId="43" xfId="1" applyNumberFormat="1" applyFont="1" applyFill="1" applyBorder="1" applyAlignment="1">
      <alignment horizontal="center" vertical="center"/>
    </xf>
    <xf numFmtId="184" fontId="4" fillId="31" borderId="42" xfId="1" applyNumberFormat="1" applyFont="1" applyFill="1" applyBorder="1" applyAlignment="1">
      <alignment horizontal="center" vertical="center"/>
    </xf>
    <xf numFmtId="184" fontId="4" fillId="31" borderId="63" xfId="1" applyNumberFormat="1" applyFont="1" applyFill="1" applyBorder="1" applyAlignment="1">
      <alignment horizontal="center" vertical="center"/>
    </xf>
    <xf numFmtId="184" fontId="4" fillId="0" borderId="65" xfId="1" applyNumberFormat="1" applyFont="1" applyBorder="1" applyAlignment="1">
      <alignment horizontal="center" vertical="center"/>
    </xf>
    <xf numFmtId="184" fontId="4" fillId="0" borderId="42" xfId="1" applyNumberFormat="1" applyFont="1" applyBorder="1" applyAlignment="1">
      <alignment horizontal="center" vertical="center"/>
    </xf>
    <xf numFmtId="184" fontId="4" fillId="0" borderId="4" xfId="1" applyNumberFormat="1" applyFont="1" applyBorder="1" applyAlignment="1">
      <alignment horizontal="center" vertical="center"/>
    </xf>
    <xf numFmtId="184" fontId="4" fillId="0" borderId="75" xfId="1" applyNumberFormat="1" applyFont="1" applyBorder="1" applyAlignment="1">
      <alignment horizontal="center" vertical="center"/>
    </xf>
    <xf numFmtId="184" fontId="4" fillId="0" borderId="3" xfId="1" applyNumberFormat="1" applyFont="1" applyBorder="1" applyAlignment="1">
      <alignment horizontal="center" vertical="center"/>
    </xf>
    <xf numFmtId="184" fontId="4" fillId="0" borderId="43" xfId="1" applyNumberFormat="1" applyFont="1" applyFill="1" applyBorder="1" applyAlignment="1">
      <alignment horizontal="center" vertical="center"/>
    </xf>
    <xf numFmtId="184" fontId="4" fillId="0" borderId="42" xfId="1" applyNumberFormat="1" applyFont="1" applyFill="1" applyBorder="1" applyAlignment="1">
      <alignment horizontal="center" vertical="center"/>
    </xf>
    <xf numFmtId="184" fontId="4" fillId="0" borderId="63" xfId="1" applyNumberFormat="1" applyFont="1" applyFill="1" applyBorder="1" applyAlignment="1">
      <alignment horizontal="center" vertical="center"/>
    </xf>
    <xf numFmtId="184" fontId="4" fillId="0" borderId="82" xfId="1" applyNumberFormat="1" applyFont="1" applyFill="1" applyBorder="1" applyAlignment="1">
      <alignment horizontal="center" vertical="center"/>
    </xf>
    <xf numFmtId="184" fontId="4" fillId="0" borderId="66" xfId="1" applyNumberFormat="1" applyFont="1" applyFill="1" applyBorder="1" applyAlignment="1">
      <alignment horizontal="center" vertical="center"/>
    </xf>
    <xf numFmtId="184" fontId="4" fillId="0" borderId="91" xfId="1" applyNumberFormat="1" applyFont="1" applyFill="1" applyBorder="1" applyAlignment="1">
      <alignment horizontal="center" vertical="center"/>
    </xf>
    <xf numFmtId="184" fontId="52" fillId="0" borderId="41" xfId="1" applyNumberFormat="1" applyFont="1" applyFill="1" applyBorder="1" applyAlignment="1">
      <alignment horizontal="center" vertical="center"/>
    </xf>
    <xf numFmtId="184" fontId="52" fillId="0" borderId="40" xfId="1" applyNumberFormat="1" applyFont="1" applyFill="1" applyBorder="1" applyAlignment="1">
      <alignment horizontal="center" vertical="center"/>
    </xf>
    <xf numFmtId="184" fontId="52" fillId="0" borderId="62" xfId="1" applyNumberFormat="1" applyFont="1" applyFill="1" applyBorder="1" applyAlignment="1">
      <alignment horizontal="center" vertical="center"/>
    </xf>
    <xf numFmtId="179" fontId="4" fillId="0" borderId="64" xfId="1" applyNumberFormat="1" applyFont="1" applyFill="1" applyBorder="1" applyAlignment="1">
      <alignment horizontal="center" vertical="center"/>
    </xf>
    <xf numFmtId="182" fontId="4" fillId="0" borderId="0" xfId="2" applyNumberFormat="1" applyFont="1">
      <alignment vertical="center"/>
    </xf>
    <xf numFmtId="182" fontId="4" fillId="0" borderId="0" xfId="1" applyNumberFormat="1" applyFont="1">
      <alignment vertical="center"/>
    </xf>
    <xf numFmtId="41" fontId="50" fillId="0" borderId="0" xfId="1" applyFont="1" applyFill="1">
      <alignment vertical="center"/>
    </xf>
    <xf numFmtId="185" fontId="0" fillId="0" borderId="0" xfId="0" applyNumberFormat="1">
      <alignment vertical="center"/>
    </xf>
    <xf numFmtId="176" fontId="7" fillId="0" borderId="0" xfId="0" applyNumberFormat="1" applyFont="1" applyAlignment="1">
      <alignment vertical="center"/>
    </xf>
    <xf numFmtId="176" fontId="50" fillId="0" borderId="0" xfId="0" applyNumberFormat="1" applyFont="1">
      <alignment vertical="center"/>
    </xf>
    <xf numFmtId="0" fontId="4" fillId="0" borderId="65" xfId="0" applyFont="1" applyBorder="1" applyAlignment="1">
      <alignment horizontal="center" vertical="center"/>
    </xf>
    <xf numFmtId="0" fontId="4" fillId="0" borderId="212" xfId="0" applyFont="1" applyBorder="1" applyAlignment="1">
      <alignment horizontal="center" vertical="center"/>
    </xf>
    <xf numFmtId="0" fontId="4" fillId="0" borderId="82" xfId="0" applyFont="1" applyFill="1" applyBorder="1" applyAlignment="1">
      <alignment horizontal="center" vertical="center"/>
    </xf>
    <xf numFmtId="41" fontId="8" fillId="4" borderId="214" xfId="4" applyFont="1" applyFill="1" applyBorder="1" applyAlignment="1">
      <alignment vertical="center"/>
    </xf>
    <xf numFmtId="41" fontId="8" fillId="4" borderId="148" xfId="4" applyFont="1" applyFill="1" applyBorder="1" applyAlignment="1">
      <alignment vertical="center"/>
    </xf>
    <xf numFmtId="178" fontId="8" fillId="4" borderId="215" xfId="3" applyNumberFormat="1" applyFont="1" applyFill="1" applyBorder="1" applyAlignment="1">
      <alignment vertical="center"/>
    </xf>
    <xf numFmtId="41" fontId="49" fillId="0" borderId="220" xfId="3" applyNumberFormat="1" applyFont="1" applyBorder="1">
      <alignment vertical="center"/>
    </xf>
    <xf numFmtId="41" fontId="49" fillId="0" borderId="221" xfId="3" applyNumberFormat="1" applyFont="1" applyBorder="1">
      <alignment vertical="center"/>
    </xf>
    <xf numFmtId="0" fontId="49" fillId="0" borderId="222" xfId="3" applyFont="1" applyBorder="1">
      <alignment vertical="center"/>
    </xf>
    <xf numFmtId="41" fontId="8" fillId="8" borderId="18" xfId="4" applyFont="1" applyFill="1" applyBorder="1" applyAlignment="1">
      <alignment horizontal="right" vertical="center"/>
    </xf>
    <xf numFmtId="9" fontId="8" fillId="8" borderId="18" xfId="2" applyFont="1" applyFill="1" applyBorder="1" applyAlignment="1">
      <alignment horizontal="right" vertical="center"/>
    </xf>
    <xf numFmtId="41" fontId="8" fillId="35" borderId="11" xfId="4" applyFont="1" applyFill="1" applyBorder="1" applyAlignment="1">
      <alignment vertical="center"/>
    </xf>
    <xf numFmtId="41" fontId="8" fillId="35" borderId="18" xfId="4" applyFont="1" applyFill="1" applyBorder="1" applyAlignment="1">
      <alignment horizontal="right" vertical="center"/>
    </xf>
    <xf numFmtId="41" fontId="8" fillId="35" borderId="10" xfId="4" applyFont="1" applyFill="1" applyBorder="1" applyAlignment="1">
      <alignment vertical="center"/>
    </xf>
    <xf numFmtId="178" fontId="8" fillId="35" borderId="10" xfId="3" applyNumberFormat="1" applyFont="1" applyFill="1" applyBorder="1" applyAlignment="1">
      <alignment vertical="center"/>
    </xf>
    <xf numFmtId="178" fontId="8" fillId="35" borderId="185" xfId="3" applyNumberFormat="1" applyFont="1" applyFill="1" applyBorder="1" applyAlignment="1">
      <alignment vertical="center"/>
    </xf>
    <xf numFmtId="41" fontId="8" fillId="35" borderId="40" xfId="4" applyFont="1" applyFill="1" applyBorder="1" applyAlignment="1">
      <alignment vertical="center"/>
    </xf>
    <xf numFmtId="41" fontId="49" fillId="0" borderId="223" xfId="3" applyNumberFormat="1" applyFont="1" applyBorder="1">
      <alignment vertical="center"/>
    </xf>
    <xf numFmtId="0" fontId="10" fillId="0" borderId="61" xfId="3" applyFont="1" applyBorder="1">
      <alignment vertical="center"/>
    </xf>
    <xf numFmtId="41" fontId="8" fillId="35" borderId="215" xfId="4" applyFont="1" applyFill="1" applyBorder="1" applyAlignment="1">
      <alignment horizontal="right" vertical="center"/>
    </xf>
    <xf numFmtId="41" fontId="8" fillId="35" borderId="224" xfId="4" applyFont="1" applyFill="1" applyBorder="1" applyAlignment="1">
      <alignment vertical="center"/>
    </xf>
    <xf numFmtId="41" fontId="49" fillId="0" borderId="225" xfId="3" applyNumberFormat="1" applyFont="1" applyBorder="1">
      <alignment vertical="center"/>
    </xf>
    <xf numFmtId="41" fontId="8" fillId="0" borderId="226" xfId="4" applyFont="1" applyFill="1" applyBorder="1" applyAlignment="1">
      <alignment horizontal="right" vertical="center"/>
    </xf>
    <xf numFmtId="0" fontId="4" fillId="0" borderId="77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186" fontId="7" fillId="0" borderId="192" xfId="2" applyNumberFormat="1" applyFont="1" applyBorder="1" applyAlignment="1">
      <alignment vertical="center"/>
    </xf>
    <xf numFmtId="186" fontId="7" fillId="0" borderId="64" xfId="2" applyNumberFormat="1" applyFont="1" applyBorder="1" applyAlignment="1">
      <alignment vertical="center"/>
    </xf>
    <xf numFmtId="186" fontId="7" fillId="0" borderId="45" xfId="2" applyNumberFormat="1" applyFont="1" applyBorder="1" applyAlignment="1">
      <alignment vertical="center"/>
    </xf>
    <xf numFmtId="0" fontId="0" fillId="0" borderId="42" xfId="0" applyBorder="1" applyAlignment="1">
      <alignment horizontal="center" vertical="center"/>
    </xf>
    <xf numFmtId="9" fontId="0" fillId="0" borderId="0" xfId="2" applyFont="1" applyAlignment="1">
      <alignment vertical="center"/>
    </xf>
    <xf numFmtId="187" fontId="65" fillId="31" borderId="0" xfId="0" applyNumberFormat="1" applyFont="1" applyFill="1" applyBorder="1" applyAlignment="1">
      <alignment horizontal="center" vertical="center"/>
    </xf>
    <xf numFmtId="0" fontId="65" fillId="31" borderId="0" xfId="0" applyFont="1" applyFill="1" applyBorder="1" applyAlignment="1">
      <alignment horizontal="center" vertical="center"/>
    </xf>
    <xf numFmtId="187" fontId="66" fillId="0" borderId="4" xfId="0" applyNumberFormat="1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187" fontId="67" fillId="0" borderId="4" xfId="0" applyNumberFormat="1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187" fontId="66" fillId="0" borderId="76" xfId="0" applyNumberFormat="1" applyFont="1" applyBorder="1" applyAlignment="1">
      <alignment horizontal="center" vertical="center"/>
    </xf>
    <xf numFmtId="0" fontId="65" fillId="0" borderId="76" xfId="0" applyFont="1" applyBorder="1" applyAlignment="1">
      <alignment horizontal="center" vertical="center"/>
    </xf>
    <xf numFmtId="1" fontId="65" fillId="43" borderId="4" xfId="0" applyNumberFormat="1" applyFont="1" applyFill="1" applyBorder="1" applyAlignment="1">
      <alignment horizontal="center" vertical="center"/>
    </xf>
    <xf numFmtId="0" fontId="68" fillId="44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2" fontId="0" fillId="35" borderId="42" xfId="0" applyNumberFormat="1" applyFill="1" applyBorder="1" applyAlignment="1">
      <alignment horizontal="center" vertical="center"/>
    </xf>
    <xf numFmtId="0" fontId="0" fillId="35" borderId="42" xfId="0" applyFill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41" fontId="65" fillId="31" borderId="4" xfId="0" applyNumberFormat="1" applyFont="1" applyFill="1" applyBorder="1" applyAlignment="1">
      <alignment horizontal="center" vertical="center"/>
    </xf>
    <xf numFmtId="0" fontId="65" fillId="31" borderId="4" xfId="0" applyFont="1" applyFill="1" applyBorder="1" applyAlignment="1">
      <alignment horizontal="center" vertical="center"/>
    </xf>
    <xf numFmtId="41" fontId="69" fillId="0" borderId="76" xfId="165" applyNumberFormat="1" applyFont="1" applyFill="1" applyBorder="1" applyAlignment="1">
      <alignment horizontal="center" vertical="center"/>
    </xf>
    <xf numFmtId="179" fontId="66" fillId="0" borderId="4" xfId="165" applyNumberFormat="1" applyFont="1" applyFill="1" applyBorder="1" applyAlignment="1">
      <alignment horizontal="center" vertical="center"/>
    </xf>
    <xf numFmtId="41" fontId="66" fillId="0" borderId="4" xfId="165" applyNumberFormat="1" applyFont="1" applyBorder="1" applyAlignment="1">
      <alignment horizontal="center" vertical="center"/>
    </xf>
    <xf numFmtId="41" fontId="66" fillId="0" borderId="4" xfId="165" applyFont="1" applyFill="1" applyBorder="1" applyAlignment="1">
      <alignment horizontal="center" vertical="center"/>
    </xf>
    <xf numFmtId="0" fontId="65" fillId="0" borderId="4" xfId="0" applyFont="1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0" borderId="76" xfId="0" applyBorder="1">
      <alignment vertical="center"/>
    </xf>
    <xf numFmtId="0" fontId="4" fillId="0" borderId="43" xfId="0" applyFont="1" applyBorder="1" applyAlignment="1">
      <alignment horizontal="center" vertical="center"/>
    </xf>
    <xf numFmtId="0" fontId="50" fillId="5" borderId="43" xfId="0" applyFont="1" applyFill="1" applyBorder="1" applyAlignment="1">
      <alignment horizontal="center" vertical="center"/>
    </xf>
    <xf numFmtId="0" fontId="4" fillId="3" borderId="207" xfId="0" applyFont="1" applyFill="1" applyBorder="1" applyAlignment="1">
      <alignment horizontal="center" vertical="center"/>
    </xf>
    <xf numFmtId="0" fontId="51" fillId="7" borderId="8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65" xfId="0" applyFont="1" applyFill="1" applyBorder="1" applyAlignment="1">
      <alignment horizontal="center" vertical="center"/>
    </xf>
    <xf numFmtId="0" fontId="4" fillId="35" borderId="43" xfId="0" applyFont="1" applyFill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8" fillId="4" borderId="30" xfId="3" applyFont="1" applyFill="1" applyBorder="1" applyAlignment="1">
      <alignment horizontal="center" vertical="center"/>
    </xf>
    <xf numFmtId="0" fontId="8" fillId="4" borderId="29" xfId="3" applyFont="1" applyFill="1" applyBorder="1" applyAlignment="1">
      <alignment horizontal="center" vertical="center"/>
    </xf>
    <xf numFmtId="0" fontId="8" fillId="4" borderId="25" xfId="3" applyFont="1" applyFill="1" applyBorder="1" applyAlignment="1">
      <alignment horizontal="center" vertical="center"/>
    </xf>
    <xf numFmtId="0" fontId="8" fillId="4" borderId="24" xfId="3" applyFont="1" applyFill="1" applyBorder="1" applyAlignment="1">
      <alignment horizontal="center" vertical="center"/>
    </xf>
    <xf numFmtId="0" fontId="8" fillId="4" borderId="186" xfId="3" applyFont="1" applyFill="1" applyBorder="1" applyAlignment="1">
      <alignment horizontal="center" vertical="center" wrapText="1"/>
    </xf>
    <xf numFmtId="0" fontId="8" fillId="4" borderId="187" xfId="3" applyFont="1" applyFill="1" applyBorder="1" applyAlignment="1">
      <alignment horizontal="center" vertical="center" wrapText="1"/>
    </xf>
    <xf numFmtId="177" fontId="8" fillId="4" borderId="26" xfId="3" applyNumberFormat="1" applyFont="1" applyFill="1" applyBorder="1" applyAlignment="1">
      <alignment horizontal="center" vertical="center"/>
    </xf>
    <xf numFmtId="177" fontId="8" fillId="4" borderId="21" xfId="3" applyNumberFormat="1" applyFont="1" applyFill="1" applyBorder="1" applyAlignment="1">
      <alignment horizontal="center" vertical="center"/>
    </xf>
    <xf numFmtId="0" fontId="8" fillId="0" borderId="15" xfId="3" applyFont="1" applyFill="1" applyBorder="1" applyAlignment="1">
      <alignment horizontal="center" vertical="center"/>
    </xf>
    <xf numFmtId="0" fontId="8" fillId="0" borderId="20" xfId="3" applyFont="1" applyFill="1" applyBorder="1" applyAlignment="1">
      <alignment horizontal="center" vertical="center"/>
    </xf>
    <xf numFmtId="0" fontId="8" fillId="0" borderId="219" xfId="3" applyFont="1" applyBorder="1" applyAlignment="1">
      <alignment horizontal="center" vertical="center" wrapText="1"/>
    </xf>
    <xf numFmtId="0" fontId="8" fillId="0" borderId="218" xfId="3" applyFont="1" applyBorder="1" applyAlignment="1">
      <alignment horizontal="center" vertical="center"/>
    </xf>
    <xf numFmtId="0" fontId="8" fillId="4" borderId="188" xfId="3" applyFont="1" applyFill="1" applyBorder="1" applyAlignment="1">
      <alignment horizontal="center" vertical="center" wrapText="1"/>
    </xf>
    <xf numFmtId="0" fontId="8" fillId="4" borderId="189" xfId="3" applyFont="1" applyFill="1" applyBorder="1" applyAlignment="1">
      <alignment horizontal="center" vertical="center" wrapText="1"/>
    </xf>
    <xf numFmtId="0" fontId="8" fillId="0" borderId="13" xfId="3" applyFont="1" applyFill="1" applyBorder="1" applyAlignment="1">
      <alignment horizontal="center" vertical="center"/>
    </xf>
    <xf numFmtId="0" fontId="8" fillId="0" borderId="12" xfId="3" applyFont="1" applyFill="1" applyBorder="1" applyAlignment="1">
      <alignment horizontal="center" vertical="center"/>
    </xf>
    <xf numFmtId="41" fontId="8" fillId="0" borderId="17" xfId="4" applyFont="1" applyFill="1" applyBorder="1" applyAlignment="1">
      <alignment horizontal="center" vertical="center"/>
    </xf>
    <xf numFmtId="41" fontId="8" fillId="0" borderId="12" xfId="4" applyFont="1" applyFill="1" applyBorder="1" applyAlignment="1">
      <alignment horizontal="center" vertical="center"/>
    </xf>
    <xf numFmtId="0" fontId="8" fillId="35" borderId="13" xfId="3" applyFont="1" applyFill="1" applyBorder="1" applyAlignment="1">
      <alignment horizontal="center" vertical="center"/>
    </xf>
    <xf numFmtId="0" fontId="8" fillId="35" borderId="12" xfId="3" applyFont="1" applyFill="1" applyBorder="1" applyAlignment="1">
      <alignment horizontal="center" vertical="center"/>
    </xf>
    <xf numFmtId="0" fontId="8" fillId="0" borderId="17" xfId="3" applyFont="1" applyFill="1" applyBorder="1" applyAlignment="1">
      <alignment horizontal="center" vertical="center"/>
    </xf>
    <xf numFmtId="0" fontId="8" fillId="0" borderId="181" xfId="3" applyFont="1" applyFill="1" applyBorder="1" applyAlignment="1">
      <alignment horizontal="center" vertical="center" wrapText="1"/>
    </xf>
    <xf numFmtId="0" fontId="8" fillId="0" borderId="182" xfId="3" applyFont="1" applyFill="1" applyBorder="1" applyAlignment="1">
      <alignment horizontal="center" vertical="center"/>
    </xf>
    <xf numFmtId="0" fontId="8" fillId="35" borderId="216" xfId="3" applyFont="1" applyFill="1" applyBorder="1" applyAlignment="1">
      <alignment horizontal="center" vertical="center"/>
    </xf>
    <xf numFmtId="0" fontId="8" fillId="35" borderId="217" xfId="3" applyFont="1" applyFill="1" applyBorder="1" applyAlignment="1">
      <alignment horizontal="center" vertical="center"/>
    </xf>
    <xf numFmtId="0" fontId="8" fillId="4" borderId="13" xfId="3" applyFont="1" applyFill="1" applyBorder="1" applyAlignment="1">
      <alignment horizontal="center" vertical="center"/>
    </xf>
    <xf numFmtId="0" fontId="8" fillId="4" borderId="12" xfId="3" applyFont="1" applyFill="1" applyBorder="1" applyAlignment="1">
      <alignment horizontal="center" vertical="center"/>
    </xf>
    <xf numFmtId="0" fontId="8" fillId="4" borderId="216" xfId="3" applyFont="1" applyFill="1" applyBorder="1" applyAlignment="1">
      <alignment horizontal="center" vertical="center"/>
    </xf>
    <xf numFmtId="0" fontId="8" fillId="4" borderId="217" xfId="3" applyFont="1" applyFill="1" applyBorder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8" fillId="4" borderId="28" xfId="3" applyFont="1" applyFill="1" applyBorder="1" applyAlignment="1">
      <alignment horizontal="center" vertical="center" wrapText="1"/>
    </xf>
    <xf numFmtId="0" fontId="8" fillId="4" borderId="23" xfId="3" applyFont="1" applyFill="1" applyBorder="1" applyAlignment="1">
      <alignment horizontal="center" vertical="center" wrapText="1"/>
    </xf>
    <xf numFmtId="181" fontId="11" fillId="0" borderId="0" xfId="0" applyNumberFormat="1" applyFont="1" applyAlignment="1">
      <alignment horizontal="left" vertical="center"/>
    </xf>
    <xf numFmtId="180" fontId="53" fillId="0" borderId="61" xfId="1" applyNumberFormat="1" applyFont="1" applyBorder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 applyAlignment="1">
      <alignment horizontal="center" vertical="center"/>
    </xf>
    <xf numFmtId="41" fontId="4" fillId="0" borderId="75" xfId="1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179" fontId="63" fillId="0" borderId="75" xfId="0" applyNumberFormat="1" applyFont="1" applyFill="1" applyBorder="1" applyAlignment="1">
      <alignment horizontal="center" vertical="center"/>
    </xf>
    <xf numFmtId="179" fontId="63" fillId="0" borderId="3" xfId="0" applyNumberFormat="1" applyFont="1" applyFill="1" applyBorder="1" applyAlignment="1">
      <alignment horizontal="center" vertical="center"/>
    </xf>
    <xf numFmtId="41" fontId="50" fillId="0" borderId="154" xfId="1" applyFont="1" applyBorder="1" applyAlignment="1">
      <alignment horizontal="center" vertical="center"/>
    </xf>
    <xf numFmtId="41" fontId="50" fillId="0" borderId="155" xfId="1" applyFont="1" applyBorder="1" applyAlignment="1">
      <alignment horizontal="center" vertical="center"/>
    </xf>
    <xf numFmtId="43" fontId="50" fillId="0" borderId="42" xfId="0" applyNumberFormat="1" applyFont="1" applyFill="1" applyBorder="1" applyAlignment="1">
      <alignment horizontal="left" vertical="center" wrapText="1"/>
    </xf>
    <xf numFmtId="179" fontId="50" fillId="0" borderId="42" xfId="0" applyNumberFormat="1" applyFont="1" applyFill="1" applyBorder="1" applyAlignment="1">
      <alignment horizontal="left" vertical="center"/>
    </xf>
    <xf numFmtId="43" fontId="50" fillId="0" borderId="42" xfId="0" applyNumberFormat="1" applyFont="1" applyFill="1" applyBorder="1" applyAlignment="1">
      <alignment horizontal="left" vertical="center"/>
    </xf>
    <xf numFmtId="179" fontId="63" fillId="0" borderId="75" xfId="0" applyNumberFormat="1" applyFont="1" applyFill="1" applyBorder="1" applyAlignment="1">
      <alignment horizontal="left" vertical="center"/>
    </xf>
    <xf numFmtId="179" fontId="63" fillId="0" borderId="3" xfId="0" applyNumberFormat="1" applyFont="1" applyFill="1" applyBorder="1" applyAlignment="1">
      <alignment horizontal="left" vertical="center"/>
    </xf>
    <xf numFmtId="179" fontId="63" fillId="7" borderId="75" xfId="0" applyNumberFormat="1" applyFont="1" applyFill="1" applyBorder="1" applyAlignment="1">
      <alignment horizontal="left" vertical="center"/>
    </xf>
    <xf numFmtId="179" fontId="63" fillId="7" borderId="3" xfId="0" applyNumberFormat="1" applyFont="1" applyFill="1" applyBorder="1" applyAlignment="1">
      <alignment horizontal="left" vertical="center"/>
    </xf>
    <xf numFmtId="41" fontId="50" fillId="0" borderId="75" xfId="1" applyFont="1" applyBorder="1" applyAlignment="1">
      <alignment horizontal="center" vertical="center"/>
    </xf>
    <xf numFmtId="41" fontId="50" fillId="0" borderId="3" xfId="1" applyFont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41" fontId="50" fillId="0" borderId="174" xfId="1" applyFont="1" applyBorder="1" applyAlignment="1">
      <alignment horizontal="center" vertical="center"/>
    </xf>
    <xf numFmtId="41" fontId="50" fillId="0" borderId="175" xfId="1" applyFont="1" applyBorder="1" applyAlignment="1">
      <alignment horizontal="center" vertical="center"/>
    </xf>
    <xf numFmtId="0" fontId="50" fillId="0" borderId="171" xfId="0" applyFont="1" applyBorder="1" applyAlignment="1">
      <alignment horizontal="center" vertical="center" wrapText="1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0" borderId="169" xfId="0" applyFont="1" applyBorder="1" applyAlignment="1">
      <alignment horizontal="center" vertical="center" wrapText="1"/>
    </xf>
    <xf numFmtId="0" fontId="4" fillId="0" borderId="170" xfId="0" applyFont="1" applyBorder="1" applyAlignment="1">
      <alignment horizontal="center" vertical="center"/>
    </xf>
    <xf numFmtId="0" fontId="51" fillId="0" borderId="102" xfId="0" applyFont="1" applyBorder="1" applyAlignment="1">
      <alignment horizontal="center" vertical="center" wrapText="1"/>
    </xf>
    <xf numFmtId="0" fontId="51" fillId="0" borderId="172" xfId="0" applyFont="1" applyBorder="1" applyAlignment="1">
      <alignment horizontal="center" vertical="center"/>
    </xf>
    <xf numFmtId="0" fontId="50" fillId="0" borderId="73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73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1" fillId="0" borderId="42" xfId="0" applyFont="1" applyBorder="1" applyAlignment="1">
      <alignment horizontal="center" vertical="center"/>
    </xf>
    <xf numFmtId="0" fontId="51" fillId="0" borderId="0" xfId="0" applyFont="1" applyFill="1" applyBorder="1" applyAlignment="1">
      <alignment horizontal="left" vertical="center"/>
    </xf>
    <xf numFmtId="0" fontId="50" fillId="0" borderId="42" xfId="0" applyFont="1" applyBorder="1" applyAlignment="1">
      <alignment horizontal="center" vertical="center"/>
    </xf>
    <xf numFmtId="0" fontId="50" fillId="0" borderId="42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right" vertical="center"/>
    </xf>
    <xf numFmtId="49" fontId="56" fillId="3" borderId="1" xfId="0" applyNumberFormat="1" applyFont="1" applyFill="1" applyBorder="1" applyAlignment="1">
      <alignment horizontal="center" vertical="center"/>
    </xf>
    <xf numFmtId="49" fontId="56" fillId="4" borderId="42" xfId="0" applyNumberFormat="1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56" fillId="4" borderId="66" xfId="0" applyNumberFormat="1" applyFont="1" applyFill="1" applyBorder="1" applyAlignment="1">
      <alignment horizontal="center" vertical="center"/>
    </xf>
    <xf numFmtId="49" fontId="56" fillId="4" borderId="2" xfId="0" applyNumberFormat="1" applyFont="1" applyFill="1" applyBorder="1" applyAlignment="1">
      <alignment horizontal="center" vertical="center"/>
    </xf>
    <xf numFmtId="0" fontId="7" fillId="0" borderId="147" xfId="0" applyFont="1" applyBorder="1" applyAlignment="1">
      <alignment horizontal="center" vertical="center"/>
    </xf>
    <xf numFmtId="0" fontId="50" fillId="0" borderId="100" xfId="0" applyFont="1" applyBorder="1" applyAlignment="1">
      <alignment horizontal="center" vertical="center"/>
    </xf>
    <xf numFmtId="0" fontId="50" fillId="0" borderId="101" xfId="0" applyFont="1" applyBorder="1" applyAlignment="1">
      <alignment horizontal="center" vertical="center"/>
    </xf>
    <xf numFmtId="0" fontId="50" fillId="0" borderId="102" xfId="0" applyFont="1" applyBorder="1" applyAlignment="1">
      <alignment horizontal="center" vertical="center"/>
    </xf>
    <xf numFmtId="0" fontId="50" fillId="0" borderId="109" xfId="0" applyFont="1" applyBorder="1" applyAlignment="1">
      <alignment horizontal="center" vertical="center"/>
    </xf>
    <xf numFmtId="42" fontId="7" fillId="0" borderId="200" xfId="1" applyNumberFormat="1" applyFont="1" applyBorder="1" applyAlignment="1">
      <alignment horizontal="center" vertical="center"/>
    </xf>
    <xf numFmtId="42" fontId="7" fillId="0" borderId="3" xfId="1" applyNumberFormat="1" applyFont="1" applyBorder="1" applyAlignment="1">
      <alignment horizontal="center" vertical="center"/>
    </xf>
    <xf numFmtId="42" fontId="7" fillId="0" borderId="199" xfId="1" applyNumberFormat="1" applyFont="1" applyBorder="1" applyAlignment="1">
      <alignment horizontal="center" vertical="center"/>
    </xf>
    <xf numFmtId="42" fontId="7" fillId="0" borderId="78" xfId="1" applyNumberFormat="1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42" fontId="7" fillId="0" borderId="203" xfId="1" applyNumberFormat="1" applyFont="1" applyBorder="1" applyAlignment="1">
      <alignment horizontal="center" vertical="center"/>
    </xf>
    <xf numFmtId="42" fontId="7" fillId="0" borderId="202" xfId="1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42" fontId="7" fillId="0" borderId="205" xfId="0" applyNumberFormat="1" applyFont="1" applyBorder="1" applyAlignment="1">
      <alignment horizontal="center" vertical="center"/>
    </xf>
    <xf numFmtId="42" fontId="7" fillId="0" borderId="48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72" xfId="0" applyFont="1" applyBorder="1" applyAlignment="1">
      <alignment horizontal="left" vertical="center"/>
    </xf>
    <xf numFmtId="0" fontId="6" fillId="8" borderId="9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14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51" fillId="7" borderId="6" xfId="0" applyFont="1" applyFill="1" applyBorder="1" applyAlignment="1">
      <alignment horizontal="center" vertical="center"/>
    </xf>
    <xf numFmtId="0" fontId="51" fillId="7" borderId="8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50" fillId="35" borderId="65" xfId="0" applyFont="1" applyFill="1" applyBorder="1" applyAlignment="1">
      <alignment horizontal="center" vertical="center"/>
    </xf>
    <xf numFmtId="0" fontId="50" fillId="35" borderId="146" xfId="0" applyFont="1" applyFill="1" applyBorder="1" applyAlignment="1">
      <alignment horizontal="center" vertical="center"/>
    </xf>
    <xf numFmtId="0" fontId="50" fillId="0" borderId="61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41" fontId="4" fillId="0" borderId="73" xfId="1" applyFont="1" applyBorder="1" applyAlignment="1">
      <alignment horizontal="center" vertical="center"/>
    </xf>
    <xf numFmtId="0" fontId="4" fillId="0" borderId="74" xfId="0" applyFont="1" applyBorder="1" applyAlignment="1">
      <alignment horizontal="right" vertical="center"/>
    </xf>
    <xf numFmtId="41" fontId="4" fillId="0" borderId="2" xfId="1" applyFont="1" applyBorder="1" applyAlignment="1">
      <alignment horizontal="center" vertical="center"/>
    </xf>
    <xf numFmtId="41" fontId="4" fillId="0" borderId="42" xfId="1" applyFont="1" applyBorder="1" applyAlignment="1">
      <alignment horizontal="center" vertical="center"/>
    </xf>
    <xf numFmtId="41" fontId="4" fillId="0" borderId="40" xfId="1" applyFont="1" applyBorder="1" applyAlignment="1">
      <alignment horizontal="center" vertical="center"/>
    </xf>
    <xf numFmtId="41" fontId="50" fillId="0" borderId="76" xfId="1" applyFont="1" applyFill="1" applyBorder="1" applyAlignment="1">
      <alignment horizontal="left" vertical="center"/>
    </xf>
    <xf numFmtId="41" fontId="4" fillId="0" borderId="42" xfId="1" applyFont="1" applyFill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41" fontId="4" fillId="0" borderId="42" xfId="1" applyFont="1" applyBorder="1" applyAlignment="1">
      <alignment horizontal="center" vertical="center" wrapText="1"/>
    </xf>
    <xf numFmtId="41" fontId="4" fillId="0" borderId="88" xfId="1" applyFont="1" applyBorder="1" applyAlignment="1">
      <alignment horizontal="center" vertical="center" wrapText="1"/>
    </xf>
    <xf numFmtId="41" fontId="4" fillId="0" borderId="148" xfId="1" applyFont="1" applyBorder="1" applyAlignment="1">
      <alignment horizontal="center" vertical="center"/>
    </xf>
    <xf numFmtId="41" fontId="4" fillId="0" borderId="83" xfId="1" applyFont="1" applyBorder="1" applyAlignment="1">
      <alignment horizontal="center" vertical="center"/>
    </xf>
    <xf numFmtId="41" fontId="4" fillId="0" borderId="47" xfId="1" applyFont="1" applyBorder="1" applyAlignment="1">
      <alignment horizontal="center" vertical="center"/>
    </xf>
    <xf numFmtId="41" fontId="4" fillId="0" borderId="76" xfId="1" applyFont="1" applyBorder="1" applyAlignment="1">
      <alignment horizontal="center" vertical="center"/>
    </xf>
    <xf numFmtId="41" fontId="4" fillId="0" borderId="48" xfId="1" applyFont="1" applyBorder="1" applyAlignment="1">
      <alignment horizontal="center" vertical="center"/>
    </xf>
    <xf numFmtId="41" fontId="4" fillId="0" borderId="52" xfId="1" applyFont="1" applyBorder="1" applyAlignment="1">
      <alignment horizontal="center" vertical="center"/>
    </xf>
    <xf numFmtId="41" fontId="4" fillId="0" borderId="0" xfId="1" applyFont="1" applyAlignment="1">
      <alignment horizontal="center" vertical="center" wrapText="1"/>
    </xf>
    <xf numFmtId="41" fontId="4" fillId="0" borderId="0" xfId="1" applyFont="1" applyAlignment="1">
      <alignment horizontal="center" vertical="center"/>
    </xf>
    <xf numFmtId="41" fontId="4" fillId="0" borderId="79" xfId="1" applyFont="1" applyBorder="1" applyAlignment="1">
      <alignment horizontal="center" vertical="center"/>
    </xf>
    <xf numFmtId="41" fontId="4" fillId="0" borderId="43" xfId="1" applyFont="1" applyBorder="1" applyAlignment="1">
      <alignment horizontal="center" vertical="center"/>
    </xf>
    <xf numFmtId="41" fontId="4" fillId="0" borderId="41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1" fillId="7" borderId="5" xfId="0" applyFont="1" applyFill="1" applyBorder="1" applyAlignment="1">
      <alignment horizontal="center" vertical="center" wrapText="1"/>
    </xf>
    <xf numFmtId="0" fontId="51" fillId="7" borderId="213" xfId="0" applyFont="1" applyFill="1" applyBorder="1" applyAlignment="1">
      <alignment horizontal="center" vertical="center" wrapText="1"/>
    </xf>
    <xf numFmtId="0" fontId="51" fillId="7" borderId="227" xfId="0" applyFont="1" applyFill="1" applyBorder="1" applyAlignment="1">
      <alignment horizontal="center" vertical="center" wrapText="1"/>
    </xf>
    <xf numFmtId="0" fontId="51" fillId="5" borderId="89" xfId="0" applyFont="1" applyFill="1" applyBorder="1" applyAlignment="1">
      <alignment horizontal="center" vertical="center"/>
    </xf>
    <xf numFmtId="0" fontId="51" fillId="5" borderId="20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31" borderId="43" xfId="0" applyFont="1" applyFill="1" applyBorder="1" applyAlignment="1">
      <alignment horizontal="center" vertical="center"/>
    </xf>
    <xf numFmtId="0" fontId="4" fillId="3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5" borderId="42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1" borderId="65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</cellXfs>
  <cellStyles count="166">
    <cellStyle name="??&amp;O?&amp;H?_x0008__x000f__x0007_?_x0007__x0001__x0001_" xfId="5"/>
    <cellStyle name="??&amp;O?&amp;H?_x0008_??_x0007__x0001__x0001_" xfId="6"/>
    <cellStyle name="_03감축(청)" xfId="7"/>
    <cellStyle name="_03감축(청)_11비상" xfId="8"/>
    <cellStyle name="_03감축(청)_12월대비부진재고1" xfId="9"/>
    <cellStyle name="_03감축(청)_2001비상" xfId="10"/>
    <cellStyle name="_03감축(청)_5월생존" xfId="11"/>
    <cellStyle name="_03감축(청)_9905비상" xfId="12"/>
    <cellStyle name="_03감축(청)_9906비상" xfId="13"/>
    <cellStyle name="_03감축(청)_9906요약BS" xfId="14"/>
    <cellStyle name="_03감축(청)_수출채권" xfId="15"/>
    <cellStyle name="_03감축(청)_수출채권 (2)" xfId="16"/>
    <cellStyle name="_03부실" xfId="17"/>
    <cellStyle name="_03부실_11비상" xfId="18"/>
    <cellStyle name="_03부실_12월대비부진재고1" xfId="19"/>
    <cellStyle name="_03부실_2001비상" xfId="20"/>
    <cellStyle name="_03부실_5월생존" xfId="21"/>
    <cellStyle name="_03부실_9905비상" xfId="22"/>
    <cellStyle name="_03부실_9906비상" xfId="23"/>
    <cellStyle name="_03부실_9906요약BS" xfId="24"/>
    <cellStyle name="_03부실_수출채권" xfId="25"/>
    <cellStyle name="_03부실_수출채권 (2)" xfId="26"/>
    <cellStyle name="_04감축(청)" xfId="27"/>
    <cellStyle name="_04감축(청)_11비상" xfId="28"/>
    <cellStyle name="_04감축(청)_12월대비부진재고1" xfId="29"/>
    <cellStyle name="_04감축(청)_2001비상" xfId="30"/>
    <cellStyle name="_04감축(청)_5월생존" xfId="31"/>
    <cellStyle name="_04감축(청)_9905비상" xfId="32"/>
    <cellStyle name="_04감축(청)_9906비상" xfId="33"/>
    <cellStyle name="_04감축(청)_9906요약BS" xfId="34"/>
    <cellStyle name="_04감축(청)_수출채권" xfId="35"/>
    <cellStyle name="_04부실" xfId="36"/>
    <cellStyle name="_04부실_11비상" xfId="37"/>
    <cellStyle name="_04부실_12월대비부진재고1" xfId="38"/>
    <cellStyle name="_04부실_2001비상" xfId="39"/>
    <cellStyle name="_04부실_5월생존" xfId="40"/>
    <cellStyle name="_04부실_9905비상" xfId="41"/>
    <cellStyle name="_04부실_9906비상" xfId="42"/>
    <cellStyle name="_04부실_9906요약BS" xfId="43"/>
    <cellStyle name="_04부실_수출채권" xfId="44"/>
    <cellStyle name="_monci" xfId="45"/>
    <cellStyle name="20% - 강조색1 2" xfId="46"/>
    <cellStyle name="20% - 강조색2 2" xfId="47"/>
    <cellStyle name="20% - 강조색3 2" xfId="48"/>
    <cellStyle name="20% - 강조색4 2" xfId="49"/>
    <cellStyle name="20% - 강조색5 2" xfId="50"/>
    <cellStyle name="20% - 강조색6 2" xfId="51"/>
    <cellStyle name="40% - 강조색1 2" xfId="52"/>
    <cellStyle name="40% - 강조색2 2" xfId="53"/>
    <cellStyle name="40% - 강조색3 2" xfId="54"/>
    <cellStyle name="40% - 강조색4 2" xfId="55"/>
    <cellStyle name="40% - 강조색5 2" xfId="56"/>
    <cellStyle name="40% - 강조색6 2" xfId="57"/>
    <cellStyle name="60% - 강조색1 2" xfId="58"/>
    <cellStyle name="60% - 강조색2 2" xfId="59"/>
    <cellStyle name="60% - 강조색3 2" xfId="60"/>
    <cellStyle name="60% - 강조색4 2" xfId="61"/>
    <cellStyle name="60% - 강조색5 2" xfId="62"/>
    <cellStyle name="60% - 강조색6 2" xfId="63"/>
    <cellStyle name="Comma [0]_1996 (2)_97회비 (2)_1월회비내역 (2)ded." xfId="64"/>
    <cellStyle name="Comma_1996 (2)_9월경비 (2)_97회비 (2)_1월회비내역 (2) (2)s" xfId="65"/>
    <cellStyle name="Currency [0]_1996 (2)_9월경비 (2)_97회비 (2)2)2) " xfId="66"/>
    <cellStyle name="Currency_2실적000 (2)2w " xfId="67"/>
    <cellStyle name="Normal_&quot;CANCEL&quot; Volume Detail " xfId="68"/>
    <cellStyle name="강조색1 2" xfId="69"/>
    <cellStyle name="강조색2 2" xfId="70"/>
    <cellStyle name="강조색3 2" xfId="71"/>
    <cellStyle name="강조색4 2" xfId="72"/>
    <cellStyle name="강조색5 2" xfId="73"/>
    <cellStyle name="강조색6 2" xfId="74"/>
    <cellStyle name="경고문 2" xfId="75"/>
    <cellStyle name="계산 2" xfId="76"/>
    <cellStyle name="咬訌裝?report-2 " xfId="77"/>
    <cellStyle name="나쁨 2" xfId="78"/>
    <cellStyle name="메모 2" xfId="79"/>
    <cellStyle name="백분율" xfId="2" builtinId="5"/>
    <cellStyle name="백분율 2" xfId="80"/>
    <cellStyle name="백분율 2 2" xfId="81"/>
    <cellStyle name="백분율 3" xfId="82"/>
    <cellStyle name="백분율 4" xfId="83"/>
    <cellStyle name="백분율 5" xfId="84"/>
    <cellStyle name="백분율 6" xfId="85"/>
    <cellStyle name="보통 2" xfId="86"/>
    <cellStyle name="새귑[0]_롤痰삠悧 " xfId="87"/>
    <cellStyle name="새귑_롤痰삠悧 " xfId="88"/>
    <cellStyle name="설명 텍스트 2" xfId="89"/>
    <cellStyle name="셀 확인 2" xfId="90"/>
    <cellStyle name="쉼표 [0]" xfId="1" builtinId="6"/>
    <cellStyle name="쉼표 [0] 10" xfId="91"/>
    <cellStyle name="쉼표 [0] 11" xfId="92"/>
    <cellStyle name="쉼표 [0] 12" xfId="165"/>
    <cellStyle name="쉼표 [0] 2" xfId="4"/>
    <cellStyle name="쉼표 [0] 2 2" xfId="93"/>
    <cellStyle name="쉼표 [0] 2 2 2" xfId="94"/>
    <cellStyle name="쉼표 [0] 2 3" xfId="95"/>
    <cellStyle name="쉼표 [0] 3" xfId="96"/>
    <cellStyle name="쉼표 [0] 3 2" xfId="97"/>
    <cellStyle name="쉼표 [0] 3 3" xfId="98"/>
    <cellStyle name="쉼표 [0] 3 4" xfId="99"/>
    <cellStyle name="쉼표 [0] 4" xfId="100"/>
    <cellStyle name="쉼표 [0] 5" xfId="101"/>
    <cellStyle name="쉼표 [0] 6" xfId="102"/>
    <cellStyle name="쉼표 [0] 7" xfId="103"/>
    <cellStyle name="쉼표 [0] 8" xfId="104"/>
    <cellStyle name="쉼표 [0] 9" xfId="105"/>
    <cellStyle name="스타일 1" xfId="106"/>
    <cellStyle name="연결된 셀 2" xfId="107"/>
    <cellStyle name="요약 2" xfId="108"/>
    <cellStyle name="입력 2" xfId="109"/>
    <cellStyle name="제목 1 2" xfId="110"/>
    <cellStyle name="제목 2 2" xfId="111"/>
    <cellStyle name="제목 3 2" xfId="112"/>
    <cellStyle name="제목 4 2" xfId="113"/>
    <cellStyle name="제목 5" xfId="114"/>
    <cellStyle name="좋음 2" xfId="115"/>
    <cellStyle name="출력 2" xfId="116"/>
    <cellStyle name="콤마 [0]_  종  합  " xfId="117"/>
    <cellStyle name="콤마_  종  합  " xfId="118"/>
    <cellStyle name="통화 [0] 2" xfId="119"/>
    <cellStyle name="표준" xfId="0" builtinId="0"/>
    <cellStyle name="표준 10" xfId="120"/>
    <cellStyle name="표준 11" xfId="121"/>
    <cellStyle name="표준 12" xfId="122"/>
    <cellStyle name="표준 13" xfId="123"/>
    <cellStyle name="표준 14" xfId="124"/>
    <cellStyle name="표준 15" xfId="125"/>
    <cellStyle name="표준 16" xfId="126"/>
    <cellStyle name="표준 17" xfId="127"/>
    <cellStyle name="표준 18" xfId="128"/>
    <cellStyle name="표준 19" xfId="129"/>
    <cellStyle name="표준 2" xfId="3"/>
    <cellStyle name="표준 2 2" xfId="130"/>
    <cellStyle name="표준 2 3" xfId="131"/>
    <cellStyle name="표준 2 5 2" xfId="132"/>
    <cellStyle name="표준 2_1-2월판매량(보고)" xfId="133"/>
    <cellStyle name="표준 20" xfId="134"/>
    <cellStyle name="표준 21" xfId="135"/>
    <cellStyle name="표준 22" xfId="136"/>
    <cellStyle name="표준 23" xfId="137"/>
    <cellStyle name="표준 24" xfId="138"/>
    <cellStyle name="표준 25" xfId="139"/>
    <cellStyle name="표준 26" xfId="140"/>
    <cellStyle name="표준 27" xfId="141"/>
    <cellStyle name="표준 28" xfId="142"/>
    <cellStyle name="표준 29" xfId="143"/>
    <cellStyle name="표준 3" xfId="144"/>
    <cellStyle name="표준 3 2" xfId="145"/>
    <cellStyle name="표준 3 3" xfId="146"/>
    <cellStyle name="표준 30" xfId="147"/>
    <cellStyle name="표준 31" xfId="148"/>
    <cellStyle name="표준 32" xfId="149"/>
    <cellStyle name="표준 33" xfId="150"/>
    <cellStyle name="표준 34" xfId="151"/>
    <cellStyle name="표준 35" xfId="152"/>
    <cellStyle name="표준 36" xfId="153"/>
    <cellStyle name="표준 37" xfId="154"/>
    <cellStyle name="표준 38" xfId="155"/>
    <cellStyle name="표준 39" xfId="156"/>
    <cellStyle name="표준 4" xfId="157"/>
    <cellStyle name="표준 4 2" xfId="158"/>
    <cellStyle name="표준 40" xfId="159"/>
    <cellStyle name="표준 5" xfId="160"/>
    <cellStyle name="표준 6" xfId="161"/>
    <cellStyle name="표준 7" xfId="162"/>
    <cellStyle name="표준 8" xfId="163"/>
    <cellStyle name="표준 9" xfId="164"/>
  </cellStyles>
  <dxfs count="6">
    <dxf>
      <font>
        <color theme="4"/>
      </font>
    </dxf>
    <dxf>
      <font>
        <condense val="0"/>
        <extend val="0"/>
        <color rgb="FF9C0006"/>
      </font>
    </dxf>
    <dxf>
      <font>
        <color theme="4"/>
      </font>
    </dxf>
    <dxf>
      <font>
        <condense val="0"/>
        <extend val="0"/>
        <color rgb="FF9C0006"/>
      </font>
    </dxf>
    <dxf>
      <font>
        <color theme="4"/>
      </font>
    </dxf>
    <dxf>
      <font>
        <condense val="0"/>
        <extend val="0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200024</xdr:rowOff>
    </xdr:from>
    <xdr:to>
      <xdr:col>13</xdr:col>
      <xdr:colOff>257175</xdr:colOff>
      <xdr:row>54</xdr:row>
      <xdr:rowOff>109447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67274"/>
          <a:ext cx="10944225" cy="6615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externalLinkPath" Target="2023&#45380;_&#54032;&#47588;&#47049;_DATA(&#47700;&#45684;&#48324;)20240104&#51089;&#50629;&#51473;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A29"/>
  <sheetViews>
    <sheetView zoomScale="70" zoomScaleNormal="70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J11" sqref="J11"/>
    </sheetView>
  </sheetViews>
  <sheetFormatPr defaultRowHeight="16.5"/>
  <cols>
    <col min="1" max="1" width="3.25" style="5" customWidth="1"/>
    <col min="2" max="2" width="17.625" style="5" customWidth="1"/>
    <col min="3" max="6" width="22" style="5" customWidth="1"/>
    <col min="7" max="7" width="105.25" style="5" customWidth="1"/>
    <col min="8" max="9" width="3.625" style="5" customWidth="1"/>
    <col min="10" max="10" width="21.875" style="5" bestFit="1" customWidth="1"/>
    <col min="11" max="11" width="25" style="5" customWidth="1"/>
    <col min="12" max="14" width="3.625" style="5" customWidth="1"/>
    <col min="15" max="15" width="3.625" style="5" hidden="1" customWidth="1"/>
    <col min="16" max="25" width="3.625" style="5" customWidth="1"/>
    <col min="26" max="26" width="9" style="5"/>
    <col min="27" max="27" width="45.125" style="5" customWidth="1"/>
    <col min="28" max="16384" width="9" style="5"/>
  </cols>
  <sheetData>
    <row r="1" spans="1:27" s="24" customFormat="1" ht="81.75" customHeight="1">
      <c r="A1" s="658" t="s">
        <v>928</v>
      </c>
      <c r="B1" s="658"/>
      <c r="C1" s="658"/>
      <c r="D1" s="658"/>
      <c r="E1" s="658"/>
      <c r="F1" s="658"/>
      <c r="G1" s="658"/>
      <c r="H1" s="26"/>
      <c r="I1" s="26"/>
      <c r="J1" s="25"/>
      <c r="K1" s="25"/>
      <c r="L1" s="25"/>
      <c r="M1" s="25"/>
      <c r="N1" s="25"/>
    </row>
    <row r="2" spans="1:27" ht="28.5" customHeight="1" thickBot="1">
      <c r="A2" s="84" t="s">
        <v>811</v>
      </c>
      <c r="B2" s="84"/>
      <c r="C2" s="335"/>
      <c r="D2" s="335"/>
      <c r="E2" s="335"/>
      <c r="F2" s="335"/>
      <c r="G2" s="85" t="s">
        <v>358</v>
      </c>
      <c r="H2" s="23"/>
      <c r="I2" s="23"/>
      <c r="J2" s="15"/>
      <c r="K2" s="15"/>
      <c r="L2" s="15"/>
      <c r="M2" s="15"/>
      <c r="N2" s="15"/>
    </row>
    <row r="3" spans="1:27" ht="39.950000000000003" customHeight="1">
      <c r="A3" s="659" t="s">
        <v>357</v>
      </c>
      <c r="B3" s="660"/>
      <c r="C3" s="663" t="s">
        <v>809</v>
      </c>
      <c r="D3" s="671" t="s">
        <v>910</v>
      </c>
      <c r="E3" s="671" t="s">
        <v>421</v>
      </c>
      <c r="F3" s="671" t="s">
        <v>911</v>
      </c>
      <c r="G3" s="665" t="s">
        <v>354</v>
      </c>
      <c r="H3" s="16"/>
      <c r="I3" s="16"/>
      <c r="J3" s="15"/>
      <c r="K3" s="15"/>
      <c r="L3" s="15"/>
      <c r="M3" s="15"/>
      <c r="N3" s="15"/>
    </row>
    <row r="4" spans="1:27" ht="39.950000000000003" customHeight="1" thickBot="1">
      <c r="A4" s="661"/>
      <c r="B4" s="662"/>
      <c r="C4" s="664"/>
      <c r="D4" s="672"/>
      <c r="E4" s="672"/>
      <c r="F4" s="672"/>
      <c r="G4" s="666"/>
      <c r="H4" s="17"/>
      <c r="I4" s="17"/>
      <c r="J4" s="22"/>
      <c r="K4" s="17"/>
      <c r="L4" s="17"/>
      <c r="M4" s="17"/>
      <c r="N4" s="15"/>
    </row>
    <row r="5" spans="1:27" ht="39.950000000000003" customHeight="1">
      <c r="A5" s="667" t="s">
        <v>352</v>
      </c>
      <c r="B5" s="668"/>
      <c r="C5" s="88">
        <v>691554797.75</v>
      </c>
      <c r="D5" s="411">
        <v>671396018</v>
      </c>
      <c r="E5" s="411">
        <f>C5-D5</f>
        <v>20158779.75</v>
      </c>
      <c r="F5" s="419">
        <f>1-(D5/C5)</f>
        <v>2.9149938393294827E-2</v>
      </c>
      <c r="G5" s="29" t="s">
        <v>912</v>
      </c>
      <c r="H5" s="17"/>
      <c r="I5" s="17"/>
      <c r="J5" s="10"/>
      <c r="K5" s="17"/>
      <c r="L5" s="17"/>
      <c r="M5" s="17"/>
      <c r="N5" s="15"/>
    </row>
    <row r="6" spans="1:27" ht="39.950000000000003" customHeight="1">
      <c r="A6" s="673" t="s">
        <v>351</v>
      </c>
      <c r="B6" s="674"/>
      <c r="C6" s="89">
        <v>186719795.39250001</v>
      </c>
      <c r="D6" s="412">
        <v>182892005</v>
      </c>
      <c r="E6" s="411">
        <f t="shared" ref="E6:E27" si="0">C6-D6</f>
        <v>3827790.3925000131</v>
      </c>
      <c r="F6" s="412"/>
      <c r="G6" s="30" t="s">
        <v>913</v>
      </c>
      <c r="H6" s="17"/>
      <c r="I6" s="17"/>
      <c r="J6" s="10"/>
      <c r="K6" s="17"/>
      <c r="L6" s="17"/>
      <c r="M6" s="17"/>
      <c r="N6" s="15"/>
    </row>
    <row r="7" spans="1:27" ht="39.950000000000003" customHeight="1">
      <c r="A7" s="673" t="s">
        <v>350</v>
      </c>
      <c r="B7" s="674"/>
      <c r="C7" s="90">
        <f>SUM(C5-C6)</f>
        <v>504835002.35749996</v>
      </c>
      <c r="D7" s="90">
        <f>SUM(D5-D6)</f>
        <v>488504013</v>
      </c>
      <c r="E7" s="411">
        <f t="shared" si="0"/>
        <v>16330989.357499957</v>
      </c>
      <c r="F7" s="413"/>
      <c r="G7" s="27"/>
      <c r="H7" s="17"/>
      <c r="I7" s="17"/>
      <c r="J7" s="10"/>
      <c r="K7" s="17"/>
      <c r="L7" s="17"/>
      <c r="M7" s="17"/>
      <c r="N7" s="15"/>
    </row>
    <row r="8" spans="1:27" ht="39.950000000000003" customHeight="1">
      <c r="A8" s="675" t="s">
        <v>349</v>
      </c>
      <c r="B8" s="676"/>
      <c r="C8" s="90">
        <f>SUM(C9,C13)</f>
        <v>1290218441.4508243</v>
      </c>
      <c r="D8" s="90">
        <f>SUM(D9,D13)</f>
        <v>1156895435</v>
      </c>
      <c r="E8" s="411">
        <f t="shared" si="0"/>
        <v>133323006.45082426</v>
      </c>
      <c r="F8" s="413"/>
      <c r="G8" s="27"/>
      <c r="H8" s="17"/>
      <c r="I8" s="17"/>
      <c r="J8" s="10"/>
      <c r="K8" s="17"/>
      <c r="L8" s="17"/>
      <c r="M8" s="17"/>
      <c r="N8" s="15"/>
    </row>
    <row r="9" spans="1:27" ht="39.950000000000003" customHeight="1">
      <c r="A9" s="91"/>
      <c r="B9" s="92" t="s">
        <v>78</v>
      </c>
      <c r="C9" s="94">
        <f>SUM(C10:C12)</f>
        <v>1106290192</v>
      </c>
      <c r="D9" s="94">
        <f>SUM(D10:D12)</f>
        <v>1016172215</v>
      </c>
      <c r="E9" s="604">
        <f t="shared" si="0"/>
        <v>90117977</v>
      </c>
      <c r="F9" s="605">
        <f>1-(D9/C9)</f>
        <v>8.1459618508486265E-2</v>
      </c>
      <c r="G9" s="95"/>
      <c r="H9" s="17"/>
      <c r="I9" s="17"/>
      <c r="J9" s="21"/>
      <c r="K9" s="17"/>
      <c r="L9" s="17"/>
      <c r="M9" s="17"/>
      <c r="N9" s="15"/>
    </row>
    <row r="10" spans="1:27" ht="56.25" customHeight="1">
      <c r="A10" s="91"/>
      <c r="B10" s="96" t="s">
        <v>78</v>
      </c>
      <c r="C10" s="98">
        <v>929968489</v>
      </c>
      <c r="D10" s="415">
        <v>842718071</v>
      </c>
      <c r="E10" s="411">
        <f t="shared" si="0"/>
        <v>87250418</v>
      </c>
      <c r="F10" s="415"/>
      <c r="G10" s="31" t="s">
        <v>914</v>
      </c>
      <c r="H10" s="17"/>
      <c r="I10" s="17"/>
      <c r="J10" s="11"/>
      <c r="K10" s="17"/>
      <c r="L10" s="17"/>
      <c r="M10" s="17"/>
      <c r="N10" s="15"/>
    </row>
    <row r="11" spans="1:27" ht="39.950000000000003" customHeight="1">
      <c r="A11" s="91"/>
      <c r="B11" s="96" t="s">
        <v>347</v>
      </c>
      <c r="C11" s="98">
        <v>79429003</v>
      </c>
      <c r="D11" s="415">
        <v>91518024</v>
      </c>
      <c r="E11" s="411">
        <f t="shared" si="0"/>
        <v>-12089021</v>
      </c>
      <c r="F11" s="415"/>
      <c r="G11" s="32" t="s">
        <v>915</v>
      </c>
      <c r="H11" s="17"/>
      <c r="I11" s="17"/>
      <c r="J11" s="11"/>
      <c r="K11" s="17"/>
      <c r="L11" s="17"/>
      <c r="M11" s="17"/>
      <c r="N11" s="15"/>
    </row>
    <row r="12" spans="1:27" ht="39.950000000000003" customHeight="1">
      <c r="A12" s="91"/>
      <c r="B12" s="96" t="s">
        <v>345</v>
      </c>
      <c r="C12" s="98">
        <v>96892700</v>
      </c>
      <c r="D12" s="415">
        <v>81936120</v>
      </c>
      <c r="E12" s="411">
        <f t="shared" si="0"/>
        <v>14956580</v>
      </c>
      <c r="F12" s="415"/>
      <c r="G12" s="32" t="s">
        <v>916</v>
      </c>
      <c r="H12" s="17"/>
      <c r="I12" s="17"/>
      <c r="J12" s="11"/>
      <c r="K12" s="17"/>
      <c r="L12" s="17"/>
      <c r="M12" s="17"/>
      <c r="N12" s="15"/>
    </row>
    <row r="13" spans="1:27" s="18" customFormat="1" ht="39.950000000000003" customHeight="1">
      <c r="A13" s="91"/>
      <c r="B13" s="92" t="s">
        <v>343</v>
      </c>
      <c r="C13" s="94">
        <f>SUM(C14:C19)</f>
        <v>183928249.45082438</v>
      </c>
      <c r="D13" s="94">
        <f>SUM(D14:D19)</f>
        <v>140723220</v>
      </c>
      <c r="E13" s="604">
        <f t="shared" si="0"/>
        <v>43205029.45082438</v>
      </c>
      <c r="F13" s="414"/>
      <c r="G13" s="95"/>
      <c r="H13" s="20"/>
      <c r="I13" s="20"/>
      <c r="J13" s="21"/>
      <c r="K13" s="20"/>
      <c r="L13" s="20"/>
      <c r="M13" s="20"/>
      <c r="N13" s="19"/>
    </row>
    <row r="14" spans="1:27" ht="39.950000000000003" customHeight="1">
      <c r="A14" s="91"/>
      <c r="B14" s="96" t="s">
        <v>342</v>
      </c>
      <c r="C14" s="98">
        <v>2128000</v>
      </c>
      <c r="D14" s="415">
        <v>2462664</v>
      </c>
      <c r="E14" s="411">
        <f t="shared" si="0"/>
        <v>-334664</v>
      </c>
      <c r="F14" s="415"/>
      <c r="G14" s="31" t="s">
        <v>917</v>
      </c>
      <c r="H14" s="17"/>
      <c r="I14" s="17"/>
      <c r="J14" s="11"/>
      <c r="K14" s="17"/>
      <c r="L14" s="17"/>
      <c r="M14" s="17"/>
      <c r="N14" s="15"/>
      <c r="AA14" s="14"/>
    </row>
    <row r="15" spans="1:27" ht="39.950000000000003" customHeight="1">
      <c r="A15" s="91"/>
      <c r="B15" s="99" t="s">
        <v>341</v>
      </c>
      <c r="C15" s="98">
        <v>3457774</v>
      </c>
      <c r="D15" s="415">
        <v>2395007</v>
      </c>
      <c r="E15" s="411">
        <f t="shared" si="0"/>
        <v>1062767</v>
      </c>
      <c r="F15" s="415"/>
      <c r="G15" s="32" t="s">
        <v>918</v>
      </c>
      <c r="H15" s="17"/>
      <c r="I15" s="17"/>
      <c r="J15" s="11"/>
      <c r="K15" s="17"/>
      <c r="L15" s="17"/>
      <c r="M15" s="17"/>
      <c r="N15" s="15"/>
      <c r="AA15" s="14"/>
    </row>
    <row r="16" spans="1:27" ht="39.950000000000003" customHeight="1">
      <c r="A16" s="91"/>
      <c r="B16" s="96" t="s">
        <v>340</v>
      </c>
      <c r="C16" s="98">
        <v>2354154</v>
      </c>
      <c r="D16" s="415">
        <v>2354154</v>
      </c>
      <c r="E16" s="411">
        <f t="shared" si="0"/>
        <v>0</v>
      </c>
      <c r="F16" s="415"/>
      <c r="G16" s="32" t="s">
        <v>919</v>
      </c>
      <c r="H16" s="16"/>
      <c r="I16" s="16"/>
      <c r="J16" s="98">
        <v>2067673</v>
      </c>
      <c r="K16" s="570">
        <f>C16-J16</f>
        <v>286481</v>
      </c>
      <c r="L16" s="15"/>
      <c r="M16" s="15"/>
      <c r="N16" s="15"/>
      <c r="AA16" s="14"/>
    </row>
    <row r="17" spans="1:27" s="7" customFormat="1" ht="69">
      <c r="A17" s="91"/>
      <c r="B17" s="96" t="s">
        <v>339</v>
      </c>
      <c r="C17" s="98">
        <v>106326014.08007437</v>
      </c>
      <c r="D17" s="415">
        <v>90263976</v>
      </c>
      <c r="E17" s="411">
        <f t="shared" si="0"/>
        <v>16062038.08007437</v>
      </c>
      <c r="F17" s="419">
        <f>1-(D17/C17)</f>
        <v>0.15106404786299998</v>
      </c>
      <c r="G17" s="31" t="s">
        <v>920</v>
      </c>
      <c r="H17" s="9"/>
      <c r="I17" s="9"/>
      <c r="J17" s="11"/>
      <c r="K17" s="9"/>
      <c r="L17" s="9"/>
      <c r="M17" s="9"/>
      <c r="N17" s="8"/>
      <c r="AA17" s="13"/>
    </row>
    <row r="18" spans="1:27" s="7" customFormat="1" ht="77.25" customHeight="1">
      <c r="A18" s="91"/>
      <c r="B18" s="96" t="s">
        <v>338</v>
      </c>
      <c r="C18" s="98">
        <v>26910212.370750003</v>
      </c>
      <c r="D18" s="415">
        <v>9535000</v>
      </c>
      <c r="E18" s="411">
        <f t="shared" si="0"/>
        <v>17375212.370750003</v>
      </c>
      <c r="F18" s="419"/>
      <c r="G18" s="31" t="s">
        <v>921</v>
      </c>
      <c r="H18" s="9"/>
      <c r="I18" s="9"/>
      <c r="J18" s="11"/>
      <c r="K18" s="9"/>
      <c r="L18" s="9"/>
      <c r="M18" s="9"/>
      <c r="N18" s="8"/>
      <c r="AA18" s="12"/>
    </row>
    <row r="19" spans="1:27" s="7" customFormat="1" ht="47.25" customHeight="1">
      <c r="A19" s="100"/>
      <c r="B19" s="101" t="s">
        <v>337</v>
      </c>
      <c r="C19" s="102">
        <v>42752095</v>
      </c>
      <c r="D19" s="416">
        <v>33712419</v>
      </c>
      <c r="E19" s="411">
        <f t="shared" si="0"/>
        <v>9039676</v>
      </c>
      <c r="F19" s="416"/>
      <c r="G19" s="31" t="s">
        <v>922</v>
      </c>
      <c r="H19" s="9"/>
      <c r="I19" s="9"/>
      <c r="J19" s="11"/>
      <c r="K19" s="9"/>
      <c r="L19" s="9"/>
      <c r="M19" s="9"/>
      <c r="N19" s="8"/>
    </row>
    <row r="20" spans="1:27" s="7" customFormat="1" ht="39.950000000000003" customHeight="1">
      <c r="A20" s="677" t="s">
        <v>336</v>
      </c>
      <c r="B20" s="678"/>
      <c r="C20" s="606">
        <f>SUM(C7-C8)</f>
        <v>-785383439.0933243</v>
      </c>
      <c r="D20" s="606">
        <f>SUM(D7-D8)</f>
        <v>-668391422</v>
      </c>
      <c r="E20" s="607">
        <f t="shared" si="0"/>
        <v>-116992017.0933243</v>
      </c>
      <c r="F20" s="608"/>
      <c r="G20" s="609"/>
      <c r="H20" s="9"/>
      <c r="I20" s="9"/>
      <c r="J20" s="10"/>
      <c r="K20" s="9"/>
      <c r="L20" s="9"/>
      <c r="M20" s="9"/>
      <c r="N20" s="8"/>
    </row>
    <row r="21" spans="1:27" s="7" customFormat="1" ht="39.950000000000003" customHeight="1">
      <c r="A21" s="679" t="s">
        <v>335</v>
      </c>
      <c r="B21" s="674"/>
      <c r="C21" s="106">
        <f>SUM(C22:C24)</f>
        <v>1651614680</v>
      </c>
      <c r="D21" s="106">
        <f>SUM(D22:D24)</f>
        <v>1077116918</v>
      </c>
      <c r="E21" s="411">
        <f t="shared" si="0"/>
        <v>574497762</v>
      </c>
      <c r="F21" s="417"/>
      <c r="G21" s="107"/>
      <c r="H21" s="9"/>
      <c r="I21" s="9"/>
      <c r="J21" s="10"/>
      <c r="K21" s="9"/>
      <c r="L21" s="9"/>
      <c r="M21" s="9"/>
      <c r="N21" s="8"/>
    </row>
    <row r="22" spans="1:27" s="83" customFormat="1" ht="42.75" customHeight="1">
      <c r="A22" s="108"/>
      <c r="B22" s="96" t="s">
        <v>334</v>
      </c>
      <c r="C22" s="102">
        <v>1316464880</v>
      </c>
      <c r="D22" s="416">
        <v>871997854</v>
      </c>
      <c r="E22" s="411">
        <f t="shared" si="0"/>
        <v>444467026</v>
      </c>
      <c r="F22" s="419">
        <f>1-(D22/C22)</f>
        <v>0.33762163560337444</v>
      </c>
      <c r="G22" s="80" t="s">
        <v>923</v>
      </c>
      <c r="H22" s="81"/>
      <c r="I22" s="81"/>
      <c r="J22" s="11"/>
      <c r="K22" s="81"/>
      <c r="L22" s="81"/>
      <c r="M22" s="81"/>
      <c r="N22" s="82"/>
      <c r="AA22" s="364"/>
    </row>
    <row r="23" spans="1:27" s="83" customFormat="1" ht="44.25" customHeight="1">
      <c r="A23" s="108"/>
      <c r="B23" s="96" t="s">
        <v>333</v>
      </c>
      <c r="C23" s="102">
        <v>329928000</v>
      </c>
      <c r="D23" s="416">
        <v>197504000</v>
      </c>
      <c r="E23" s="411">
        <f t="shared" si="0"/>
        <v>132424000</v>
      </c>
      <c r="F23" s="419">
        <f>1-(D23/C23)</f>
        <v>0.40137242064935374</v>
      </c>
      <c r="G23" s="31" t="s">
        <v>924</v>
      </c>
      <c r="H23" s="81"/>
      <c r="I23" s="81"/>
      <c r="J23" s="11"/>
      <c r="K23" s="81"/>
      <c r="L23" s="81"/>
      <c r="M23" s="81"/>
      <c r="N23" s="82"/>
      <c r="AA23" s="364"/>
    </row>
    <row r="24" spans="1:27" s="7" customFormat="1" ht="34.5">
      <c r="A24" s="109"/>
      <c r="B24" s="96" t="s">
        <v>332</v>
      </c>
      <c r="C24" s="98">
        <v>5221800</v>
      </c>
      <c r="D24" s="415">
        <v>7615064</v>
      </c>
      <c r="E24" s="411">
        <f t="shared" si="0"/>
        <v>-2393264</v>
      </c>
      <c r="F24" s="415"/>
      <c r="G24" s="31" t="s">
        <v>925</v>
      </c>
      <c r="H24" s="9"/>
      <c r="I24" s="9"/>
      <c r="J24" s="11"/>
      <c r="K24" s="9"/>
      <c r="L24" s="9"/>
      <c r="M24" s="9"/>
      <c r="N24" s="8"/>
      <c r="AA24" s="365"/>
    </row>
    <row r="25" spans="1:27" s="7" customFormat="1" ht="39.950000000000003" customHeight="1">
      <c r="A25" s="680" t="s">
        <v>331</v>
      </c>
      <c r="B25" s="681"/>
      <c r="C25" s="372">
        <v>1044360</v>
      </c>
      <c r="D25" s="418">
        <v>13208</v>
      </c>
      <c r="E25" s="411">
        <f t="shared" si="0"/>
        <v>1031152</v>
      </c>
      <c r="F25" s="418"/>
      <c r="G25" s="28" t="s">
        <v>926</v>
      </c>
      <c r="H25" s="9"/>
      <c r="I25" s="9"/>
      <c r="J25" s="10"/>
      <c r="K25" s="9"/>
      <c r="L25" s="9"/>
      <c r="M25" s="9"/>
      <c r="N25" s="8"/>
      <c r="AA25" s="365"/>
    </row>
    <row r="26" spans="1:27" s="7" customFormat="1" ht="39.950000000000003" customHeight="1" thickBot="1">
      <c r="A26" s="682" t="s">
        <v>330</v>
      </c>
      <c r="B26" s="683"/>
      <c r="C26" s="615">
        <f>SUM(C20+C21-C25)</f>
        <v>865186880.9066757</v>
      </c>
      <c r="D26" s="611">
        <f>SUM(D20+D21-D25)</f>
        <v>408712288</v>
      </c>
      <c r="E26" s="614">
        <f t="shared" si="0"/>
        <v>456474592.9066757</v>
      </c>
      <c r="F26" s="611"/>
      <c r="G26" s="610"/>
      <c r="H26" s="9"/>
      <c r="I26" s="9"/>
      <c r="J26" s="10"/>
      <c r="K26" s="9"/>
      <c r="L26" s="9"/>
      <c r="M26" s="9"/>
      <c r="N26" s="8"/>
    </row>
    <row r="27" spans="1:27" s="126" customFormat="1" ht="39" customHeight="1" thickBot="1">
      <c r="A27" s="669" t="s">
        <v>329</v>
      </c>
      <c r="B27" s="670"/>
      <c r="C27" s="127">
        <f>C20+C23+C24-C25</f>
        <v>-451277999.0933243</v>
      </c>
      <c r="D27" s="616">
        <f>D20+D23+D24-D25</f>
        <v>-463285566</v>
      </c>
      <c r="E27" s="617">
        <f t="shared" si="0"/>
        <v>12007566.906675696</v>
      </c>
      <c r="F27" s="612"/>
      <c r="G27" s="125"/>
    </row>
    <row r="28" spans="1:27" s="6" customFormat="1" ht="26.25">
      <c r="E28" s="613"/>
    </row>
    <row r="29" spans="1:27" s="6" customFormat="1" ht="26.25"/>
  </sheetData>
  <mergeCells count="16">
    <mergeCell ref="A27:B27"/>
    <mergeCell ref="D3:D4"/>
    <mergeCell ref="E3:E4"/>
    <mergeCell ref="F3:F4"/>
    <mergeCell ref="A7:B7"/>
    <mergeCell ref="A8:B8"/>
    <mergeCell ref="A20:B20"/>
    <mergeCell ref="A21:B21"/>
    <mergeCell ref="A25:B25"/>
    <mergeCell ref="A26:B26"/>
    <mergeCell ref="A6:B6"/>
    <mergeCell ref="A1:G1"/>
    <mergeCell ref="A3:B4"/>
    <mergeCell ref="C3:C4"/>
    <mergeCell ref="G3:G4"/>
    <mergeCell ref="A5:B5"/>
  </mergeCells>
  <phoneticPr fontId="1" type="noConversion"/>
  <printOptions horizontalCentered="1" verticalCentered="1"/>
  <pageMargins left="0.19685039370078741" right="0.19685039370078741" top="7.874015748031496E-2" bottom="0.19685039370078741" header="0.39370078740157483" footer="0.27559055118110237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29"/>
  <sheetViews>
    <sheetView zoomScale="70" zoomScaleNormal="70" zoomScaleSheetLayoutView="70"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E18" sqref="E18"/>
    </sheetView>
  </sheetViews>
  <sheetFormatPr defaultRowHeight="16.5"/>
  <cols>
    <col min="1" max="1" width="3.25" style="5" customWidth="1"/>
    <col min="2" max="2" width="17.625" style="5" customWidth="1"/>
    <col min="3" max="3" width="22.375" style="5" customWidth="1"/>
    <col min="4" max="4" width="22" style="5" customWidth="1"/>
    <col min="5" max="5" width="105.25" style="5" customWidth="1"/>
    <col min="6" max="7" width="3.625" style="5" customWidth="1"/>
    <col min="8" max="8" width="19.25" style="5" bestFit="1" customWidth="1"/>
    <col min="9" max="12" width="3.625" style="5" customWidth="1"/>
    <col min="13" max="13" width="3.625" style="5" hidden="1" customWidth="1"/>
    <col min="14" max="23" width="3.625" style="5" customWidth="1"/>
    <col min="24" max="24" width="9" style="5"/>
    <col min="25" max="25" width="45.125" style="5" customWidth="1"/>
    <col min="26" max="16384" width="9" style="5"/>
  </cols>
  <sheetData>
    <row r="1" spans="1:25" s="24" customFormat="1" ht="81.75" customHeight="1">
      <c r="A1" s="688" t="s">
        <v>810</v>
      </c>
      <c r="B1" s="688"/>
      <c r="C1" s="688"/>
      <c r="D1" s="688"/>
      <c r="E1" s="688"/>
      <c r="F1" s="26"/>
      <c r="G1" s="26"/>
      <c r="H1" s="25"/>
      <c r="I1" s="25"/>
      <c r="J1" s="25"/>
      <c r="K1" s="25"/>
      <c r="L1" s="25"/>
    </row>
    <row r="2" spans="1:25" ht="28.5" customHeight="1" thickBot="1">
      <c r="A2" s="84" t="s">
        <v>811</v>
      </c>
      <c r="B2" s="84"/>
      <c r="C2" s="84"/>
      <c r="D2" s="335"/>
      <c r="E2" s="85" t="s">
        <v>358</v>
      </c>
      <c r="F2" s="23"/>
      <c r="G2" s="23"/>
      <c r="H2" s="15"/>
      <c r="I2" s="15"/>
      <c r="J2" s="15"/>
      <c r="K2" s="15"/>
      <c r="L2" s="15"/>
    </row>
    <row r="3" spans="1:25" ht="39.950000000000003" customHeight="1">
      <c r="A3" s="659" t="s">
        <v>357</v>
      </c>
      <c r="B3" s="660"/>
      <c r="C3" s="689" t="s">
        <v>356</v>
      </c>
      <c r="D3" s="164" t="s">
        <v>355</v>
      </c>
      <c r="E3" s="665" t="s">
        <v>354</v>
      </c>
      <c r="F3" s="16"/>
      <c r="G3" s="16"/>
      <c r="H3" s="15"/>
      <c r="I3" s="15"/>
      <c r="J3" s="15"/>
      <c r="K3" s="15"/>
      <c r="L3" s="15"/>
    </row>
    <row r="4" spans="1:25" ht="39.950000000000003" customHeight="1" thickBot="1">
      <c r="A4" s="661"/>
      <c r="B4" s="662"/>
      <c r="C4" s="690"/>
      <c r="D4" s="86" t="s">
        <v>353</v>
      </c>
      <c r="E4" s="666"/>
      <c r="F4" s="17"/>
      <c r="G4" s="17"/>
      <c r="H4" s="22"/>
      <c r="I4" s="17"/>
      <c r="J4" s="17"/>
      <c r="K4" s="17"/>
      <c r="L4" s="15"/>
    </row>
    <row r="5" spans="1:25" ht="39.950000000000003" customHeight="1">
      <c r="A5" s="667" t="s">
        <v>352</v>
      </c>
      <c r="B5" s="668"/>
      <c r="C5" s="87">
        <f t="shared" ref="C5:C25" si="0">SUM(D5:E5)</f>
        <v>691554797.75</v>
      </c>
      <c r="D5" s="88">
        <v>691554797.75</v>
      </c>
      <c r="E5" s="29" t="s">
        <v>808</v>
      </c>
      <c r="F5" s="17"/>
      <c r="G5" s="17"/>
      <c r="H5" s="10"/>
      <c r="I5" s="17"/>
      <c r="J5" s="17"/>
      <c r="K5" s="17"/>
      <c r="L5" s="15"/>
    </row>
    <row r="6" spans="1:25" ht="39.950000000000003" customHeight="1">
      <c r="A6" s="673" t="s">
        <v>351</v>
      </c>
      <c r="B6" s="674"/>
      <c r="C6" s="87">
        <f t="shared" si="0"/>
        <v>186719795.39250001</v>
      </c>
      <c r="D6" s="89">
        <f>D5*27%</f>
        <v>186719795.39250001</v>
      </c>
      <c r="E6" s="30" t="s">
        <v>927</v>
      </c>
      <c r="F6" s="17"/>
      <c r="G6" s="17"/>
      <c r="H6" s="10"/>
      <c r="I6" s="17"/>
      <c r="J6" s="17"/>
      <c r="K6" s="17"/>
      <c r="L6" s="15"/>
    </row>
    <row r="7" spans="1:25" ht="39.950000000000003" customHeight="1">
      <c r="A7" s="673" t="s">
        <v>350</v>
      </c>
      <c r="B7" s="674"/>
      <c r="C7" s="87">
        <f t="shared" si="0"/>
        <v>504835002.35749996</v>
      </c>
      <c r="D7" s="90">
        <f>SUM(D5-D6)</f>
        <v>504835002.35749996</v>
      </c>
      <c r="E7" s="27"/>
      <c r="F7" s="17"/>
      <c r="G7" s="17"/>
      <c r="H7" s="10"/>
      <c r="I7" s="17"/>
      <c r="J7" s="17"/>
      <c r="K7" s="17"/>
      <c r="L7" s="15"/>
    </row>
    <row r="8" spans="1:25" ht="39.950000000000003" customHeight="1">
      <c r="A8" s="675" t="s">
        <v>349</v>
      </c>
      <c r="B8" s="676"/>
      <c r="C8" s="87">
        <f t="shared" si="0"/>
        <v>1290218441.4508243</v>
      </c>
      <c r="D8" s="90">
        <f>SUM(D9,D13)</f>
        <v>1290218441.4508243</v>
      </c>
      <c r="E8" s="27"/>
      <c r="F8" s="17"/>
      <c r="G8" s="17"/>
      <c r="H8" s="10"/>
      <c r="I8" s="17"/>
      <c r="J8" s="17"/>
      <c r="K8" s="17"/>
      <c r="L8" s="15"/>
    </row>
    <row r="9" spans="1:25" ht="39.950000000000003" customHeight="1">
      <c r="A9" s="91"/>
      <c r="B9" s="92" t="s">
        <v>348</v>
      </c>
      <c r="C9" s="93">
        <f t="shared" si="0"/>
        <v>1106290192</v>
      </c>
      <c r="D9" s="94">
        <f>SUM(D10:D12)</f>
        <v>1106290192</v>
      </c>
      <c r="E9" s="95"/>
      <c r="F9" s="17"/>
      <c r="G9" s="17"/>
      <c r="H9" s="21"/>
      <c r="I9" s="17"/>
      <c r="J9" s="17"/>
      <c r="K9" s="17"/>
      <c r="L9" s="15"/>
    </row>
    <row r="10" spans="1:25" ht="56.25" customHeight="1">
      <c r="A10" s="91"/>
      <c r="B10" s="96" t="s">
        <v>348</v>
      </c>
      <c r="C10" s="97">
        <f t="shared" si="0"/>
        <v>929968489</v>
      </c>
      <c r="D10" s="98">
        <v>929968489</v>
      </c>
      <c r="E10" s="31" t="s">
        <v>876</v>
      </c>
      <c r="F10" s="17"/>
      <c r="G10" s="17"/>
      <c r="H10" s="11"/>
      <c r="I10" s="17"/>
      <c r="J10" s="17"/>
      <c r="K10" s="17"/>
      <c r="L10" s="15"/>
    </row>
    <row r="11" spans="1:25" ht="39.950000000000003" customHeight="1">
      <c r="A11" s="91"/>
      <c r="B11" s="96" t="s">
        <v>347</v>
      </c>
      <c r="C11" s="97">
        <f t="shared" si="0"/>
        <v>79429003</v>
      </c>
      <c r="D11" s="98">
        <v>79429003</v>
      </c>
      <c r="E11" s="32" t="s">
        <v>346</v>
      </c>
      <c r="F11" s="17"/>
      <c r="G11" s="17"/>
      <c r="H11" s="11"/>
      <c r="I11" s="17"/>
      <c r="J11" s="17"/>
      <c r="K11" s="17"/>
      <c r="L11" s="15"/>
    </row>
    <row r="12" spans="1:25" ht="39.950000000000003" customHeight="1">
      <c r="A12" s="91"/>
      <c r="B12" s="96" t="s">
        <v>345</v>
      </c>
      <c r="C12" s="97">
        <f t="shared" si="0"/>
        <v>96892700</v>
      </c>
      <c r="D12" s="98">
        <v>96892700</v>
      </c>
      <c r="E12" s="32" t="s">
        <v>344</v>
      </c>
      <c r="F12" s="17"/>
      <c r="G12" s="17"/>
      <c r="H12" s="11"/>
      <c r="I12" s="17"/>
      <c r="J12" s="17"/>
      <c r="K12" s="17"/>
      <c r="L12" s="15"/>
    </row>
    <row r="13" spans="1:25" s="18" customFormat="1" ht="39.950000000000003" customHeight="1">
      <c r="A13" s="91"/>
      <c r="B13" s="92" t="s">
        <v>343</v>
      </c>
      <c r="C13" s="93">
        <f t="shared" si="0"/>
        <v>183928249.45082438</v>
      </c>
      <c r="D13" s="94">
        <f>SUM(D14:D19)</f>
        <v>183928249.45082438</v>
      </c>
      <c r="E13" s="95"/>
      <c r="F13" s="20"/>
      <c r="G13" s="20"/>
      <c r="H13" s="21"/>
      <c r="I13" s="20"/>
      <c r="J13" s="20"/>
      <c r="K13" s="20"/>
      <c r="L13" s="19"/>
    </row>
    <row r="14" spans="1:25" ht="39.950000000000003" customHeight="1">
      <c r="A14" s="91"/>
      <c r="B14" s="96" t="s">
        <v>342</v>
      </c>
      <c r="C14" s="97">
        <f t="shared" si="0"/>
        <v>2128000</v>
      </c>
      <c r="D14" s="98">
        <v>2128000</v>
      </c>
      <c r="E14" s="31" t="s">
        <v>820</v>
      </c>
      <c r="F14" s="17"/>
      <c r="G14" s="17"/>
      <c r="H14" s="11"/>
      <c r="I14" s="17"/>
      <c r="J14" s="17"/>
      <c r="K14" s="17"/>
      <c r="L14" s="15"/>
      <c r="Y14" s="14"/>
    </row>
    <row r="15" spans="1:25" ht="39.950000000000003" customHeight="1">
      <c r="A15" s="91"/>
      <c r="B15" s="99" t="s">
        <v>341</v>
      </c>
      <c r="C15" s="97">
        <f t="shared" si="0"/>
        <v>3457774</v>
      </c>
      <c r="D15" s="98">
        <v>3457774</v>
      </c>
      <c r="E15" s="32" t="s">
        <v>813</v>
      </c>
      <c r="F15" s="17"/>
      <c r="G15" s="17"/>
      <c r="H15" s="11"/>
      <c r="I15" s="17"/>
      <c r="J15" s="17"/>
      <c r="K15" s="17"/>
      <c r="L15" s="15"/>
      <c r="Y15" s="14"/>
    </row>
    <row r="16" spans="1:25" ht="39.950000000000003" customHeight="1">
      <c r="A16" s="91"/>
      <c r="B16" s="96" t="s">
        <v>340</v>
      </c>
      <c r="C16" s="97">
        <f t="shared" si="0"/>
        <v>2354154</v>
      </c>
      <c r="D16" s="98">
        <v>2354154</v>
      </c>
      <c r="E16" s="32" t="s">
        <v>798</v>
      </c>
      <c r="F16" s="16"/>
      <c r="G16" s="16"/>
      <c r="H16" s="98">
        <v>4649413</v>
      </c>
      <c r="I16" s="15"/>
      <c r="J16" s="15"/>
      <c r="K16" s="15"/>
      <c r="L16" s="15"/>
      <c r="Y16" s="14"/>
    </row>
    <row r="17" spans="1:25" s="7" customFormat="1" ht="69">
      <c r="A17" s="91"/>
      <c r="B17" s="96" t="s">
        <v>339</v>
      </c>
      <c r="C17" s="97">
        <f t="shared" si="0"/>
        <v>106326014.08007437</v>
      </c>
      <c r="D17" s="98">
        <v>106326014.08007437</v>
      </c>
      <c r="E17" s="31" t="s">
        <v>812</v>
      </c>
      <c r="F17" s="9"/>
      <c r="G17" s="9"/>
      <c r="H17" s="11">
        <f>H16-D16</f>
        <v>2295259</v>
      </c>
      <c r="I17" s="9"/>
      <c r="J17" s="9"/>
      <c r="K17" s="9"/>
      <c r="L17" s="8"/>
      <c r="Y17" s="13"/>
    </row>
    <row r="18" spans="1:25" s="7" customFormat="1" ht="77.25" customHeight="1">
      <c r="A18" s="91"/>
      <c r="B18" s="96" t="s">
        <v>338</v>
      </c>
      <c r="C18" s="97">
        <f t="shared" si="0"/>
        <v>26910212.370750003</v>
      </c>
      <c r="D18" s="98">
        <v>26910212.370750003</v>
      </c>
      <c r="E18" s="31" t="s">
        <v>872</v>
      </c>
      <c r="F18" s="9"/>
      <c r="G18" s="9"/>
      <c r="H18" s="11">
        <f>30000*9*12</f>
        <v>3240000</v>
      </c>
      <c r="I18" s="9"/>
      <c r="J18" s="9"/>
      <c r="K18" s="9"/>
      <c r="L18" s="8"/>
      <c r="Y18" s="12"/>
    </row>
    <row r="19" spans="1:25" s="7" customFormat="1" ht="47.25" customHeight="1">
      <c r="A19" s="100"/>
      <c r="B19" s="101" t="s">
        <v>337</v>
      </c>
      <c r="C19" s="97">
        <f t="shared" si="0"/>
        <v>42752095</v>
      </c>
      <c r="D19" s="102">
        <v>42752095</v>
      </c>
      <c r="E19" s="31" t="s">
        <v>873</v>
      </c>
      <c r="F19" s="9"/>
      <c r="G19" s="9"/>
      <c r="H19" s="11"/>
      <c r="I19" s="9"/>
      <c r="J19" s="9"/>
      <c r="K19" s="9"/>
      <c r="L19" s="8"/>
      <c r="Y19" s="12"/>
    </row>
    <row r="20" spans="1:25" s="7" customFormat="1" ht="39.950000000000003" customHeight="1">
      <c r="A20" s="684" t="s">
        <v>336</v>
      </c>
      <c r="B20" s="685"/>
      <c r="C20" s="103">
        <f t="shared" si="0"/>
        <v>-785383439.0933243</v>
      </c>
      <c r="D20" s="104">
        <f>SUM(D7-D8)</f>
        <v>-785383439.0933243</v>
      </c>
      <c r="E20" s="105"/>
      <c r="F20" s="9"/>
      <c r="G20" s="9"/>
      <c r="H20" s="10"/>
      <c r="I20" s="9"/>
      <c r="J20" s="9"/>
      <c r="K20" s="9"/>
      <c r="L20" s="8"/>
    </row>
    <row r="21" spans="1:25" s="7" customFormat="1" ht="39.950000000000003" customHeight="1">
      <c r="A21" s="679" t="s">
        <v>335</v>
      </c>
      <c r="B21" s="674"/>
      <c r="C21" s="87">
        <f t="shared" si="0"/>
        <v>1651614680</v>
      </c>
      <c r="D21" s="106">
        <f>SUM(D22:D24)</f>
        <v>1651614680</v>
      </c>
      <c r="E21" s="107"/>
      <c r="F21" s="9"/>
      <c r="G21" s="9"/>
      <c r="H21" s="10"/>
      <c r="I21" s="9"/>
      <c r="J21" s="9"/>
      <c r="K21" s="9"/>
      <c r="L21" s="8"/>
    </row>
    <row r="22" spans="1:25" s="83" customFormat="1" ht="42.75" customHeight="1">
      <c r="A22" s="108"/>
      <c r="B22" s="96" t="s">
        <v>334</v>
      </c>
      <c r="C22" s="97">
        <f t="shared" si="0"/>
        <v>1316464880</v>
      </c>
      <c r="D22" s="102">
        <v>1316464880</v>
      </c>
      <c r="E22" s="80" t="s">
        <v>904</v>
      </c>
      <c r="F22" s="81"/>
      <c r="G22" s="81"/>
      <c r="H22" s="11"/>
      <c r="I22" s="81"/>
      <c r="J22" s="81"/>
      <c r="K22" s="81"/>
      <c r="L22" s="82"/>
      <c r="Y22" s="364"/>
    </row>
    <row r="23" spans="1:25" s="83" customFormat="1" ht="44.25" customHeight="1">
      <c r="A23" s="108"/>
      <c r="B23" s="96" t="s">
        <v>333</v>
      </c>
      <c r="C23" s="97">
        <f t="shared" si="0"/>
        <v>329928000</v>
      </c>
      <c r="D23" s="102">
        <v>329928000</v>
      </c>
      <c r="E23" s="31" t="s">
        <v>905</v>
      </c>
      <c r="F23" s="81"/>
      <c r="G23" s="81"/>
      <c r="H23" s="11"/>
      <c r="I23" s="81"/>
      <c r="J23" s="81"/>
      <c r="K23" s="81"/>
      <c r="L23" s="82"/>
      <c r="Y23" s="364"/>
    </row>
    <row r="24" spans="1:25" s="7" customFormat="1" ht="34.5">
      <c r="A24" s="109"/>
      <c r="B24" s="96" t="s">
        <v>332</v>
      </c>
      <c r="C24" s="97">
        <f t="shared" si="0"/>
        <v>5221800</v>
      </c>
      <c r="D24" s="98">
        <v>5221800</v>
      </c>
      <c r="E24" s="31" t="s">
        <v>874</v>
      </c>
      <c r="F24" s="9"/>
      <c r="G24" s="9"/>
      <c r="H24" s="11"/>
      <c r="I24" s="9"/>
      <c r="J24" s="9"/>
      <c r="K24" s="9"/>
      <c r="L24" s="8"/>
      <c r="Y24" s="365"/>
    </row>
    <row r="25" spans="1:25" s="7" customFormat="1" ht="39.950000000000003" customHeight="1">
      <c r="A25" s="680" t="s">
        <v>331</v>
      </c>
      <c r="B25" s="681"/>
      <c r="C25" s="371">
        <f t="shared" si="0"/>
        <v>1044360</v>
      </c>
      <c r="D25" s="372">
        <f>D24*20%</f>
        <v>1044360</v>
      </c>
      <c r="E25" s="28" t="s">
        <v>875</v>
      </c>
      <c r="F25" s="9"/>
      <c r="G25" s="9"/>
      <c r="H25" s="10"/>
      <c r="I25" s="9"/>
      <c r="J25" s="9"/>
      <c r="K25" s="9"/>
      <c r="L25" s="8"/>
      <c r="Y25" s="365"/>
    </row>
    <row r="26" spans="1:25" s="7" customFormat="1" ht="39.950000000000003" customHeight="1" thickBot="1">
      <c r="A26" s="686" t="s">
        <v>330</v>
      </c>
      <c r="B26" s="687"/>
      <c r="C26" s="598">
        <f>SUM(C20+C21-C25)</f>
        <v>865186880.9066757</v>
      </c>
      <c r="D26" s="599">
        <f>SUM(D20+D21-D25)</f>
        <v>865186880.9066757</v>
      </c>
      <c r="E26" s="600"/>
      <c r="F26" s="9"/>
      <c r="G26" s="9"/>
      <c r="H26" s="10"/>
      <c r="I26" s="9"/>
      <c r="J26" s="9"/>
      <c r="K26" s="9"/>
      <c r="L26" s="8"/>
    </row>
    <row r="27" spans="1:25" s="126" customFormat="1" ht="39" customHeight="1" thickBot="1">
      <c r="A27" s="669" t="s">
        <v>329</v>
      </c>
      <c r="B27" s="670"/>
      <c r="C27" s="601">
        <f>C20+C23+C24-C25</f>
        <v>-451277999.0933243</v>
      </c>
      <c r="D27" s="602">
        <f>D20+D23+D24-D25</f>
        <v>-451277999.0933243</v>
      </c>
      <c r="E27" s="603"/>
    </row>
    <row r="28" spans="1:25" s="6" customFormat="1" ht="26.25"/>
    <row r="29" spans="1:25" s="6" customFormat="1" ht="26.25"/>
  </sheetData>
  <mergeCells count="13">
    <mergeCell ref="A1:E1"/>
    <mergeCell ref="A3:B4"/>
    <mergeCell ref="C3:C4"/>
    <mergeCell ref="E3:E4"/>
    <mergeCell ref="A5:B5"/>
    <mergeCell ref="A6:B6"/>
    <mergeCell ref="A27:B27"/>
    <mergeCell ref="A7:B7"/>
    <mergeCell ref="A8:B8"/>
    <mergeCell ref="A20:B20"/>
    <mergeCell ref="A21:B21"/>
    <mergeCell ref="A25:B25"/>
    <mergeCell ref="A26:B26"/>
  </mergeCells>
  <phoneticPr fontId="1" type="noConversion"/>
  <printOptions horizontalCentered="1" verticalCentered="1"/>
  <pageMargins left="0.19685039370078741" right="0.19685039370078741" top="7.874015748031496E-2" bottom="0.19685039370078741" header="0.39370078740157483" footer="0.27559055118110237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8"/>
  <sheetViews>
    <sheetView zoomScalePageLayoutView="115" workbookViewId="0">
      <selection activeCell="H28" sqref="H28"/>
    </sheetView>
  </sheetViews>
  <sheetFormatPr defaultRowHeight="16.5"/>
  <cols>
    <col min="1" max="1" width="15.625" style="3" customWidth="1"/>
    <col min="2" max="7" width="13.875" style="3" bestFit="1" customWidth="1"/>
    <col min="8" max="8" width="12.875" style="3" bestFit="1" customWidth="1"/>
    <col min="9" max="9" width="13.875" style="3" bestFit="1" customWidth="1"/>
    <col min="10" max="10" width="12.875" style="3" bestFit="1" customWidth="1"/>
    <col min="11" max="11" width="16" style="3" bestFit="1" customWidth="1"/>
    <col min="12" max="12" width="14.625" style="3" bestFit="1" customWidth="1"/>
    <col min="13" max="13" width="10.875" style="3" hidden="1" customWidth="1"/>
    <col min="14" max="14" width="11.875" style="3" hidden="1" customWidth="1"/>
    <col min="15" max="15" width="22.75" style="3" hidden="1" customWidth="1"/>
    <col min="16" max="21" width="9" style="3" hidden="1" customWidth="1"/>
    <col min="22" max="26" width="11.875" style="3" hidden="1" customWidth="1"/>
    <col min="27" max="27" width="14.625" style="3" bestFit="1" customWidth="1"/>
    <col min="28" max="16384" width="9" style="3"/>
  </cols>
  <sheetData>
    <row r="1" spans="1:27" ht="26.25">
      <c r="A1" s="691" t="s">
        <v>47</v>
      </c>
      <c r="B1" s="691"/>
      <c r="C1" s="691"/>
    </row>
    <row r="2" spans="1:27" ht="17.25" thickBot="1">
      <c r="A2" s="110" t="s">
        <v>48</v>
      </c>
      <c r="K2" s="79" t="s">
        <v>46</v>
      </c>
    </row>
    <row r="3" spans="1:27" ht="18" thickTop="1" thickBot="1">
      <c r="A3" s="44"/>
      <c r="B3" s="43" t="s">
        <v>36</v>
      </c>
      <c r="C3" s="42" t="s">
        <v>35</v>
      </c>
      <c r="D3" s="42" t="s">
        <v>34</v>
      </c>
      <c r="E3" s="42" t="s">
        <v>33</v>
      </c>
      <c r="F3" s="42" t="s">
        <v>32</v>
      </c>
      <c r="G3" s="42" t="s">
        <v>31</v>
      </c>
      <c r="H3" s="42" t="s">
        <v>30</v>
      </c>
      <c r="I3" s="42" t="s">
        <v>29</v>
      </c>
      <c r="J3" s="41" t="s">
        <v>28</v>
      </c>
      <c r="K3" s="40" t="s">
        <v>27</v>
      </c>
      <c r="O3" s="78" t="s">
        <v>45</v>
      </c>
      <c r="P3" s="77"/>
      <c r="Q3" s="77"/>
      <c r="R3" s="77"/>
      <c r="S3" s="77"/>
      <c r="T3" s="77"/>
      <c r="U3" s="77"/>
      <c r="V3" s="76"/>
    </row>
    <row r="4" spans="1:27">
      <c r="A4" s="75" t="s">
        <v>4</v>
      </c>
      <c r="B4" s="571">
        <v>161090620</v>
      </c>
      <c r="C4" s="572">
        <v>132593699</v>
      </c>
      <c r="D4" s="572">
        <v>129393699</v>
      </c>
      <c r="E4" s="572">
        <v>161742124</v>
      </c>
      <c r="F4" s="572">
        <v>161742124</v>
      </c>
      <c r="G4" s="572">
        <v>129393699</v>
      </c>
      <c r="H4" s="572">
        <v>97045274</v>
      </c>
      <c r="I4" s="572">
        <v>194090548</v>
      </c>
      <c r="J4" s="573">
        <v>67337476</v>
      </c>
      <c r="K4" s="74">
        <f>SUM(B4:J4)</f>
        <v>1234429263</v>
      </c>
      <c r="N4" s="73" t="s">
        <v>44</v>
      </c>
      <c r="O4" s="39" t="s">
        <v>9</v>
      </c>
      <c r="P4" s="38">
        <v>1599</v>
      </c>
      <c r="Q4" s="38">
        <v>1849</v>
      </c>
      <c r="R4" s="38">
        <v>4048100</v>
      </c>
      <c r="S4" s="38">
        <v>202800</v>
      </c>
      <c r="T4" s="38">
        <v>3845300</v>
      </c>
      <c r="U4" s="38">
        <v>349573</v>
      </c>
      <c r="V4" s="38">
        <v>3495727</v>
      </c>
    </row>
    <row r="5" spans="1:27">
      <c r="A5" s="69" t="s">
        <v>43</v>
      </c>
      <c r="B5" s="574">
        <f>B4*25%</f>
        <v>40272655</v>
      </c>
      <c r="C5" s="575">
        <f t="shared" ref="C5:I5" si="0">C4*25%</f>
        <v>33148424.75</v>
      </c>
      <c r="D5" s="576">
        <f t="shared" si="0"/>
        <v>32348424.75</v>
      </c>
      <c r="E5" s="577">
        <f t="shared" si="0"/>
        <v>40435531</v>
      </c>
      <c r="F5" s="577">
        <f t="shared" si="0"/>
        <v>40435531</v>
      </c>
      <c r="G5" s="577">
        <f t="shared" si="0"/>
        <v>32348424.75</v>
      </c>
      <c r="H5" s="577">
        <f t="shared" si="0"/>
        <v>24261318.5</v>
      </c>
      <c r="I5" s="575">
        <f t="shared" si="0"/>
        <v>48522637</v>
      </c>
      <c r="J5" s="578">
        <f>J4*25%</f>
        <v>16834369</v>
      </c>
      <c r="K5" s="71">
        <f>SUM(B5:J5)</f>
        <v>308607315.75</v>
      </c>
      <c r="N5" s="70">
        <v>11</v>
      </c>
      <c r="O5" s="39" t="s">
        <v>10</v>
      </c>
      <c r="P5" s="38">
        <v>746</v>
      </c>
      <c r="Q5" s="38">
        <v>900</v>
      </c>
      <c r="R5" s="38">
        <v>2036500</v>
      </c>
      <c r="S5" s="38">
        <v>164700</v>
      </c>
      <c r="T5" s="38">
        <v>1871800</v>
      </c>
      <c r="U5" s="38">
        <v>170163</v>
      </c>
      <c r="V5" s="38">
        <v>1701637</v>
      </c>
    </row>
    <row r="6" spans="1:27" ht="17.25" thickBot="1">
      <c r="A6" s="69" t="s">
        <v>168</v>
      </c>
      <c r="B6" s="579">
        <v>4363636</v>
      </c>
      <c r="C6" s="580">
        <v>2400000</v>
      </c>
      <c r="D6" s="580">
        <f>D4*15%</f>
        <v>19409054.849999998</v>
      </c>
      <c r="E6" s="580">
        <f t="shared" ref="E6:I6" si="1">E4*15%</f>
        <v>24261318.599999998</v>
      </c>
      <c r="F6" s="580">
        <f t="shared" si="1"/>
        <v>24261318.599999998</v>
      </c>
      <c r="G6" s="580">
        <f t="shared" si="1"/>
        <v>19409054.849999998</v>
      </c>
      <c r="H6" s="580">
        <f t="shared" si="1"/>
        <v>14556791.1</v>
      </c>
      <c r="I6" s="580">
        <f t="shared" si="1"/>
        <v>29113582.199999999</v>
      </c>
      <c r="J6" s="581">
        <v>11684997.613324426</v>
      </c>
      <c r="K6" s="67">
        <f>SUM(B6:J6)</f>
        <v>149459753.81332442</v>
      </c>
      <c r="N6" s="66">
        <v>10</v>
      </c>
      <c r="O6" s="39" t="s">
        <v>11</v>
      </c>
      <c r="P6" s="38">
        <v>767</v>
      </c>
      <c r="Q6" s="38">
        <v>939</v>
      </c>
      <c r="R6" s="38">
        <v>2530400</v>
      </c>
      <c r="S6" s="38">
        <v>169600</v>
      </c>
      <c r="T6" s="38">
        <v>2360800</v>
      </c>
      <c r="U6" s="38">
        <v>214618</v>
      </c>
      <c r="V6" s="38">
        <v>2146182</v>
      </c>
    </row>
    <row r="7" spans="1:27">
      <c r="A7" s="137" t="s">
        <v>169</v>
      </c>
      <c r="B7" s="582">
        <f>B4*3%</f>
        <v>4832718.5999999996</v>
      </c>
      <c r="C7" s="583">
        <f>C4*3%</f>
        <v>3977810.9699999997</v>
      </c>
      <c r="D7" s="583">
        <f>D4*5%</f>
        <v>6469684.9500000002</v>
      </c>
      <c r="E7" s="583">
        <f>E4*5%</f>
        <v>8087106.2000000002</v>
      </c>
      <c r="F7" s="583">
        <f>F4*5%</f>
        <v>8087106.2000000002</v>
      </c>
      <c r="G7" s="583">
        <f>G4*5%</f>
        <v>6469684.9500000002</v>
      </c>
      <c r="H7" s="583">
        <v>100000</v>
      </c>
      <c r="I7" s="583">
        <f>I4*5%</f>
        <v>9704527.4000000004</v>
      </c>
      <c r="J7" s="584">
        <f>J4*3%</f>
        <v>2020124.28</v>
      </c>
      <c r="K7" s="67">
        <f>SUM(B7:J7)</f>
        <v>49748763.549999997</v>
      </c>
      <c r="N7" s="136"/>
      <c r="O7" s="39"/>
      <c r="P7" s="38"/>
      <c r="Q7" s="38"/>
      <c r="R7" s="38"/>
      <c r="S7" s="38"/>
      <c r="T7" s="38"/>
      <c r="U7" s="38"/>
      <c r="V7" s="38"/>
    </row>
    <row r="8" spans="1:27" ht="17.25" thickBot="1">
      <c r="A8" s="36" t="s">
        <v>42</v>
      </c>
      <c r="B8" s="585">
        <f t="shared" ref="B8:J8" si="2">B14</f>
        <v>116454328.80000001</v>
      </c>
      <c r="C8" s="586">
        <f t="shared" si="2"/>
        <v>97045274</v>
      </c>
      <c r="D8" s="586">
        <f t="shared" si="2"/>
        <v>77636219.200000003</v>
      </c>
      <c r="E8" s="586">
        <f t="shared" si="2"/>
        <v>97045274</v>
      </c>
      <c r="F8" s="586">
        <f t="shared" si="2"/>
        <v>97045274</v>
      </c>
      <c r="G8" s="586">
        <f t="shared" si="2"/>
        <v>77636219.200000003</v>
      </c>
      <c r="H8" s="586">
        <f t="shared" si="2"/>
        <v>58227164.400000006</v>
      </c>
      <c r="I8" s="586">
        <f t="shared" si="2"/>
        <v>116454328.80000001</v>
      </c>
      <c r="J8" s="587">
        <f t="shared" si="2"/>
        <v>38818109.600000001</v>
      </c>
      <c r="K8" s="65">
        <f t="shared" ref="K8" si="3">SUM(B8:J8)</f>
        <v>776362192.00000012</v>
      </c>
      <c r="O8" s="39" t="s">
        <v>12</v>
      </c>
      <c r="P8" s="38">
        <v>1792</v>
      </c>
      <c r="Q8" s="38">
        <v>2016</v>
      </c>
      <c r="R8" s="38">
        <v>5809700</v>
      </c>
      <c r="S8" s="38">
        <v>335100</v>
      </c>
      <c r="T8" s="38">
        <v>5474600</v>
      </c>
      <c r="U8" s="38">
        <v>497690</v>
      </c>
      <c r="V8" s="38">
        <v>4976910</v>
      </c>
    </row>
    <row r="9" spans="1:27" ht="17.25" thickBot="1">
      <c r="A9" s="64" t="s">
        <v>41</v>
      </c>
      <c r="B9" s="63">
        <f t="shared" ref="B9:K9" si="4">B4-B5-B6-B8</f>
        <v>0.19999998807907104</v>
      </c>
      <c r="C9" s="63">
        <f t="shared" si="4"/>
        <v>0.25</v>
      </c>
      <c r="D9" s="63">
        <f t="shared" si="4"/>
        <v>0.20000000298023224</v>
      </c>
      <c r="E9" s="63">
        <f t="shared" si="4"/>
        <v>0.40000000596046448</v>
      </c>
      <c r="F9" s="63">
        <f t="shared" si="4"/>
        <v>0.40000000596046448</v>
      </c>
      <c r="G9" s="63">
        <f t="shared" si="4"/>
        <v>0.20000000298023224</v>
      </c>
      <c r="H9" s="63">
        <f t="shared" si="4"/>
        <v>0</v>
      </c>
      <c r="I9" s="63">
        <f t="shared" si="4"/>
        <v>0</v>
      </c>
      <c r="J9" s="62">
        <f t="shared" si="4"/>
        <v>-0.21332442760467529</v>
      </c>
      <c r="K9" s="61">
        <f t="shared" si="4"/>
        <v>1.4366754293441772</v>
      </c>
      <c r="O9" s="39" t="s">
        <v>13</v>
      </c>
      <c r="P9" s="38">
        <v>3627</v>
      </c>
      <c r="Q9" s="38">
        <v>4492</v>
      </c>
      <c r="R9" s="38">
        <v>6342400</v>
      </c>
      <c r="S9" s="38">
        <v>398300</v>
      </c>
      <c r="T9" s="38">
        <v>5944100</v>
      </c>
      <c r="U9" s="38">
        <v>540372</v>
      </c>
      <c r="V9" s="38">
        <v>5403728</v>
      </c>
    </row>
    <row r="10" spans="1:27" ht="12" customHeight="1">
      <c r="A10" s="34"/>
      <c r="B10" s="35"/>
      <c r="C10" s="692"/>
      <c r="D10" s="692"/>
      <c r="E10" s="692"/>
      <c r="F10" s="60"/>
      <c r="G10" s="60"/>
      <c r="H10" s="60"/>
      <c r="I10" s="60"/>
      <c r="J10" s="60"/>
      <c r="K10" s="47"/>
      <c r="O10" s="39"/>
      <c r="P10" s="38"/>
      <c r="Q10" s="38"/>
      <c r="R10" s="38"/>
      <c r="S10" s="38"/>
      <c r="T10" s="38"/>
      <c r="U10" s="38"/>
      <c r="V10" s="38"/>
    </row>
    <row r="11" spans="1:27" ht="17.25" customHeight="1" thickBot="1">
      <c r="A11" s="693" t="s">
        <v>49</v>
      </c>
      <c r="B11" s="693"/>
      <c r="C11" s="693"/>
      <c r="D11" s="46"/>
      <c r="E11" s="45"/>
      <c r="F11" s="45"/>
      <c r="G11" s="45"/>
      <c r="H11" s="45"/>
      <c r="I11" s="45"/>
      <c r="J11" s="45"/>
      <c r="K11" s="47"/>
      <c r="O11" s="37"/>
      <c r="P11" s="54"/>
      <c r="Q11" s="54"/>
      <c r="R11" s="54"/>
      <c r="S11" s="54"/>
      <c r="T11" s="54"/>
      <c r="U11" s="54"/>
      <c r="V11" s="54"/>
    </row>
    <row r="12" spans="1:27" ht="18" thickTop="1" thickBot="1">
      <c r="A12" s="59" t="s">
        <v>40</v>
      </c>
      <c r="B12" s="58">
        <f>$AA$12*B18</f>
        <v>165943528.80000001</v>
      </c>
      <c r="C12" s="566">
        <f t="shared" ref="C12:J12" si="5">$AA$12*C18</f>
        <v>138286274</v>
      </c>
      <c r="D12" s="567">
        <f t="shared" si="5"/>
        <v>110629019.2</v>
      </c>
      <c r="E12" s="567">
        <f t="shared" si="5"/>
        <v>138286274</v>
      </c>
      <c r="F12" s="567">
        <f t="shared" si="5"/>
        <v>138286274</v>
      </c>
      <c r="G12" s="567">
        <f t="shared" si="5"/>
        <v>110629019.2</v>
      </c>
      <c r="H12" s="57">
        <f t="shared" si="5"/>
        <v>82971764.400000006</v>
      </c>
      <c r="I12" s="566">
        <f t="shared" si="5"/>
        <v>165943528.80000001</v>
      </c>
      <c r="J12" s="56">
        <f t="shared" si="5"/>
        <v>55314509.600000001</v>
      </c>
      <c r="K12" s="55">
        <f>SUM(B12:J12)</f>
        <v>1106290192</v>
      </c>
      <c r="L12" s="128">
        <v>1106290192</v>
      </c>
      <c r="O12" s="37"/>
      <c r="P12" s="54"/>
      <c r="Q12" s="54"/>
      <c r="R12" s="54"/>
      <c r="S12" s="54"/>
      <c r="T12" s="54"/>
      <c r="U12" s="54"/>
      <c r="V12" s="54"/>
      <c r="AA12" s="373">
        <f>L12/40</f>
        <v>27657254.800000001</v>
      </c>
    </row>
    <row r="13" spans="1:27" ht="17.25" thickBot="1">
      <c r="A13" s="53" t="s">
        <v>39</v>
      </c>
      <c r="B13" s="52">
        <f>$AA$13*B18</f>
        <v>49489200</v>
      </c>
      <c r="C13" s="52">
        <f t="shared" ref="C13:J13" si="6">$AA$13*C18</f>
        <v>41241000</v>
      </c>
      <c r="D13" s="52">
        <f t="shared" si="6"/>
        <v>32992800</v>
      </c>
      <c r="E13" s="52">
        <f t="shared" si="6"/>
        <v>41241000</v>
      </c>
      <c r="F13" s="52">
        <f t="shared" si="6"/>
        <v>41241000</v>
      </c>
      <c r="G13" s="52">
        <f t="shared" si="6"/>
        <v>32992800</v>
      </c>
      <c r="H13" s="52">
        <f t="shared" si="6"/>
        <v>24744600</v>
      </c>
      <c r="I13" s="52">
        <f t="shared" si="6"/>
        <v>49489200</v>
      </c>
      <c r="J13" s="52">
        <f t="shared" si="6"/>
        <v>16496400</v>
      </c>
      <c r="K13" s="51">
        <f>SUM(B13:J13)</f>
        <v>329928000</v>
      </c>
      <c r="L13" s="128">
        <v>329928000</v>
      </c>
      <c r="O13" s="50" t="s">
        <v>38</v>
      </c>
      <c r="P13" s="49"/>
      <c r="Q13" s="49"/>
      <c r="R13" s="49"/>
      <c r="S13" s="49"/>
      <c r="T13" s="49"/>
      <c r="U13" s="49"/>
      <c r="V13" s="48"/>
      <c r="AA13" s="135">
        <f>L13/40</f>
        <v>8248200</v>
      </c>
    </row>
    <row r="14" spans="1:27" ht="17.25" thickBot="1">
      <c r="A14" s="138" t="s">
        <v>37</v>
      </c>
      <c r="B14" s="139">
        <f>B12-B13</f>
        <v>116454328.80000001</v>
      </c>
      <c r="C14" s="139">
        <f t="shared" ref="C14:J14" si="7">C12-C13</f>
        <v>97045274</v>
      </c>
      <c r="D14" s="139">
        <f t="shared" si="7"/>
        <v>77636219.200000003</v>
      </c>
      <c r="E14" s="139">
        <f t="shared" si="7"/>
        <v>97045274</v>
      </c>
      <c r="F14" s="139">
        <f t="shared" si="7"/>
        <v>97045274</v>
      </c>
      <c r="G14" s="139">
        <f t="shared" si="7"/>
        <v>77636219.200000003</v>
      </c>
      <c r="H14" s="139">
        <f t="shared" si="7"/>
        <v>58227164.400000006</v>
      </c>
      <c r="I14" s="139">
        <f t="shared" si="7"/>
        <v>116454328.80000001</v>
      </c>
      <c r="J14" s="139">
        <f t="shared" si="7"/>
        <v>38818109.600000001</v>
      </c>
      <c r="K14" s="140">
        <f>SUM(B14:J14)</f>
        <v>776362192.00000012</v>
      </c>
      <c r="L14" s="135">
        <f>L12-L13</f>
        <v>776362192</v>
      </c>
      <c r="O14" s="39" t="s">
        <v>6</v>
      </c>
      <c r="P14" s="38">
        <v>1122</v>
      </c>
      <c r="Q14" s="38">
        <v>1298</v>
      </c>
      <c r="R14" s="38">
        <v>3705200</v>
      </c>
      <c r="S14" s="38">
        <v>821400</v>
      </c>
      <c r="T14" s="38">
        <v>2883800</v>
      </c>
      <c r="U14" s="38">
        <v>262163</v>
      </c>
      <c r="V14" s="38">
        <v>2621637</v>
      </c>
    </row>
    <row r="15" spans="1:27" ht="12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47"/>
      <c r="O15" s="39" t="s">
        <v>7</v>
      </c>
      <c r="P15" s="38">
        <v>391</v>
      </c>
      <c r="Q15" s="38">
        <v>487</v>
      </c>
      <c r="R15" s="38">
        <v>1250900</v>
      </c>
      <c r="S15" s="38">
        <v>41600</v>
      </c>
      <c r="T15" s="38">
        <v>1209300</v>
      </c>
      <c r="U15" s="38">
        <v>109936</v>
      </c>
      <c r="V15" s="38">
        <v>1099364</v>
      </c>
    </row>
    <row r="17" spans="2:11">
      <c r="B17" s="134" t="s">
        <v>877</v>
      </c>
      <c r="C17" s="134" t="s">
        <v>878</v>
      </c>
      <c r="D17" s="134" t="s">
        <v>881</v>
      </c>
      <c r="E17" s="134" t="s">
        <v>882</v>
      </c>
      <c r="F17" s="134" t="s">
        <v>879</v>
      </c>
      <c r="G17" s="134" t="s">
        <v>880</v>
      </c>
      <c r="H17" s="134" t="s">
        <v>883</v>
      </c>
      <c r="I17" s="134" t="s">
        <v>884</v>
      </c>
      <c r="J17" s="134" t="s">
        <v>885</v>
      </c>
      <c r="K17" s="134"/>
    </row>
    <row r="18" spans="2:11">
      <c r="B18" s="236">
        <v>6</v>
      </c>
      <c r="C18" s="236">
        <v>5</v>
      </c>
      <c r="D18" s="236">
        <v>4</v>
      </c>
      <c r="E18" s="236">
        <v>5</v>
      </c>
      <c r="F18" s="236">
        <v>5</v>
      </c>
      <c r="G18" s="236">
        <v>4</v>
      </c>
      <c r="H18" s="236">
        <v>3</v>
      </c>
      <c r="I18" s="236">
        <v>6</v>
      </c>
      <c r="J18" s="236">
        <v>2</v>
      </c>
      <c r="K18" s="134">
        <f>SUM(B18:J18)</f>
        <v>40</v>
      </c>
    </row>
  </sheetData>
  <mergeCells count="3">
    <mergeCell ref="A1:C1"/>
    <mergeCell ref="C10:E10"/>
    <mergeCell ref="A11:C11"/>
  </mergeCells>
  <phoneticPr fontId="1" type="noConversion"/>
  <printOptions horizontalCentered="1"/>
  <pageMargins left="0.19685039370078741" right="0.19685039370078741" top="0.55118110236220474" bottom="0.35433070866141736" header="0.11811023622047245" footer="0.1181102362204724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3"/>
  <sheetViews>
    <sheetView topLeftCell="A82" zoomScaleNormal="100" workbookViewId="0">
      <selection activeCell="H103" sqref="H103"/>
    </sheetView>
  </sheetViews>
  <sheetFormatPr defaultRowHeight="16.5"/>
  <cols>
    <col min="2" max="2" width="18.375" bestFit="1" customWidth="1"/>
    <col min="3" max="3" width="14" customWidth="1"/>
    <col min="4" max="5" width="11.5" bestFit="1" customWidth="1"/>
    <col min="6" max="6" width="11.875" bestFit="1" customWidth="1"/>
    <col min="7" max="7" width="10.5" bestFit="1" customWidth="1"/>
    <col min="8" max="8" width="10.875" bestFit="1" customWidth="1"/>
    <col min="9" max="10" width="10.5" bestFit="1" customWidth="1"/>
    <col min="11" max="11" width="11.5" bestFit="1" customWidth="1"/>
    <col min="12" max="12" width="11.875" bestFit="1" customWidth="1"/>
    <col min="13" max="13" width="12" bestFit="1" customWidth="1"/>
    <col min="14" max="14" width="11.875" bestFit="1" customWidth="1"/>
    <col min="15" max="15" width="15.625" bestFit="1" customWidth="1"/>
    <col min="16" max="16" width="17.25" bestFit="1" customWidth="1"/>
    <col min="17" max="17" width="12.375" bestFit="1" customWidth="1"/>
    <col min="18" max="18" width="16.875" customWidth="1"/>
    <col min="19" max="19" width="14.25" customWidth="1"/>
    <col min="20" max="20" width="13.5" bestFit="1" customWidth="1"/>
  </cols>
  <sheetData>
    <row r="1" spans="1:18">
      <c r="A1" s="266" t="s">
        <v>438</v>
      </c>
    </row>
    <row r="2" spans="1:18" s="236" customFormat="1">
      <c r="A2" s="266"/>
      <c r="E2" s="175"/>
      <c r="F2" s="279"/>
      <c r="K2" s="175"/>
      <c r="L2" s="279"/>
    </row>
    <row r="3" spans="1:18" ht="17.25" thickBot="1">
      <c r="A3" s="130" t="s">
        <v>447</v>
      </c>
    </row>
    <row r="4" spans="1:18">
      <c r="A4" s="722" t="s">
        <v>437</v>
      </c>
      <c r="B4" s="283" t="s">
        <v>270</v>
      </c>
      <c r="C4" s="282" t="s">
        <v>268</v>
      </c>
      <c r="D4" s="282" t="s">
        <v>269</v>
      </c>
      <c r="E4" s="282" t="s">
        <v>17</v>
      </c>
      <c r="F4" s="282" t="s">
        <v>18</v>
      </c>
      <c r="G4" s="282" t="s">
        <v>19</v>
      </c>
      <c r="H4" s="282" t="s">
        <v>20</v>
      </c>
      <c r="I4" s="282" t="s">
        <v>21</v>
      </c>
      <c r="J4" s="282" t="s">
        <v>22</v>
      </c>
      <c r="K4" s="282" t="s">
        <v>23</v>
      </c>
      <c r="L4" s="282" t="s">
        <v>24</v>
      </c>
      <c r="M4" s="282" t="s">
        <v>25</v>
      </c>
      <c r="N4" s="288" t="s">
        <v>26</v>
      </c>
      <c r="O4" s="290" t="s">
        <v>271</v>
      </c>
      <c r="P4" s="291" t="s">
        <v>272</v>
      </c>
    </row>
    <row r="5" spans="1:18">
      <c r="A5" s="722"/>
      <c r="B5" s="284" t="s">
        <v>14</v>
      </c>
      <c r="C5" s="280">
        <v>1785273</v>
      </c>
      <c r="D5" s="280">
        <v>2593591</v>
      </c>
      <c r="E5" s="280">
        <v>5934319</v>
      </c>
      <c r="F5" s="280">
        <v>6304001</v>
      </c>
      <c r="G5" s="280">
        <v>7018501</v>
      </c>
      <c r="H5" s="280">
        <v>4886637</v>
      </c>
      <c r="I5" s="280">
        <v>3157909</v>
      </c>
      <c r="J5" s="280">
        <v>3369273</v>
      </c>
      <c r="K5" s="280">
        <v>5559683</v>
      </c>
      <c r="L5" s="280">
        <v>4733364</v>
      </c>
      <c r="M5" s="280">
        <v>5427273</v>
      </c>
      <c r="N5" s="289">
        <v>3371728</v>
      </c>
      <c r="O5" s="292">
        <f>SUM(C5:N5)</f>
        <v>54141552</v>
      </c>
      <c r="P5" s="293">
        <f>O5/$O$14</f>
        <v>8.1248664393308967E-2</v>
      </c>
      <c r="R5" s="135"/>
    </row>
    <row r="6" spans="1:18">
      <c r="A6" s="722"/>
      <c r="B6" s="284" t="s">
        <v>6</v>
      </c>
      <c r="C6" s="280">
        <v>2501182</v>
      </c>
      <c r="D6" s="280">
        <v>3111637</v>
      </c>
      <c r="E6" s="280">
        <v>8937019</v>
      </c>
      <c r="F6" s="280">
        <v>9428165</v>
      </c>
      <c r="G6" s="280">
        <v>6445600</v>
      </c>
      <c r="H6" s="280">
        <v>7382091</v>
      </c>
      <c r="I6" s="280">
        <v>4622818</v>
      </c>
      <c r="J6" s="280">
        <v>3799545</v>
      </c>
      <c r="K6" s="280">
        <v>7097636</v>
      </c>
      <c r="L6" s="280">
        <v>7775363</v>
      </c>
      <c r="M6" s="280">
        <v>8626118</v>
      </c>
      <c r="N6" s="289">
        <v>6014091</v>
      </c>
      <c r="O6" s="292">
        <f t="shared" ref="O6:O13" si="0">SUM(C6:N6)</f>
        <v>75741265</v>
      </c>
      <c r="P6" s="293">
        <f t="shared" ref="P6:P13" si="1">O6/$O$14</f>
        <v>0.11366273025770814</v>
      </c>
      <c r="R6" s="135"/>
    </row>
    <row r="7" spans="1:18">
      <c r="A7" s="722"/>
      <c r="B7" s="284" t="s">
        <v>7</v>
      </c>
      <c r="C7" s="280">
        <v>1652364</v>
      </c>
      <c r="D7" s="280">
        <v>745636</v>
      </c>
      <c r="E7" s="280">
        <v>18219367</v>
      </c>
      <c r="F7" s="280">
        <v>15355275</v>
      </c>
      <c r="G7" s="280">
        <v>15213819</v>
      </c>
      <c r="H7" s="280">
        <v>12036544</v>
      </c>
      <c r="I7" s="280">
        <v>4245454</v>
      </c>
      <c r="J7" s="280">
        <v>1363182</v>
      </c>
      <c r="K7" s="280">
        <v>13517089</v>
      </c>
      <c r="L7" s="280">
        <v>11027817</v>
      </c>
      <c r="M7" s="280">
        <v>11099272</v>
      </c>
      <c r="N7" s="289">
        <v>6546636</v>
      </c>
      <c r="O7" s="292">
        <f t="shared" si="0"/>
        <v>111022455</v>
      </c>
      <c r="P7" s="293">
        <f t="shared" si="1"/>
        <v>0.16660819376615296</v>
      </c>
      <c r="R7" s="135"/>
    </row>
    <row r="8" spans="1:18">
      <c r="A8" s="722"/>
      <c r="B8" s="284" t="s">
        <v>8</v>
      </c>
      <c r="C8" s="280">
        <v>199818</v>
      </c>
      <c r="D8" s="280">
        <v>231364</v>
      </c>
      <c r="E8" s="280">
        <v>2726028</v>
      </c>
      <c r="F8" s="280">
        <v>2440046</v>
      </c>
      <c r="G8" s="280">
        <v>1872737</v>
      </c>
      <c r="H8" s="280">
        <v>1380909</v>
      </c>
      <c r="I8" s="280">
        <v>340455</v>
      </c>
      <c r="J8" s="280">
        <v>392818</v>
      </c>
      <c r="K8" s="280">
        <v>580182</v>
      </c>
      <c r="L8" s="280">
        <v>474818</v>
      </c>
      <c r="M8" s="280">
        <v>424364</v>
      </c>
      <c r="N8" s="289">
        <v>398455</v>
      </c>
      <c r="O8" s="292">
        <f t="shared" si="0"/>
        <v>11461994</v>
      </c>
      <c r="P8" s="293">
        <f t="shared" si="1"/>
        <v>1.7200683567107959E-2</v>
      </c>
      <c r="R8" s="135"/>
    </row>
    <row r="9" spans="1:18">
      <c r="A9" s="722"/>
      <c r="B9" s="284" t="s">
        <v>9</v>
      </c>
      <c r="C9" s="280">
        <v>2919182</v>
      </c>
      <c r="D9" s="280">
        <v>4189818</v>
      </c>
      <c r="E9" s="280">
        <v>10623819</v>
      </c>
      <c r="F9" s="280">
        <v>9212183</v>
      </c>
      <c r="G9" s="280">
        <v>7761364</v>
      </c>
      <c r="H9" s="280">
        <v>6432727</v>
      </c>
      <c r="I9" s="280">
        <v>4185454</v>
      </c>
      <c r="J9" s="280">
        <v>4341418</v>
      </c>
      <c r="K9" s="280">
        <v>7167000</v>
      </c>
      <c r="L9" s="280">
        <v>5668818</v>
      </c>
      <c r="M9" s="280">
        <v>8308918</v>
      </c>
      <c r="N9" s="289">
        <v>4252182</v>
      </c>
      <c r="O9" s="292">
        <f t="shared" si="0"/>
        <v>75062883</v>
      </c>
      <c r="P9" s="293">
        <f t="shared" si="1"/>
        <v>0.11264470197051642</v>
      </c>
      <c r="R9" s="135"/>
    </row>
    <row r="10" spans="1:18">
      <c r="A10" s="722"/>
      <c r="B10" s="284" t="s">
        <v>10</v>
      </c>
      <c r="C10" s="280">
        <v>1086364</v>
      </c>
      <c r="D10" s="280">
        <v>1437909</v>
      </c>
      <c r="E10" s="280">
        <v>3016910</v>
      </c>
      <c r="F10" s="280">
        <v>2276728</v>
      </c>
      <c r="G10" s="280">
        <v>2338636</v>
      </c>
      <c r="H10" s="280">
        <v>2046092</v>
      </c>
      <c r="I10" s="280">
        <v>1884546</v>
      </c>
      <c r="J10" s="280">
        <v>1774910</v>
      </c>
      <c r="K10" s="280">
        <v>3231728</v>
      </c>
      <c r="L10" s="280">
        <v>2655910</v>
      </c>
      <c r="M10" s="280">
        <v>2957818</v>
      </c>
      <c r="N10" s="289">
        <v>1918000</v>
      </c>
      <c r="O10" s="292">
        <f t="shared" si="0"/>
        <v>26625551</v>
      </c>
      <c r="P10" s="293">
        <f t="shared" si="1"/>
        <v>3.9956195889728686E-2</v>
      </c>
      <c r="R10" s="135"/>
    </row>
    <row r="11" spans="1:18">
      <c r="A11" s="722"/>
      <c r="B11" s="284" t="s">
        <v>11</v>
      </c>
      <c r="C11" s="280">
        <v>2310636</v>
      </c>
      <c r="D11" s="280">
        <v>2158636</v>
      </c>
      <c r="E11" s="280">
        <v>10557184</v>
      </c>
      <c r="F11" s="280">
        <v>8718729</v>
      </c>
      <c r="G11" s="280">
        <v>7002182</v>
      </c>
      <c r="H11" s="280">
        <v>6525272</v>
      </c>
      <c r="I11" s="280">
        <v>3238091</v>
      </c>
      <c r="J11" s="280">
        <v>3128818</v>
      </c>
      <c r="K11" s="280">
        <v>8110635</v>
      </c>
      <c r="L11" s="280">
        <v>7300090</v>
      </c>
      <c r="M11" s="280">
        <v>7603636</v>
      </c>
      <c r="N11" s="289">
        <v>5518727</v>
      </c>
      <c r="O11" s="292">
        <f t="shared" si="0"/>
        <v>72172636</v>
      </c>
      <c r="P11" s="293">
        <f t="shared" si="1"/>
        <v>0.10830739171910789</v>
      </c>
      <c r="R11" s="135"/>
    </row>
    <row r="12" spans="1:18">
      <c r="A12" s="722"/>
      <c r="B12" s="284" t="s">
        <v>12</v>
      </c>
      <c r="C12" s="280">
        <v>3464300</v>
      </c>
      <c r="D12" s="280">
        <v>4955637</v>
      </c>
      <c r="E12" s="280">
        <v>20854530</v>
      </c>
      <c r="F12" s="280">
        <v>18412046</v>
      </c>
      <c r="G12" s="280">
        <v>18512181</v>
      </c>
      <c r="H12" s="280">
        <v>14103909</v>
      </c>
      <c r="I12" s="280">
        <v>5452273</v>
      </c>
      <c r="J12" s="280">
        <v>5596909</v>
      </c>
      <c r="K12" s="280">
        <v>19369908</v>
      </c>
      <c r="L12" s="280">
        <v>19469872</v>
      </c>
      <c r="M12" s="280">
        <v>20211636</v>
      </c>
      <c r="N12" s="289">
        <v>13433391</v>
      </c>
      <c r="O12" s="292">
        <f t="shared" si="0"/>
        <v>163836592</v>
      </c>
      <c r="P12" s="293">
        <f t="shared" si="1"/>
        <v>0.24586484478227533</v>
      </c>
      <c r="R12" s="135"/>
    </row>
    <row r="13" spans="1:18" ht="17.25" thickBot="1">
      <c r="A13" s="722"/>
      <c r="B13" s="296" t="s">
        <v>13</v>
      </c>
      <c r="C13" s="297">
        <v>2762455</v>
      </c>
      <c r="D13" s="297">
        <v>3814182</v>
      </c>
      <c r="E13" s="297">
        <v>9140363</v>
      </c>
      <c r="F13" s="297">
        <v>8446454</v>
      </c>
      <c r="G13" s="297">
        <v>8263000</v>
      </c>
      <c r="H13" s="297">
        <v>6152091</v>
      </c>
      <c r="I13" s="297">
        <v>5234182</v>
      </c>
      <c r="J13" s="297">
        <v>4674182</v>
      </c>
      <c r="K13" s="297">
        <v>8455181</v>
      </c>
      <c r="L13" s="297">
        <v>6970454</v>
      </c>
      <c r="M13" s="297">
        <v>7335909</v>
      </c>
      <c r="N13" s="298">
        <v>5055136</v>
      </c>
      <c r="O13" s="292">
        <f t="shared" si="0"/>
        <v>76303589</v>
      </c>
      <c r="P13" s="293">
        <f t="shared" si="1"/>
        <v>0.11450659365409366</v>
      </c>
      <c r="R13" s="135"/>
    </row>
    <row r="14" spans="1:18">
      <c r="A14" s="723"/>
      <c r="B14" s="299" t="s">
        <v>266</v>
      </c>
      <c r="C14" s="300">
        <f>SUM(C5:C13)</f>
        <v>18681574</v>
      </c>
      <c r="D14" s="300">
        <f t="shared" ref="D14:N14" si="2">SUM(D5:D13)</f>
        <v>23238410</v>
      </c>
      <c r="E14" s="300">
        <f t="shared" si="2"/>
        <v>90009539</v>
      </c>
      <c r="F14" s="300">
        <f t="shared" si="2"/>
        <v>80593627</v>
      </c>
      <c r="G14" s="300">
        <f t="shared" si="2"/>
        <v>74428020</v>
      </c>
      <c r="H14" s="300">
        <f t="shared" si="2"/>
        <v>60946272</v>
      </c>
      <c r="I14" s="300">
        <f t="shared" si="2"/>
        <v>32361182</v>
      </c>
      <c r="J14" s="300">
        <f t="shared" si="2"/>
        <v>28441055</v>
      </c>
      <c r="K14" s="300">
        <f t="shared" si="2"/>
        <v>73089042</v>
      </c>
      <c r="L14" s="300">
        <f t="shared" si="2"/>
        <v>66076506</v>
      </c>
      <c r="M14" s="300">
        <f t="shared" si="2"/>
        <v>71994944</v>
      </c>
      <c r="N14" s="300">
        <f t="shared" si="2"/>
        <v>46508346</v>
      </c>
      <c r="O14" s="301">
        <f>SUM(O5:O13)</f>
        <v>666368517</v>
      </c>
      <c r="P14" s="302">
        <f>SUM(P5:P13)</f>
        <v>0.99999999999999989</v>
      </c>
    </row>
    <row r="15" spans="1:18" ht="17.25" thickBot="1">
      <c r="A15" s="723"/>
      <c r="B15" s="303" t="s">
        <v>267</v>
      </c>
      <c r="C15" s="304">
        <f>C14/$O$14</f>
        <v>2.8034898893640258E-2</v>
      </c>
      <c r="D15" s="304">
        <f t="shared" ref="D15:N15" si="3">D14/$O$14</f>
        <v>3.4873211154421928E-2</v>
      </c>
      <c r="E15" s="304">
        <f t="shared" si="3"/>
        <v>0.13507471722287265</v>
      </c>
      <c r="F15" s="304">
        <f t="shared" si="3"/>
        <v>0.12094452985689298</v>
      </c>
      <c r="G15" s="304">
        <f t="shared" si="3"/>
        <v>0.11169198139053139</v>
      </c>
      <c r="H15" s="304">
        <f t="shared" si="3"/>
        <v>9.1460311291987409E-2</v>
      </c>
      <c r="I15" s="304">
        <f t="shared" si="3"/>
        <v>4.8563491783331053E-2</v>
      </c>
      <c r="J15" s="304">
        <f t="shared" si="3"/>
        <v>4.268067034145312E-2</v>
      </c>
      <c r="K15" s="304">
        <f t="shared" si="3"/>
        <v>0.10968261575298882</v>
      </c>
      <c r="L15" s="304">
        <f t="shared" si="3"/>
        <v>9.9159105381324608E-2</v>
      </c>
      <c r="M15" s="304">
        <f t="shared" si="3"/>
        <v>0.10804073446345006</v>
      </c>
      <c r="N15" s="304">
        <f t="shared" si="3"/>
        <v>6.979373246710574E-2</v>
      </c>
      <c r="O15" s="294">
        <f>SUM(C15:N15)</f>
        <v>1</v>
      </c>
      <c r="P15" s="295"/>
    </row>
    <row r="17" spans="1:19" s="236" customFormat="1">
      <c r="A17" s="130" t="s">
        <v>448</v>
      </c>
      <c r="K17" s="286"/>
      <c r="L17" s="134"/>
      <c r="M17" s="134"/>
      <c r="N17" s="134"/>
    </row>
    <row r="18" spans="1:19" s="236" customFormat="1">
      <c r="A18" s="724" t="s">
        <v>439</v>
      </c>
      <c r="B18" s="329" t="s">
        <v>70</v>
      </c>
      <c r="C18" s="330">
        <f t="shared" ref="C18:C26" si="4">C5/$C$14</f>
        <v>9.5563307460067332E-2</v>
      </c>
      <c r="D18" s="330">
        <f t="shared" ref="D18:D26" si="5">D5/$D$14</f>
        <v>0.11160793703183651</v>
      </c>
      <c r="E18" s="330">
        <f t="shared" ref="E18:E26" si="6">E5/$E$14</f>
        <v>6.5929889941998263E-2</v>
      </c>
      <c r="F18" s="330">
        <f t="shared" ref="F18:F26" si="7">F5/$F$14</f>
        <v>7.8219596693420934E-2</v>
      </c>
      <c r="G18" s="330">
        <f t="shared" ref="G18:G26" si="8">G5/$G$14</f>
        <v>9.4299176573553883E-2</v>
      </c>
      <c r="H18" s="330">
        <f t="shared" ref="H18:H26" si="9">H5/$H$14</f>
        <v>8.0179424264046867E-2</v>
      </c>
      <c r="I18" s="330">
        <f t="shared" ref="I18:I26" si="10">I5/$I$14</f>
        <v>9.7583240315511341E-2</v>
      </c>
      <c r="J18" s="330">
        <f t="shared" ref="J18:J26" si="11">J5/$J$14</f>
        <v>0.1184651202284866</v>
      </c>
      <c r="K18" s="330">
        <f t="shared" ref="K18:K26" si="12">K5/$K$14</f>
        <v>7.6067257797687374E-2</v>
      </c>
      <c r="L18" s="330">
        <f t="shared" ref="L18:L26" si="13">L5/$L$14</f>
        <v>7.1634598839109317E-2</v>
      </c>
      <c r="M18" s="330">
        <f t="shared" ref="M18:M26" si="14">M5/$M$14</f>
        <v>7.5384085304656956E-2</v>
      </c>
      <c r="N18" s="330">
        <f t="shared" ref="N18:N26" si="15">N5/$N$14</f>
        <v>7.2497267479690639E-2</v>
      </c>
      <c r="O18" s="287">
        <f>AVERAGE(C18:N18)</f>
        <v>8.6452575160838832E-2</v>
      </c>
    </row>
    <row r="19" spans="1:19" s="236" customFormat="1">
      <c r="A19" s="725"/>
      <c r="B19" s="329" t="s">
        <v>6</v>
      </c>
      <c r="C19" s="330">
        <f t="shared" si="4"/>
        <v>0.1338849713626914</v>
      </c>
      <c r="D19" s="330">
        <f t="shared" si="5"/>
        <v>0.13390059819066796</v>
      </c>
      <c r="E19" s="330">
        <f t="shared" si="6"/>
        <v>9.9289687507454066E-2</v>
      </c>
      <c r="F19" s="330">
        <f t="shared" si="7"/>
        <v>0.11698400172509918</v>
      </c>
      <c r="G19" s="330">
        <f t="shared" si="8"/>
        <v>8.6601793249370326E-2</v>
      </c>
      <c r="H19" s="330">
        <f t="shared" si="9"/>
        <v>0.12112457017879617</v>
      </c>
      <c r="I19" s="330">
        <f t="shared" si="10"/>
        <v>0.1428507154034114</v>
      </c>
      <c r="J19" s="330">
        <f t="shared" si="11"/>
        <v>0.13359367294919264</v>
      </c>
      <c r="K19" s="330">
        <f t="shared" si="12"/>
        <v>9.7109440837930258E-2</v>
      </c>
      <c r="L19" s="330">
        <f t="shared" si="13"/>
        <v>0.11767212691300596</v>
      </c>
      <c r="M19" s="330">
        <f t="shared" si="14"/>
        <v>0.11981560816270653</v>
      </c>
      <c r="N19" s="330">
        <f t="shared" si="15"/>
        <v>0.12931208088973967</v>
      </c>
      <c r="O19" s="287">
        <f t="shared" ref="O19:O26" si="16">AVERAGE(C19:N19)</f>
        <v>0.11934493894750547</v>
      </c>
    </row>
    <row r="20" spans="1:19" s="236" customFormat="1">
      <c r="A20" s="725"/>
      <c r="B20" s="329" t="s">
        <v>7</v>
      </c>
      <c r="C20" s="330">
        <f t="shared" si="4"/>
        <v>8.8448864105347871E-2</v>
      </c>
      <c r="D20" s="330">
        <f t="shared" si="5"/>
        <v>3.2086360469584622E-2</v>
      </c>
      <c r="E20" s="330">
        <f t="shared" si="6"/>
        <v>0.20241595726870681</v>
      </c>
      <c r="F20" s="330">
        <f t="shared" si="7"/>
        <v>0.19052716165758368</v>
      </c>
      <c r="G20" s="330">
        <f t="shared" si="8"/>
        <v>0.20440983113617694</v>
      </c>
      <c r="H20" s="330">
        <f t="shared" si="9"/>
        <v>0.19749434387061443</v>
      </c>
      <c r="I20" s="330">
        <f t="shared" si="10"/>
        <v>0.13118970747113007</v>
      </c>
      <c r="J20" s="330">
        <f t="shared" si="11"/>
        <v>4.7930078543148277E-2</v>
      </c>
      <c r="K20" s="330">
        <f t="shared" si="12"/>
        <v>0.1849400215151267</v>
      </c>
      <c r="L20" s="330">
        <f t="shared" si="13"/>
        <v>0.16689467509071984</v>
      </c>
      <c r="M20" s="330">
        <f t="shared" si="14"/>
        <v>0.15416738153168089</v>
      </c>
      <c r="N20" s="330">
        <f t="shared" si="15"/>
        <v>0.14076260635026669</v>
      </c>
      <c r="O20" s="287">
        <f t="shared" si="16"/>
        <v>0.14510558241750723</v>
      </c>
    </row>
    <row r="21" spans="1:19" s="236" customFormat="1">
      <c r="A21" s="725"/>
      <c r="B21" s="329" t="s">
        <v>8</v>
      </c>
      <c r="C21" s="330">
        <f t="shared" si="4"/>
        <v>1.0695993817223325E-2</v>
      </c>
      <c r="D21" s="330">
        <f t="shared" si="5"/>
        <v>9.956102848688874E-3</v>
      </c>
      <c r="E21" s="330">
        <f t="shared" si="6"/>
        <v>3.0285990021568714E-2</v>
      </c>
      <c r="F21" s="330">
        <f t="shared" si="7"/>
        <v>3.0275917474219146E-2</v>
      </c>
      <c r="G21" s="330">
        <f t="shared" si="8"/>
        <v>2.5161720008136719E-2</v>
      </c>
      <c r="H21" s="330">
        <f t="shared" si="9"/>
        <v>2.2657809160173077E-2</v>
      </c>
      <c r="I21" s="330">
        <f t="shared" si="10"/>
        <v>1.052047480836763E-2</v>
      </c>
      <c r="J21" s="330">
        <f t="shared" si="11"/>
        <v>1.3811653611302394E-2</v>
      </c>
      <c r="K21" s="330">
        <f t="shared" si="12"/>
        <v>7.9380162076826792E-3</v>
      </c>
      <c r="L21" s="330">
        <f t="shared" si="13"/>
        <v>7.1858823770130946E-3</v>
      </c>
      <c r="M21" s="330">
        <f t="shared" si="14"/>
        <v>5.8943583593870147E-3</v>
      </c>
      <c r="N21" s="330">
        <f t="shared" si="15"/>
        <v>8.5673870233957585E-3</v>
      </c>
      <c r="O21" s="287">
        <f t="shared" si="16"/>
        <v>1.5245942143096535E-2</v>
      </c>
    </row>
    <row r="22" spans="1:19" s="236" customFormat="1">
      <c r="A22" s="725"/>
      <c r="B22" s="329" t="s">
        <v>9</v>
      </c>
      <c r="C22" s="330">
        <f t="shared" si="4"/>
        <v>0.15625995968005693</v>
      </c>
      <c r="D22" s="330">
        <f t="shared" si="5"/>
        <v>0.18029710294292939</v>
      </c>
      <c r="E22" s="330">
        <f t="shared" si="6"/>
        <v>0.11802992347288881</v>
      </c>
      <c r="F22" s="330">
        <f t="shared" si="7"/>
        <v>0.11430411240829254</v>
      </c>
      <c r="G22" s="330">
        <f t="shared" si="8"/>
        <v>0.10428013535762472</v>
      </c>
      <c r="H22" s="330">
        <f t="shared" si="9"/>
        <v>0.10554750584252307</v>
      </c>
      <c r="I22" s="330">
        <f t="shared" si="10"/>
        <v>0.12933563427936595</v>
      </c>
      <c r="J22" s="330">
        <f t="shared" si="11"/>
        <v>0.15264616590348001</v>
      </c>
      <c r="K22" s="330">
        <f t="shared" si="12"/>
        <v>9.8058475031045006E-2</v>
      </c>
      <c r="L22" s="330">
        <f t="shared" si="13"/>
        <v>8.5791733600441886E-2</v>
      </c>
      <c r="M22" s="330">
        <f t="shared" si="14"/>
        <v>0.11540974321752372</v>
      </c>
      <c r="N22" s="330">
        <f t="shared" si="15"/>
        <v>9.1428364276811738E-2</v>
      </c>
      <c r="O22" s="287">
        <f t="shared" si="16"/>
        <v>0.12094907133441529</v>
      </c>
      <c r="P22" s="275"/>
    </row>
    <row r="23" spans="1:19" s="236" customFormat="1">
      <c r="A23" s="725"/>
      <c r="B23" s="329" t="s">
        <v>10</v>
      </c>
      <c r="C23" s="330">
        <f t="shared" si="4"/>
        <v>5.8151631120589735E-2</v>
      </c>
      <c r="D23" s="330">
        <f t="shared" si="5"/>
        <v>6.1876393436556112E-2</v>
      </c>
      <c r="E23" s="330">
        <f t="shared" si="6"/>
        <v>3.3517669721650281E-2</v>
      </c>
      <c r="F23" s="330">
        <f t="shared" si="7"/>
        <v>2.8249479329178224E-2</v>
      </c>
      <c r="G23" s="330">
        <f t="shared" si="8"/>
        <v>3.1421445847948128E-2</v>
      </c>
      <c r="H23" s="330">
        <f t="shared" si="9"/>
        <v>3.3572061634877352E-2</v>
      </c>
      <c r="I23" s="330">
        <f t="shared" si="10"/>
        <v>5.8234770287438821E-2</v>
      </c>
      <c r="J23" s="330">
        <f t="shared" si="11"/>
        <v>6.240661606962189E-2</v>
      </c>
      <c r="K23" s="330">
        <f t="shared" si="12"/>
        <v>4.4216313575433097E-2</v>
      </c>
      <c r="L23" s="330">
        <f t="shared" si="13"/>
        <v>4.0194467909668227E-2</v>
      </c>
      <c r="M23" s="330">
        <f t="shared" si="14"/>
        <v>4.108369054360262E-2</v>
      </c>
      <c r="N23" s="330">
        <f t="shared" si="15"/>
        <v>4.1239909929284523E-2</v>
      </c>
      <c r="O23" s="287">
        <f t="shared" si="16"/>
        <v>4.4513704117154086E-2</v>
      </c>
    </row>
    <row r="24" spans="1:19">
      <c r="A24" s="725"/>
      <c r="B24" s="329" t="s">
        <v>11</v>
      </c>
      <c r="C24" s="330">
        <f t="shared" si="4"/>
        <v>0.12368529546814418</v>
      </c>
      <c r="D24" s="330">
        <f t="shared" si="5"/>
        <v>9.2890864736442813E-2</v>
      </c>
      <c r="E24" s="330">
        <f t="shared" si="6"/>
        <v>0.1172896130486792</v>
      </c>
      <c r="F24" s="330">
        <f t="shared" si="7"/>
        <v>0.10818137022174222</v>
      </c>
      <c r="G24" s="330">
        <f t="shared" si="8"/>
        <v>9.4079917751405992E-2</v>
      </c>
      <c r="H24" s="330">
        <f t="shared" si="9"/>
        <v>0.10706597443728798</v>
      </c>
      <c r="I24" s="330">
        <f t="shared" si="10"/>
        <v>0.10006096192654521</v>
      </c>
      <c r="J24" s="330">
        <f t="shared" si="11"/>
        <v>0.11001061669477451</v>
      </c>
      <c r="K24" s="330">
        <f t="shared" si="12"/>
        <v>0.11096923393796843</v>
      </c>
      <c r="L24" s="330">
        <f t="shared" si="13"/>
        <v>0.11047935857867545</v>
      </c>
      <c r="M24" s="330">
        <f t="shared" si="14"/>
        <v>0.10561347196825377</v>
      </c>
      <c r="N24" s="330">
        <f t="shared" si="15"/>
        <v>0.1186610033390566</v>
      </c>
      <c r="O24" s="287">
        <f t="shared" si="16"/>
        <v>0.10824897350908136</v>
      </c>
    </row>
    <row r="25" spans="1:19">
      <c r="A25" s="725"/>
      <c r="B25" s="329" t="s">
        <v>12</v>
      </c>
      <c r="C25" s="330">
        <f t="shared" si="4"/>
        <v>0.18543940676519013</v>
      </c>
      <c r="D25" s="330">
        <f t="shared" si="5"/>
        <v>0.21325198238605825</v>
      </c>
      <c r="E25" s="330">
        <f t="shared" si="6"/>
        <v>0.2316924431753839</v>
      </c>
      <c r="F25" s="330">
        <f t="shared" si="7"/>
        <v>0.22845535913156012</v>
      </c>
      <c r="G25" s="330">
        <f t="shared" si="8"/>
        <v>0.24872596368948147</v>
      </c>
      <c r="H25" s="330">
        <f t="shared" si="9"/>
        <v>0.23141545064479088</v>
      </c>
      <c r="I25" s="330">
        <f t="shared" si="10"/>
        <v>0.16848188672465672</v>
      </c>
      <c r="J25" s="330">
        <f t="shared" si="11"/>
        <v>0.19678978153236579</v>
      </c>
      <c r="K25" s="330">
        <f t="shared" si="12"/>
        <v>0.2650179489286506</v>
      </c>
      <c r="L25" s="330">
        <f t="shared" si="13"/>
        <v>0.29465650014847938</v>
      </c>
      <c r="M25" s="330">
        <f t="shared" si="14"/>
        <v>0.28073688063428454</v>
      </c>
      <c r="N25" s="330">
        <f t="shared" si="15"/>
        <v>0.28883828721838439</v>
      </c>
      <c r="O25" s="287">
        <f t="shared" si="16"/>
        <v>0.23612515758160721</v>
      </c>
    </row>
    <row r="26" spans="1:19">
      <c r="A26" s="725"/>
      <c r="B26" s="331" t="s">
        <v>13</v>
      </c>
      <c r="C26" s="330">
        <f t="shared" si="4"/>
        <v>0.14787057022068911</v>
      </c>
      <c r="D26" s="330">
        <f t="shared" si="5"/>
        <v>0.16413265795723544</v>
      </c>
      <c r="E26" s="330">
        <f t="shared" si="6"/>
        <v>0.10154882584166997</v>
      </c>
      <c r="F26" s="330">
        <f t="shared" si="7"/>
        <v>0.10480300135890397</v>
      </c>
      <c r="G26" s="330">
        <f t="shared" si="8"/>
        <v>0.11102001638630182</v>
      </c>
      <c r="H26" s="330">
        <f t="shared" si="9"/>
        <v>0.10094285996689017</v>
      </c>
      <c r="I26" s="330">
        <f t="shared" si="10"/>
        <v>0.16174260878357286</v>
      </c>
      <c r="J26" s="330">
        <f t="shared" si="11"/>
        <v>0.16434629446762788</v>
      </c>
      <c r="K26" s="330">
        <f t="shared" si="12"/>
        <v>0.11568329216847581</v>
      </c>
      <c r="L26" s="330">
        <f t="shared" si="13"/>
        <v>0.10549065654288682</v>
      </c>
      <c r="M26" s="330">
        <f t="shared" si="14"/>
        <v>0.10189478027790395</v>
      </c>
      <c r="N26" s="330">
        <f t="shared" si="15"/>
        <v>0.10869309349336999</v>
      </c>
      <c r="O26" s="287">
        <f t="shared" si="16"/>
        <v>0.124014054788794</v>
      </c>
    </row>
    <row r="27" spans="1:19">
      <c r="A27" s="725"/>
      <c r="B27" s="332"/>
      <c r="C27" s="333">
        <f>SUM(C18:C26)</f>
        <v>1</v>
      </c>
      <c r="D27" s="333">
        <f t="shared" ref="D27:N27" si="17">SUM(D18:D26)</f>
        <v>1</v>
      </c>
      <c r="E27" s="333">
        <f t="shared" si="17"/>
        <v>1</v>
      </c>
      <c r="F27" s="333">
        <f t="shared" si="17"/>
        <v>1</v>
      </c>
      <c r="G27" s="333">
        <f t="shared" si="17"/>
        <v>1</v>
      </c>
      <c r="H27" s="333">
        <f t="shared" si="17"/>
        <v>1</v>
      </c>
      <c r="I27" s="333">
        <f t="shared" si="17"/>
        <v>1</v>
      </c>
      <c r="J27" s="333">
        <f t="shared" si="17"/>
        <v>1</v>
      </c>
      <c r="K27" s="333">
        <f t="shared" si="17"/>
        <v>1</v>
      </c>
      <c r="L27" s="333">
        <f t="shared" si="17"/>
        <v>1</v>
      </c>
      <c r="M27" s="333">
        <f t="shared" si="17"/>
        <v>1</v>
      </c>
      <c r="N27" s="333">
        <f t="shared" si="17"/>
        <v>0.99999999999999989</v>
      </c>
      <c r="O27" s="287">
        <f>SUM(O18:O26)</f>
        <v>1</v>
      </c>
    </row>
    <row r="29" spans="1:19" s="236" customFormat="1">
      <c r="A29" s="4"/>
    </row>
    <row r="30" spans="1:19" s="236" customFormat="1" ht="17.25" thickBot="1">
      <c r="A30" s="130" t="s">
        <v>441</v>
      </c>
      <c r="C30" s="438">
        <v>671412425</v>
      </c>
    </row>
    <row r="31" spans="1:19">
      <c r="A31" s="715" t="s">
        <v>440</v>
      </c>
      <c r="B31" s="718" t="s">
        <v>442</v>
      </c>
      <c r="C31" s="694" t="s">
        <v>273</v>
      </c>
      <c r="D31" s="694" t="s">
        <v>16</v>
      </c>
      <c r="E31" s="694" t="s">
        <v>17</v>
      </c>
      <c r="F31" s="694" t="s">
        <v>18</v>
      </c>
      <c r="G31" s="694" t="s">
        <v>19</v>
      </c>
      <c r="H31" s="694" t="s">
        <v>20</v>
      </c>
      <c r="I31" s="694" t="s">
        <v>21</v>
      </c>
      <c r="J31" s="694" t="s">
        <v>22</v>
      </c>
      <c r="K31" s="694" t="s">
        <v>23</v>
      </c>
      <c r="L31" s="694" t="s">
        <v>24</v>
      </c>
      <c r="M31" s="694" t="s">
        <v>25</v>
      </c>
      <c r="N31" s="694" t="s">
        <v>26</v>
      </c>
      <c r="O31" s="720" t="s">
        <v>274</v>
      </c>
    </row>
    <row r="32" spans="1:19" ht="17.25" thickBot="1">
      <c r="A32" s="716"/>
      <c r="B32" s="719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721"/>
      <c r="P32" s="176" t="s">
        <v>821</v>
      </c>
      <c r="Q32" s="176" t="s">
        <v>822</v>
      </c>
      <c r="R32" s="176" t="s">
        <v>823</v>
      </c>
      <c r="S32" s="176">
        <v>236</v>
      </c>
    </row>
    <row r="33" spans="1:19">
      <c r="A33" s="716"/>
      <c r="B33" s="305" t="s">
        <v>70</v>
      </c>
      <c r="C33" s="306">
        <f>$C$42*C18</f>
        <v>1852749.7577493382</v>
      </c>
      <c r="D33" s="306">
        <f>$D$42*D18</f>
        <v>2691619.2072309745</v>
      </c>
      <c r="E33" s="306">
        <f>$E$42*E18</f>
        <v>6158614.4470102312</v>
      </c>
      <c r="F33" s="306">
        <f>$F$42*F18</f>
        <v>6542269.0678689396</v>
      </c>
      <c r="G33" s="306">
        <f>$G$42*G18</f>
        <v>7283774.5417723153</v>
      </c>
      <c r="H33" s="306">
        <f>$H$42*H18</f>
        <v>5071333.9180948529</v>
      </c>
      <c r="I33" s="306">
        <f>$I$42*I18</f>
        <v>3277266.3535181759</v>
      </c>
      <c r="J33" s="306">
        <f>$J$42*J18</f>
        <v>3496619.1358640306</v>
      </c>
      <c r="K33" s="306">
        <f>$K$42*K18</f>
        <v>5769818.5831596144</v>
      </c>
      <c r="L33" s="306">
        <f>$L$42*L18</f>
        <v>4912267.7620394398</v>
      </c>
      <c r="M33" s="306">
        <f>$M$42*M18</f>
        <v>5632403.9718236513</v>
      </c>
      <c r="N33" s="307">
        <f>$N$42*N18</f>
        <v>3499166.9258408444</v>
      </c>
      <c r="O33" s="338">
        <f>SUM(C33:N33)</f>
        <v>56187903.671972401</v>
      </c>
      <c r="P33" s="535">
        <f>O33/$O$42</f>
        <v>8.1248664393308953E-2</v>
      </c>
      <c r="Q33" s="534">
        <v>54141552</v>
      </c>
      <c r="R33" s="536">
        <f>O33-Q33</f>
        <v>2046351.6719724014</v>
      </c>
      <c r="S33" s="536">
        <f>R33/$S$32</f>
        <v>8670.9816609000063</v>
      </c>
    </row>
    <row r="34" spans="1:19">
      <c r="A34" s="716"/>
      <c r="B34" s="281" t="s">
        <v>6</v>
      </c>
      <c r="C34" s="306">
        <f t="shared" ref="C34:C41" si="18">$C$42*C19</f>
        <v>2595717.4866740298</v>
      </c>
      <c r="D34" s="306">
        <f t="shared" ref="D34:D41" si="19">$D$42*D19</f>
        <v>3229245.4419877958</v>
      </c>
      <c r="E34" s="306">
        <f t="shared" ref="E34:E41" si="20">$E$42*E19</f>
        <v>9274805.4707886316</v>
      </c>
      <c r="F34" s="306">
        <f t="shared" ref="F34:F41" si="21">$F$42*F19</f>
        <v>9784514.9844145887</v>
      </c>
      <c r="G34" s="306">
        <f t="shared" ref="G34:G41" si="22">$G$42*G19</f>
        <v>6689219.989631352</v>
      </c>
      <c r="H34" s="306">
        <f t="shared" ref="H34:H41" si="23">$H$42*H19</f>
        <v>7661106.9074217612</v>
      </c>
      <c r="I34" s="306">
        <f t="shared" ref="I34:I41" si="24">$I$42*I19</f>
        <v>4797543.529543817</v>
      </c>
      <c r="J34" s="306">
        <f t="shared" ref="J34:J41" si="25">$J$42*J19</f>
        <v>3943153.8360282765</v>
      </c>
      <c r="K34" s="306">
        <f t="shared" ref="K34:K41" si="26">$K$42*K19</f>
        <v>7365900.5539169535</v>
      </c>
      <c r="L34" s="306">
        <f t="shared" ref="L34:L41" si="27">$L$42*L19</f>
        <v>8069243.1435770141</v>
      </c>
      <c r="M34" s="306">
        <f t="shared" ref="M34:M41" si="28">$M$42*M19</f>
        <v>8952153.555684315</v>
      </c>
      <c r="N34" s="307">
        <f t="shared" ref="N34:N41" si="29">$N$42*N19</f>
        <v>6241401.5354136182</v>
      </c>
      <c r="O34" s="338">
        <f t="shared" ref="O34:O41" si="30">SUM(C34:N34)</f>
        <v>78604006.435082167</v>
      </c>
      <c r="P34" s="535">
        <f t="shared" ref="P34:P41" si="31">O34/$O$42</f>
        <v>0.11366273025770815</v>
      </c>
      <c r="Q34" s="534">
        <v>75741265</v>
      </c>
      <c r="R34" s="536">
        <f t="shared" ref="R34:R41" si="32">O34-Q34</f>
        <v>2862741.4350821674</v>
      </c>
      <c r="S34" s="536">
        <f t="shared" ref="S34:S42" si="33">R34/$S$32</f>
        <v>12130.260318144778</v>
      </c>
    </row>
    <row r="35" spans="1:19">
      <c r="A35" s="716"/>
      <c r="B35" s="281" t="s">
        <v>7</v>
      </c>
      <c r="C35" s="306">
        <f t="shared" si="18"/>
        <v>1714817.2860474156</v>
      </c>
      <c r="D35" s="306">
        <f t="shared" si="19"/>
        <v>773818.30026510532</v>
      </c>
      <c r="E35" s="306">
        <f t="shared" si="20"/>
        <v>18907992.108543783</v>
      </c>
      <c r="F35" s="306">
        <f t="shared" si="21"/>
        <v>15935647.957721014</v>
      </c>
      <c r="G35" s="306">
        <f t="shared" si="22"/>
        <v>15788845.440833015</v>
      </c>
      <c r="H35" s="306">
        <f t="shared" si="23"/>
        <v>12491481.123693267</v>
      </c>
      <c r="I35" s="306">
        <f t="shared" si="24"/>
        <v>4405916.5573197817</v>
      </c>
      <c r="J35" s="306">
        <f t="shared" si="25"/>
        <v>1414705.269316378</v>
      </c>
      <c r="K35" s="306">
        <f t="shared" si="26"/>
        <v>14027985.283049844</v>
      </c>
      <c r="L35" s="306">
        <f t="shared" si="27"/>
        <v>11444627.95060141</v>
      </c>
      <c r="M35" s="306">
        <f t="shared" si="28"/>
        <v>11518783.686973372</v>
      </c>
      <c r="N35" s="307">
        <f t="shared" si="29"/>
        <v>6794074.7790803416</v>
      </c>
      <c r="O35" s="338">
        <f t="shared" si="30"/>
        <v>115218695.74344473</v>
      </c>
      <c r="P35" s="535">
        <f t="shared" si="31"/>
        <v>0.16660819376615296</v>
      </c>
      <c r="Q35" s="534">
        <v>111022455</v>
      </c>
      <c r="R35" s="536">
        <f t="shared" si="32"/>
        <v>4196240.7434447259</v>
      </c>
      <c r="S35" s="536">
        <f t="shared" si="33"/>
        <v>17780.681116291213</v>
      </c>
    </row>
    <row r="36" spans="1:19">
      <c r="A36" s="716"/>
      <c r="B36" s="281" t="s">
        <v>8</v>
      </c>
      <c r="C36" s="306">
        <f t="shared" si="18"/>
        <v>207370.38598240004</v>
      </c>
      <c r="D36" s="306">
        <f t="shared" si="19"/>
        <v>240108.70883720188</v>
      </c>
      <c r="E36" s="306">
        <f t="shared" si="20"/>
        <v>2829061.8390677017</v>
      </c>
      <c r="F36" s="306">
        <f t="shared" si="21"/>
        <v>2532270.7705752798</v>
      </c>
      <c r="G36" s="306">
        <f t="shared" si="22"/>
        <v>1943519.5754812972</v>
      </c>
      <c r="H36" s="306">
        <f t="shared" si="23"/>
        <v>1433102.2847619837</v>
      </c>
      <c r="I36" s="306">
        <f t="shared" si="24"/>
        <v>353322.94768057932</v>
      </c>
      <c r="J36" s="306">
        <f t="shared" si="25"/>
        <v>407665.07662389986</v>
      </c>
      <c r="K36" s="306">
        <f t="shared" si="26"/>
        <v>602110.74718013813</v>
      </c>
      <c r="L36" s="306">
        <f t="shared" si="27"/>
        <v>492764.375238423</v>
      </c>
      <c r="M36" s="306">
        <f t="shared" si="28"/>
        <v>440403.39947870164</v>
      </c>
      <c r="N36" s="307">
        <f t="shared" si="29"/>
        <v>413515.13450548612</v>
      </c>
      <c r="O36" s="338">
        <f t="shared" si="30"/>
        <v>11895215.245413093</v>
      </c>
      <c r="P36" s="535">
        <f t="shared" si="31"/>
        <v>1.7200683567107959E-2</v>
      </c>
      <c r="Q36" s="534">
        <v>11461994</v>
      </c>
      <c r="R36" s="536">
        <f t="shared" si="32"/>
        <v>433221.2454130929</v>
      </c>
      <c r="S36" s="536">
        <f t="shared" si="33"/>
        <v>1835.6832432758174</v>
      </c>
    </row>
    <row r="37" spans="1:19">
      <c r="A37" s="716"/>
      <c r="B37" s="281" t="s">
        <v>9</v>
      </c>
      <c r="C37" s="306">
        <f t="shared" si="18"/>
        <v>3029516.3503431845</v>
      </c>
      <c r="D37" s="306">
        <f t="shared" si="19"/>
        <v>4348177.7210061522</v>
      </c>
      <c r="E37" s="306">
        <f t="shared" si="20"/>
        <v>11025360.31106885</v>
      </c>
      <c r="F37" s="306">
        <f t="shared" si="21"/>
        <v>9560369.6586418841</v>
      </c>
      <c r="G37" s="306">
        <f t="shared" si="22"/>
        <v>8054715.0328293955</v>
      </c>
      <c r="H37" s="306">
        <f t="shared" si="23"/>
        <v>6675860.4375451971</v>
      </c>
      <c r="I37" s="306">
        <f t="shared" si="24"/>
        <v>4343648.7778457403</v>
      </c>
      <c r="J37" s="306">
        <f t="shared" si="25"/>
        <v>4505507.6438105628</v>
      </c>
      <c r="K37" s="306">
        <f t="shared" si="26"/>
        <v>7437886.2581742443</v>
      </c>
      <c r="L37" s="306">
        <f t="shared" si="27"/>
        <v>5883078.4850412719</v>
      </c>
      <c r="M37" s="306">
        <f t="shared" si="28"/>
        <v>8622964.5615315512</v>
      </c>
      <c r="N37" s="307">
        <f t="shared" si="29"/>
        <v>4412898.8509914717</v>
      </c>
      <c r="O37" s="338">
        <f t="shared" si="30"/>
        <v>77899984.088829502</v>
      </c>
      <c r="P37" s="535">
        <f t="shared" si="31"/>
        <v>0.1126447019705164</v>
      </c>
      <c r="Q37" s="534">
        <v>75062883</v>
      </c>
      <c r="R37" s="536">
        <f t="shared" si="32"/>
        <v>2837101.0888295025</v>
      </c>
      <c r="S37" s="536">
        <f t="shared" si="33"/>
        <v>12021.614783175857</v>
      </c>
    </row>
    <row r="38" spans="1:19">
      <c r="A38" s="716"/>
      <c r="B38" s="281" t="s">
        <v>10</v>
      </c>
      <c r="C38" s="306">
        <f t="shared" si="18"/>
        <v>1127424.5663422917</v>
      </c>
      <c r="D38" s="306">
        <f t="shared" si="19"/>
        <v>1492256.6752623229</v>
      </c>
      <c r="E38" s="306">
        <f t="shared" si="20"/>
        <v>3130938.1095505035</v>
      </c>
      <c r="F38" s="306">
        <f t="shared" si="21"/>
        <v>2362779.9504395882</v>
      </c>
      <c r="G38" s="306">
        <f t="shared" si="22"/>
        <v>2427027.8453009045</v>
      </c>
      <c r="H38" s="306">
        <f t="shared" si="23"/>
        <v>2123426.7573266714</v>
      </c>
      <c r="I38" s="306">
        <f t="shared" si="24"/>
        <v>1955774.9122781132</v>
      </c>
      <c r="J38" s="306">
        <f t="shared" si="25"/>
        <v>1841995.0744378467</v>
      </c>
      <c r="K38" s="306">
        <f t="shared" si="26"/>
        <v>3353875.4404014139</v>
      </c>
      <c r="L38" s="306">
        <f t="shared" si="27"/>
        <v>2756293.6363816876</v>
      </c>
      <c r="M38" s="306">
        <f t="shared" si="28"/>
        <v>3069612.6491391696</v>
      </c>
      <c r="N38" s="307">
        <f t="shared" si="29"/>
        <v>1990493.3505201901</v>
      </c>
      <c r="O38" s="338">
        <f t="shared" si="30"/>
        <v>27631898.967380702</v>
      </c>
      <c r="P38" s="535">
        <f t="shared" si="31"/>
        <v>3.9956195889728686E-2</v>
      </c>
      <c r="Q38" s="534">
        <v>26625551</v>
      </c>
      <c r="R38" s="536">
        <f t="shared" si="32"/>
        <v>1006347.9673807025</v>
      </c>
      <c r="S38" s="536">
        <f t="shared" si="33"/>
        <v>4264.1863024606037</v>
      </c>
    </row>
    <row r="39" spans="1:19">
      <c r="A39" s="716"/>
      <c r="B39" s="281" t="s">
        <v>11</v>
      </c>
      <c r="C39" s="306">
        <f t="shared" si="18"/>
        <v>2397969.5482130186</v>
      </c>
      <c r="D39" s="306">
        <f t="shared" si="19"/>
        <v>2240224.5068787802</v>
      </c>
      <c r="E39" s="306">
        <f t="shared" si="20"/>
        <v>10956206.752981303</v>
      </c>
      <c r="F39" s="306">
        <f t="shared" si="21"/>
        <v>9048264.911098823</v>
      </c>
      <c r="G39" s="306">
        <f t="shared" si="22"/>
        <v>7266838.7435517013</v>
      </c>
      <c r="H39" s="306">
        <f t="shared" si="23"/>
        <v>6771903.2984022833</v>
      </c>
      <c r="I39" s="306">
        <f t="shared" si="24"/>
        <v>3360478.9384146356</v>
      </c>
      <c r="J39" s="306">
        <f t="shared" si="25"/>
        <v>3247075.8206401868</v>
      </c>
      <c r="K39" s="306">
        <f t="shared" si="26"/>
        <v>8417187.1929073613</v>
      </c>
      <c r="L39" s="306">
        <f t="shared" si="27"/>
        <v>7576006.5710109128</v>
      </c>
      <c r="M39" s="306">
        <f t="shared" si="28"/>
        <v>7891025.4941480365</v>
      </c>
      <c r="N39" s="307">
        <f t="shared" si="29"/>
        <v>5727314.5968906339</v>
      </c>
      <c r="O39" s="338">
        <f t="shared" si="30"/>
        <v>74900496.375137657</v>
      </c>
      <c r="P39" s="535">
        <f t="shared" si="31"/>
        <v>0.10830739171910786</v>
      </c>
      <c r="Q39" s="534">
        <v>72172636</v>
      </c>
      <c r="R39" s="536">
        <f t="shared" si="32"/>
        <v>2727860.3751376569</v>
      </c>
      <c r="S39" s="536">
        <f t="shared" si="33"/>
        <v>11558.730403125664</v>
      </c>
    </row>
    <row r="40" spans="1:19">
      <c r="A40" s="716"/>
      <c r="B40" s="281" t="s">
        <v>12</v>
      </c>
      <c r="C40" s="306">
        <f t="shared" si="18"/>
        <v>3595237.807198693</v>
      </c>
      <c r="D40" s="306">
        <f t="shared" si="19"/>
        <v>5142941.8644900005</v>
      </c>
      <c r="E40" s="306">
        <f t="shared" si="20"/>
        <v>21642754.584579673</v>
      </c>
      <c r="F40" s="306">
        <f t="shared" si="21"/>
        <v>19107953.666565098</v>
      </c>
      <c r="G40" s="306">
        <f t="shared" si="22"/>
        <v>19211873.40152565</v>
      </c>
      <c r="H40" s="306">
        <f t="shared" si="23"/>
        <v>14636984.92223246</v>
      </c>
      <c r="I40" s="306">
        <f t="shared" si="24"/>
        <v>5658348.8799378341</v>
      </c>
      <c r="J40" s="306">
        <f t="shared" si="25"/>
        <v>5808451.5891379584</v>
      </c>
      <c r="K40" s="306">
        <f t="shared" si="26"/>
        <v>20102019.329607833</v>
      </c>
      <c r="L40" s="306">
        <f t="shared" si="27"/>
        <v>20205761.601396881</v>
      </c>
      <c r="M40" s="306">
        <f t="shared" si="28"/>
        <v>20975561.554293267</v>
      </c>
      <c r="N40" s="307">
        <f t="shared" si="29"/>
        <v>13941123.806276206</v>
      </c>
      <c r="O40" s="338">
        <f t="shared" si="30"/>
        <v>170029013.00724155</v>
      </c>
      <c r="P40" s="535">
        <f t="shared" si="31"/>
        <v>0.24586484478227533</v>
      </c>
      <c r="Q40" s="534">
        <v>163836592</v>
      </c>
      <c r="R40" s="536">
        <f t="shared" si="32"/>
        <v>6192421.0072415471</v>
      </c>
      <c r="S40" s="536">
        <f t="shared" si="33"/>
        <v>26239.072064582826</v>
      </c>
    </row>
    <row r="41" spans="1:19" ht="17.25" thickBot="1">
      <c r="A41" s="716"/>
      <c r="B41" s="308" t="s">
        <v>13</v>
      </c>
      <c r="C41" s="306">
        <f t="shared" si="18"/>
        <v>2866865.6457827166</v>
      </c>
      <c r="D41" s="306">
        <f t="shared" si="19"/>
        <v>3958344.0608309684</v>
      </c>
      <c r="E41" s="306">
        <f t="shared" si="20"/>
        <v>9485835.1266114563</v>
      </c>
      <c r="F41" s="306">
        <f t="shared" si="21"/>
        <v>8765698.9168272447</v>
      </c>
      <c r="G41" s="306">
        <f t="shared" si="22"/>
        <v>8575311.0299000666</v>
      </c>
      <c r="H41" s="306">
        <f t="shared" si="23"/>
        <v>6384617.4282039125</v>
      </c>
      <c r="I41" s="306">
        <f t="shared" si="24"/>
        <v>5432014.8417166146</v>
      </c>
      <c r="J41" s="306">
        <f t="shared" si="25"/>
        <v>4850848.8999588955</v>
      </c>
      <c r="K41" s="306">
        <f t="shared" si="26"/>
        <v>8774755.7653517462</v>
      </c>
      <c r="L41" s="306">
        <f t="shared" si="27"/>
        <v>7233911.5417658277</v>
      </c>
      <c r="M41" s="306">
        <f t="shared" si="28"/>
        <v>7613179.3975605909</v>
      </c>
      <c r="N41" s="307">
        <f t="shared" si="29"/>
        <v>5246201.5609881291</v>
      </c>
      <c r="O41" s="338">
        <f t="shared" si="30"/>
        <v>79187584.215498164</v>
      </c>
      <c r="P41" s="535">
        <f t="shared" si="31"/>
        <v>0.11450659365409364</v>
      </c>
      <c r="Q41" s="534">
        <v>76303589</v>
      </c>
      <c r="R41" s="536">
        <f t="shared" si="32"/>
        <v>2883995.2154981643</v>
      </c>
      <c r="S41" s="536">
        <f t="shared" si="33"/>
        <v>12220.318709737985</v>
      </c>
    </row>
    <row r="42" spans="1:19" s="129" customFormat="1" ht="20.25" customHeight="1" thickBot="1">
      <c r="A42" s="717"/>
      <c r="B42" s="309" t="s">
        <v>275</v>
      </c>
      <c r="C42" s="310">
        <f>$O$42*C15</f>
        <v>19387668.834333088</v>
      </c>
      <c r="D42" s="310">
        <f t="shared" ref="D42:N42" si="34">$O$42*D15</f>
        <v>24116736.486789301</v>
      </c>
      <c r="E42" s="310">
        <f t="shared" si="34"/>
        <v>93411568.750202134</v>
      </c>
      <c r="F42" s="310">
        <f t="shared" si="34"/>
        <v>83639769.884152457</v>
      </c>
      <c r="G42" s="310">
        <f t="shared" si="34"/>
        <v>77241125.600825697</v>
      </c>
      <c r="H42" s="310">
        <f t="shared" si="34"/>
        <v>63249817.077682391</v>
      </c>
      <c r="I42" s="310">
        <f t="shared" si="34"/>
        <v>33584315.738255292</v>
      </c>
      <c r="J42" s="310">
        <f t="shared" si="34"/>
        <v>29516022.345818035</v>
      </c>
      <c r="K42" s="310">
        <f t="shared" si="34"/>
        <v>75851539.153749153</v>
      </c>
      <c r="L42" s="310">
        <f t="shared" si="34"/>
        <v>68573955.067052871</v>
      </c>
      <c r="M42" s="310">
        <f t="shared" si="34"/>
        <v>74716088.270632654</v>
      </c>
      <c r="N42" s="310">
        <f t="shared" si="34"/>
        <v>48266190.540506922</v>
      </c>
      <c r="O42" s="439">
        <f>C30*103%</f>
        <v>691554797.75</v>
      </c>
      <c r="P42" s="537">
        <f>SUM(P33:P41)</f>
        <v>0.99999999999999989</v>
      </c>
      <c r="Q42" s="536">
        <f>SUM(Q33:Q41)</f>
        <v>666368517</v>
      </c>
      <c r="R42" s="536">
        <f>SUM(R33:R41)</f>
        <v>25186280.749999963</v>
      </c>
      <c r="S42" s="536">
        <f t="shared" si="33"/>
        <v>106721.52860169475</v>
      </c>
    </row>
    <row r="43" spans="1:19" s="316" customFormat="1" ht="20.25" customHeight="1">
      <c r="A43" s="313"/>
      <c r="B43" s="314"/>
      <c r="C43" s="315"/>
      <c r="D43" s="533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>
        <f>O42*1.1</f>
        <v>760710277.5250001</v>
      </c>
      <c r="P43" s="328"/>
      <c r="Q43" s="328"/>
    </row>
    <row r="44" spans="1:19" s="316" customFormat="1" ht="20.100000000000001" customHeight="1">
      <c r="A44" s="313"/>
      <c r="B44" s="705" t="s">
        <v>293</v>
      </c>
      <c r="C44" s="706"/>
      <c r="D44" s="339">
        <v>0</v>
      </c>
      <c r="E44" s="702" t="s">
        <v>801</v>
      </c>
      <c r="F44" s="702"/>
      <c r="G44" s="702"/>
      <c r="H44" s="702"/>
      <c r="I44" s="702"/>
    </row>
    <row r="45" spans="1:19" s="316" customFormat="1" ht="20.100000000000001" customHeight="1">
      <c r="A45" s="313"/>
      <c r="B45" s="707" t="s">
        <v>294</v>
      </c>
      <c r="C45" s="708"/>
      <c r="D45" s="340">
        <f>O42+D44</f>
        <v>691554797.75</v>
      </c>
      <c r="E45" s="703" t="s">
        <v>443</v>
      </c>
      <c r="F45" s="703"/>
      <c r="G45" s="703"/>
      <c r="H45" s="703"/>
      <c r="I45" s="703"/>
      <c r="O45" s="328"/>
    </row>
    <row r="46" spans="1:19" s="316" customFormat="1" ht="20.100000000000001" customHeight="1">
      <c r="A46" s="313"/>
      <c r="B46" s="705" t="s">
        <v>800</v>
      </c>
      <c r="C46" s="706"/>
      <c r="D46" s="339">
        <f>O42*25%</f>
        <v>172888699.4375</v>
      </c>
      <c r="E46" s="703" t="s">
        <v>323</v>
      </c>
      <c r="F46" s="703"/>
      <c r="G46" s="703"/>
      <c r="H46" s="703"/>
      <c r="I46" s="703"/>
    </row>
    <row r="47" spans="1:19" s="316" customFormat="1" ht="20.100000000000001" customHeight="1">
      <c r="A47" s="313"/>
      <c r="B47" s="705" t="s">
        <v>301</v>
      </c>
      <c r="C47" s="706"/>
      <c r="D47" s="339">
        <v>0</v>
      </c>
      <c r="E47" s="702" t="s">
        <v>801</v>
      </c>
      <c r="F47" s="702"/>
      <c r="G47" s="702"/>
      <c r="H47" s="702"/>
      <c r="I47" s="702"/>
      <c r="N47" s="305" t="s">
        <v>70</v>
      </c>
      <c r="O47" s="376">
        <f>$P$47*P33</f>
        <v>61342634.520646267</v>
      </c>
      <c r="P47" s="328">
        <f>P48*103%</f>
        <v>754998681.87</v>
      </c>
    </row>
    <row r="48" spans="1:19" s="316" customFormat="1" ht="20.100000000000001" customHeight="1">
      <c r="A48" s="313"/>
      <c r="B48" s="707" t="s">
        <v>295</v>
      </c>
      <c r="C48" s="708"/>
      <c r="D48" s="340">
        <f>D46+D47</f>
        <v>172888699.4375</v>
      </c>
      <c r="E48" s="704" t="s">
        <v>302</v>
      </c>
      <c r="F48" s="704"/>
      <c r="G48" s="704"/>
      <c r="H48" s="704"/>
      <c r="I48" s="704"/>
      <c r="N48" s="281" t="s">
        <v>6</v>
      </c>
      <c r="O48" s="376">
        <f t="shared" ref="O48:O54" si="35">$P$47*P34</f>
        <v>85815211.522315025</v>
      </c>
      <c r="P48" s="591">
        <v>733008429</v>
      </c>
    </row>
    <row r="49" spans="1:17" s="316" customFormat="1" ht="20.100000000000001" customHeight="1">
      <c r="A49" s="313"/>
      <c r="B49" s="705" t="s">
        <v>296</v>
      </c>
      <c r="C49" s="706"/>
      <c r="D49" s="339">
        <f>O42*0.5%</f>
        <v>3457773.98875</v>
      </c>
      <c r="E49" s="704" t="s">
        <v>814</v>
      </c>
      <c r="F49" s="704"/>
      <c r="G49" s="704"/>
      <c r="H49" s="704"/>
      <c r="I49" s="704"/>
      <c r="N49" s="281" t="s">
        <v>7</v>
      </c>
      <c r="O49" s="376">
        <f t="shared" si="35"/>
        <v>125788966.68218704</v>
      </c>
    </row>
    <row r="50" spans="1:17" s="316" customFormat="1" ht="20.25" customHeight="1">
      <c r="A50" s="313"/>
      <c r="B50" s="314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281" t="s">
        <v>8</v>
      </c>
      <c r="O50" s="376">
        <f t="shared" si="35"/>
        <v>12986493.420429479</v>
      </c>
      <c r="P50" s="328"/>
    </row>
    <row r="51" spans="1:17" s="316" customFormat="1" ht="28.5" customHeight="1">
      <c r="A51" s="313"/>
      <c r="B51" s="348"/>
      <c r="C51" s="698" t="s">
        <v>305</v>
      </c>
      <c r="D51" s="699"/>
      <c r="E51" s="349" t="s">
        <v>446</v>
      </c>
      <c r="F51" s="349" t="s">
        <v>304</v>
      </c>
      <c r="G51" s="336"/>
      <c r="H51" s="336"/>
      <c r="I51" s="336"/>
      <c r="J51" s="336"/>
      <c r="K51" s="336"/>
      <c r="L51" s="336"/>
      <c r="M51" s="336"/>
      <c r="N51" s="281" t="s">
        <v>9</v>
      </c>
      <c r="O51" s="376">
        <f t="shared" si="35"/>
        <v>85046601.507378876</v>
      </c>
      <c r="P51" s="328"/>
    </row>
    <row r="52" spans="1:17">
      <c r="B52" s="350" t="s">
        <v>303</v>
      </c>
      <c r="C52" s="709">
        <v>644731332</v>
      </c>
      <c r="D52" s="710"/>
      <c r="E52" s="351">
        <f>$O$42/C52</f>
        <v>1.072624771631232</v>
      </c>
      <c r="F52" s="352">
        <f>$O$42-C52</f>
        <v>46823465.75</v>
      </c>
      <c r="G52" s="285"/>
      <c r="H52" s="279"/>
      <c r="I52" s="374"/>
      <c r="N52" s="281" t="s">
        <v>10</v>
      </c>
      <c r="O52" s="376">
        <f t="shared" si="35"/>
        <v>30166875.22928467</v>
      </c>
    </row>
    <row r="53" spans="1:17">
      <c r="B53" s="350" t="s">
        <v>276</v>
      </c>
      <c r="C53" s="709">
        <v>312262986</v>
      </c>
      <c r="D53" s="710"/>
      <c r="E53" s="351">
        <f t="shared" ref="E53:E56" si="36">$O$42/C53</f>
        <v>2.2146550464037387</v>
      </c>
      <c r="F53" s="352">
        <f t="shared" ref="F53:F56" si="37">$O$42-C53</f>
        <v>379291811.75</v>
      </c>
      <c r="N53" s="281" t="s">
        <v>11</v>
      </c>
      <c r="O53" s="376">
        <f t="shared" si="35"/>
        <v>81771937.984704182</v>
      </c>
    </row>
    <row r="54" spans="1:17">
      <c r="B54" s="353" t="s">
        <v>277</v>
      </c>
      <c r="C54" s="696">
        <v>476763026</v>
      </c>
      <c r="D54" s="697"/>
      <c r="E54" s="351">
        <f t="shared" si="36"/>
        <v>1.450521034636608</v>
      </c>
      <c r="F54" s="352">
        <f t="shared" si="37"/>
        <v>214791771.75</v>
      </c>
      <c r="H54" s="373"/>
      <c r="N54" s="281" t="s">
        <v>12</v>
      </c>
      <c r="O54" s="376">
        <f t="shared" si="35"/>
        <v>185627633.72879001</v>
      </c>
    </row>
    <row r="55" spans="1:17" s="236" customFormat="1">
      <c r="B55" s="353" t="s">
        <v>444</v>
      </c>
      <c r="C55" s="696">
        <v>661053947</v>
      </c>
      <c r="D55" s="697"/>
      <c r="E55" s="351">
        <f t="shared" si="36"/>
        <v>1.0461397301815067</v>
      </c>
      <c r="F55" s="352">
        <f t="shared" si="37"/>
        <v>30500850.75</v>
      </c>
      <c r="H55" s="373"/>
      <c r="N55" s="308" t="s">
        <v>13</v>
      </c>
      <c r="O55" s="376">
        <f>$P$47*P41</f>
        <v>86452327.27426441</v>
      </c>
    </row>
    <row r="56" spans="1:17" s="236" customFormat="1">
      <c r="B56" s="353" t="s">
        <v>445</v>
      </c>
      <c r="C56" s="696">
        <v>671412425</v>
      </c>
      <c r="D56" s="697"/>
      <c r="E56" s="351">
        <f t="shared" si="36"/>
        <v>1.03</v>
      </c>
      <c r="F56" s="352">
        <f t="shared" si="37"/>
        <v>20142372.75</v>
      </c>
      <c r="H56" s="373"/>
      <c r="N56" s="316"/>
      <c r="O56" s="373">
        <f>SUM(O47:O55)</f>
        <v>754998681.87</v>
      </c>
    </row>
    <row r="57" spans="1:17" s="236" customFormat="1">
      <c r="B57" s="354"/>
      <c r="C57" s="355"/>
      <c r="D57" s="355"/>
      <c r="E57" s="356"/>
      <c r="F57" s="357"/>
    </row>
    <row r="58" spans="1:17" s="236" customFormat="1">
      <c r="A58" s="130" t="s">
        <v>306</v>
      </c>
      <c r="B58" s="354"/>
      <c r="C58" s="355"/>
      <c r="D58" s="355"/>
      <c r="E58" s="358"/>
      <c r="F58" s="359"/>
      <c r="G58" s="129"/>
      <c r="H58" s="163"/>
      <c r="I58" s="129"/>
      <c r="J58" s="129"/>
      <c r="K58" s="129"/>
      <c r="L58" s="129"/>
      <c r="M58" s="129"/>
      <c r="N58" s="129"/>
      <c r="O58" s="129"/>
      <c r="P58" s="129"/>
    </row>
    <row r="59" spans="1:17" s="236" customFormat="1">
      <c r="A59" s="129" t="s">
        <v>308</v>
      </c>
      <c r="B59" s="354"/>
      <c r="C59" s="355"/>
      <c r="D59" s="355">
        <v>17957001</v>
      </c>
      <c r="E59" s="358">
        <v>2.7E-2</v>
      </c>
      <c r="F59" s="375">
        <f>D59/O42</f>
        <v>2.5966128871383425E-2</v>
      </c>
      <c r="G59" s="129"/>
      <c r="H59" s="129"/>
      <c r="I59" s="129"/>
      <c r="J59" s="129"/>
      <c r="K59" s="129"/>
      <c r="L59" s="129"/>
      <c r="M59" s="129"/>
      <c r="N59" s="129"/>
      <c r="O59" s="129"/>
      <c r="P59" s="129"/>
    </row>
    <row r="60" spans="1:17" s="236" customFormat="1">
      <c r="A60" s="129" t="s">
        <v>307</v>
      </c>
      <c r="B60" s="354"/>
      <c r="C60" s="355"/>
      <c r="D60" s="355">
        <v>13802615</v>
      </c>
      <c r="E60" s="358">
        <v>2.1000000000000001E-2</v>
      </c>
      <c r="F60" s="359"/>
      <c r="G60" s="129"/>
      <c r="H60" s="129"/>
      <c r="I60" s="129"/>
      <c r="J60" s="129"/>
      <c r="K60" s="129"/>
      <c r="L60" s="129"/>
      <c r="M60" s="129"/>
      <c r="N60" s="129"/>
      <c r="O60" s="129"/>
      <c r="P60" s="129"/>
    </row>
    <row r="61" spans="1:17" s="236" customFormat="1">
      <c r="A61" s="129"/>
      <c r="B61" s="129"/>
      <c r="C61" s="278"/>
      <c r="D61" s="278"/>
      <c r="E61" s="129"/>
      <c r="F61" s="129"/>
      <c r="G61" s="129"/>
      <c r="H61" s="129"/>
      <c r="I61" s="129"/>
      <c r="J61" s="311"/>
      <c r="K61" s="312"/>
      <c r="L61" s="311"/>
      <c r="M61" s="360"/>
      <c r="N61" s="278"/>
      <c r="O61" s="129"/>
      <c r="P61" s="129"/>
    </row>
    <row r="62" spans="1:17" ht="17.25" thickBot="1">
      <c r="A62" s="130" t="s">
        <v>299</v>
      </c>
      <c r="B62" s="279"/>
      <c r="C62" s="279"/>
    </row>
    <row r="63" spans="1:17" s="236" customFormat="1">
      <c r="A63" s="711"/>
      <c r="B63" s="712"/>
      <c r="C63" s="326" t="s">
        <v>282</v>
      </c>
      <c r="D63" s="326" t="s">
        <v>16</v>
      </c>
      <c r="E63" s="326" t="s">
        <v>17</v>
      </c>
      <c r="F63" s="326" t="s">
        <v>18</v>
      </c>
      <c r="G63" s="326" t="s">
        <v>19</v>
      </c>
      <c r="H63" s="326" t="s">
        <v>20</v>
      </c>
      <c r="I63" s="326" t="s">
        <v>21</v>
      </c>
      <c r="J63" s="326" t="s">
        <v>22</v>
      </c>
      <c r="K63" s="326" t="s">
        <v>23</v>
      </c>
      <c r="L63" s="326" t="s">
        <v>24</v>
      </c>
      <c r="M63" s="326" t="s">
        <v>25</v>
      </c>
      <c r="N63" s="342" t="s">
        <v>26</v>
      </c>
      <c r="O63" s="344" t="s">
        <v>300</v>
      </c>
      <c r="P63" s="343"/>
    </row>
    <row r="64" spans="1:17">
      <c r="A64" s="713" t="s">
        <v>14</v>
      </c>
      <c r="B64" s="714"/>
      <c r="C64" s="324">
        <f t="shared" ref="C64:N64" si="38">C33*15%</f>
        <v>277912.46366240073</v>
      </c>
      <c r="D64" s="324">
        <f t="shared" si="38"/>
        <v>403742.88108464616</v>
      </c>
      <c r="E64" s="324">
        <f t="shared" si="38"/>
        <v>923792.16705153463</v>
      </c>
      <c r="F64" s="324">
        <f t="shared" si="38"/>
        <v>981340.36018034094</v>
      </c>
      <c r="G64" s="324">
        <f t="shared" si="38"/>
        <v>1092566.1812658473</v>
      </c>
      <c r="H64" s="324">
        <f t="shared" si="38"/>
        <v>760700.08771422796</v>
      </c>
      <c r="I64" s="324">
        <f t="shared" si="38"/>
        <v>491589.95302772638</v>
      </c>
      <c r="J64" s="324">
        <f t="shared" si="38"/>
        <v>524492.87037960452</v>
      </c>
      <c r="K64" s="324">
        <f t="shared" si="38"/>
        <v>865472.78747394215</v>
      </c>
      <c r="L64" s="324">
        <f t="shared" si="38"/>
        <v>736840.16430591594</v>
      </c>
      <c r="M64" s="324">
        <f t="shared" si="38"/>
        <v>844860.59577354765</v>
      </c>
      <c r="N64" s="325">
        <f t="shared" si="38"/>
        <v>524875.03887612664</v>
      </c>
      <c r="O64" s="345">
        <f>SUM(C64:N64)</f>
        <v>8428185.5507958625</v>
      </c>
      <c r="P64" s="341" t="s">
        <v>279</v>
      </c>
      <c r="Q64" s="592">
        <f t="shared" ref="Q64:Q66" si="39">O64*1.1</f>
        <v>9271004.1058754493</v>
      </c>
    </row>
    <row r="65" spans="1:17">
      <c r="A65" s="700" t="s">
        <v>6</v>
      </c>
      <c r="B65" s="701"/>
      <c r="C65" s="133">
        <f t="shared" ref="C65:N65" si="40">C34*15%</f>
        <v>389357.62300110445</v>
      </c>
      <c r="D65" s="133">
        <f t="shared" si="40"/>
        <v>484386.81629816932</v>
      </c>
      <c r="E65" s="133">
        <f t="shared" si="40"/>
        <v>1391220.8206182946</v>
      </c>
      <c r="F65" s="133">
        <f t="shared" si="40"/>
        <v>1467677.2476621883</v>
      </c>
      <c r="G65" s="133">
        <f t="shared" si="40"/>
        <v>1003382.9984447027</v>
      </c>
      <c r="H65" s="133">
        <f t="shared" si="40"/>
        <v>1149166.036113264</v>
      </c>
      <c r="I65" s="133">
        <f t="shared" si="40"/>
        <v>719631.52943157253</v>
      </c>
      <c r="J65" s="133">
        <f t="shared" si="40"/>
        <v>591473.07540424145</v>
      </c>
      <c r="K65" s="133">
        <f t="shared" si="40"/>
        <v>1104885.083087543</v>
      </c>
      <c r="L65" s="133">
        <f t="shared" si="40"/>
        <v>1210386.4715365521</v>
      </c>
      <c r="M65" s="133">
        <f t="shared" si="40"/>
        <v>1342823.0333526472</v>
      </c>
      <c r="N65" s="318">
        <f t="shared" si="40"/>
        <v>936210.23031204275</v>
      </c>
      <c r="O65" s="346">
        <f t="shared" ref="O65:O71" si="41">SUM(C65:N65)</f>
        <v>11790600.965262322</v>
      </c>
      <c r="P65" s="320" t="s">
        <v>279</v>
      </c>
      <c r="Q65" s="592">
        <f t="shared" si="39"/>
        <v>12969661.061788555</v>
      </c>
    </row>
    <row r="66" spans="1:17">
      <c r="A66" s="700" t="s">
        <v>7</v>
      </c>
      <c r="B66" s="701"/>
      <c r="C66" s="133">
        <f t="shared" ref="C66:N66" si="42">C35*15%</f>
        <v>257222.59290711232</v>
      </c>
      <c r="D66" s="133">
        <f t="shared" si="42"/>
        <v>116072.7450397658</v>
      </c>
      <c r="E66" s="133">
        <f t="shared" si="42"/>
        <v>2836198.8162815673</v>
      </c>
      <c r="F66" s="133">
        <f t="shared" si="42"/>
        <v>2390347.1936581521</v>
      </c>
      <c r="G66" s="133">
        <f t="shared" si="42"/>
        <v>2368326.8161249524</v>
      </c>
      <c r="H66" s="133">
        <f t="shared" si="42"/>
        <v>1873722.1685539901</v>
      </c>
      <c r="I66" s="133">
        <f t="shared" si="42"/>
        <v>660887.48359796719</v>
      </c>
      <c r="J66" s="133">
        <f t="shared" si="42"/>
        <v>212205.7903974567</v>
      </c>
      <c r="K66" s="133">
        <f t="shared" si="42"/>
        <v>2104197.7924574767</v>
      </c>
      <c r="L66" s="133">
        <f t="shared" si="42"/>
        <v>1716694.1925902115</v>
      </c>
      <c r="M66" s="133">
        <f t="shared" si="42"/>
        <v>1727817.5530460058</v>
      </c>
      <c r="N66" s="318">
        <f t="shared" si="42"/>
        <v>1019111.2168620512</v>
      </c>
      <c r="O66" s="346">
        <f t="shared" si="41"/>
        <v>17282804.36151671</v>
      </c>
      <c r="P66" s="320" t="s">
        <v>279</v>
      </c>
      <c r="Q66" s="592">
        <f t="shared" si="39"/>
        <v>19011084.797668383</v>
      </c>
    </row>
    <row r="67" spans="1:17">
      <c r="A67" s="700" t="s">
        <v>8</v>
      </c>
      <c r="B67" s="701"/>
      <c r="C67" s="133">
        <f>200000/1.1</f>
        <v>181818.18181818179</v>
      </c>
      <c r="D67" s="133">
        <f t="shared" ref="D67:N67" si="43">200000/1.1</f>
        <v>181818.18181818179</v>
      </c>
      <c r="E67" s="133">
        <f t="shared" si="43"/>
        <v>181818.18181818179</v>
      </c>
      <c r="F67" s="133">
        <f t="shared" si="43"/>
        <v>181818.18181818179</v>
      </c>
      <c r="G67" s="133">
        <f t="shared" si="43"/>
        <v>181818.18181818179</v>
      </c>
      <c r="H67" s="133">
        <f t="shared" si="43"/>
        <v>181818.18181818179</v>
      </c>
      <c r="I67" s="133">
        <f t="shared" si="43"/>
        <v>181818.18181818179</v>
      </c>
      <c r="J67" s="133">
        <f t="shared" si="43"/>
        <v>181818.18181818179</v>
      </c>
      <c r="K67" s="133">
        <f t="shared" si="43"/>
        <v>181818.18181818179</v>
      </c>
      <c r="L67" s="133">
        <f t="shared" si="43"/>
        <v>181818.18181818179</v>
      </c>
      <c r="M67" s="133">
        <f t="shared" si="43"/>
        <v>181818.18181818179</v>
      </c>
      <c r="N67" s="133">
        <f t="shared" si="43"/>
        <v>181818.18181818179</v>
      </c>
      <c r="O67" s="346">
        <f t="shared" si="41"/>
        <v>2181818.1818181821</v>
      </c>
      <c r="P67" s="320" t="s">
        <v>449</v>
      </c>
      <c r="Q67" s="592">
        <f>O67*1.1</f>
        <v>2400000.0000000005</v>
      </c>
    </row>
    <row r="68" spans="1:17">
      <c r="A68" s="700" t="s">
        <v>9</v>
      </c>
      <c r="B68" s="701"/>
      <c r="C68" s="133">
        <f t="shared" ref="C68:N68" si="44">C37*15%</f>
        <v>454427.45255147765</v>
      </c>
      <c r="D68" s="133">
        <f t="shared" si="44"/>
        <v>652226.65815092286</v>
      </c>
      <c r="E68" s="133">
        <f t="shared" si="44"/>
        <v>1653804.0466603274</v>
      </c>
      <c r="F68" s="133">
        <f t="shared" si="44"/>
        <v>1434055.4487962825</v>
      </c>
      <c r="G68" s="133">
        <f t="shared" si="44"/>
        <v>1208207.2549244093</v>
      </c>
      <c r="H68" s="133">
        <f t="shared" si="44"/>
        <v>1001379.0656317795</v>
      </c>
      <c r="I68" s="133">
        <f t="shared" si="44"/>
        <v>651547.31667686102</v>
      </c>
      <c r="J68" s="133">
        <f t="shared" si="44"/>
        <v>675826.1465715844</v>
      </c>
      <c r="K68" s="133">
        <f t="shared" si="44"/>
        <v>1115682.9387261367</v>
      </c>
      <c r="L68" s="133">
        <f t="shared" si="44"/>
        <v>882461.77275619074</v>
      </c>
      <c r="M68" s="133">
        <f t="shared" si="44"/>
        <v>1293444.6842297327</v>
      </c>
      <c r="N68" s="318">
        <f t="shared" si="44"/>
        <v>661934.8276487207</v>
      </c>
      <c r="O68" s="346">
        <f t="shared" si="41"/>
        <v>11684997.613324426</v>
      </c>
      <c r="P68" s="320" t="s">
        <v>279</v>
      </c>
      <c r="Q68" s="592">
        <f t="shared" ref="Q68:Q73" si="45">O68*1.1</f>
        <v>12853497.374656869</v>
      </c>
    </row>
    <row r="69" spans="1:17">
      <c r="A69" s="700" t="s">
        <v>10</v>
      </c>
      <c r="B69" s="701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9"/>
      <c r="O69" s="346">
        <v>2400000</v>
      </c>
      <c r="P69" s="320" t="s">
        <v>280</v>
      </c>
      <c r="Q69" s="592">
        <f t="shared" si="45"/>
        <v>2640000</v>
      </c>
    </row>
    <row r="70" spans="1:17">
      <c r="A70" s="700" t="s">
        <v>11</v>
      </c>
      <c r="B70" s="701"/>
      <c r="C70" s="133">
        <f t="shared" ref="C70:N70" si="46">C39*15%</f>
        <v>359695.43223195279</v>
      </c>
      <c r="D70" s="133">
        <f t="shared" si="46"/>
        <v>336033.67603181704</v>
      </c>
      <c r="E70" s="133">
        <f t="shared" si="46"/>
        <v>1643431.0129471954</v>
      </c>
      <c r="F70" s="133">
        <f t="shared" si="46"/>
        <v>1357239.7366648235</v>
      </c>
      <c r="G70" s="133">
        <f t="shared" si="46"/>
        <v>1090025.8115327551</v>
      </c>
      <c r="H70" s="133">
        <f t="shared" si="46"/>
        <v>1015785.4947603424</v>
      </c>
      <c r="I70" s="133">
        <f t="shared" si="46"/>
        <v>504071.84076219529</v>
      </c>
      <c r="J70" s="133">
        <f t="shared" si="46"/>
        <v>487061.37309602799</v>
      </c>
      <c r="K70" s="133">
        <f t="shared" si="46"/>
        <v>1262578.0789361042</v>
      </c>
      <c r="L70" s="133">
        <f t="shared" si="46"/>
        <v>1136400.985651637</v>
      </c>
      <c r="M70" s="133">
        <f t="shared" si="46"/>
        <v>1183653.8241222054</v>
      </c>
      <c r="N70" s="318">
        <f t="shared" si="46"/>
        <v>859097.18953359511</v>
      </c>
      <c r="O70" s="346">
        <f t="shared" si="41"/>
        <v>11235074.456270652</v>
      </c>
      <c r="P70" s="320" t="s">
        <v>279</v>
      </c>
      <c r="Q70" s="592">
        <f t="shared" si="45"/>
        <v>12358581.901897717</v>
      </c>
    </row>
    <row r="71" spans="1:17">
      <c r="A71" s="700" t="s">
        <v>12</v>
      </c>
      <c r="B71" s="701"/>
      <c r="C71" s="133">
        <f t="shared" ref="C71:N71" si="47">C40*15%</f>
        <v>539285.67107980396</v>
      </c>
      <c r="D71" s="133">
        <f t="shared" si="47"/>
        <v>771441.2796735001</v>
      </c>
      <c r="E71" s="133">
        <f t="shared" si="47"/>
        <v>3246413.1876869509</v>
      </c>
      <c r="F71" s="133">
        <f t="shared" si="47"/>
        <v>2866193.0499847648</v>
      </c>
      <c r="G71" s="133">
        <f t="shared" si="47"/>
        <v>2881781.0102288476</v>
      </c>
      <c r="H71" s="133">
        <f t="shared" si="47"/>
        <v>2195547.738334869</v>
      </c>
      <c r="I71" s="133">
        <f t="shared" si="47"/>
        <v>848752.33199067507</v>
      </c>
      <c r="J71" s="133">
        <f t="shared" si="47"/>
        <v>871267.73837069375</v>
      </c>
      <c r="K71" s="133">
        <f t="shared" si="47"/>
        <v>3015302.8994411747</v>
      </c>
      <c r="L71" s="133">
        <f t="shared" si="47"/>
        <v>3030864.240209532</v>
      </c>
      <c r="M71" s="133">
        <f t="shared" si="47"/>
        <v>3146334.2331439899</v>
      </c>
      <c r="N71" s="318">
        <f t="shared" si="47"/>
        <v>2091168.5709414307</v>
      </c>
      <c r="O71" s="346">
        <f t="shared" si="41"/>
        <v>25504351.951086231</v>
      </c>
      <c r="P71" s="320" t="s">
        <v>279</v>
      </c>
      <c r="Q71" s="592">
        <f t="shared" si="45"/>
        <v>28054787.146194857</v>
      </c>
    </row>
    <row r="72" spans="1:17">
      <c r="A72" s="700" t="s">
        <v>13</v>
      </c>
      <c r="B72" s="701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9"/>
      <c r="O72" s="346">
        <v>4363636</v>
      </c>
      <c r="P72" s="320" t="s">
        <v>281</v>
      </c>
      <c r="Q72" s="592">
        <f t="shared" si="45"/>
        <v>4799999.6000000006</v>
      </c>
    </row>
    <row r="73" spans="1:17">
      <c r="A73" s="700" t="s">
        <v>278</v>
      </c>
      <c r="B73" s="701"/>
      <c r="C73" s="322"/>
      <c r="D73" s="322"/>
      <c r="E73" s="322"/>
      <c r="F73" s="322"/>
      <c r="G73" s="322"/>
      <c r="H73" s="322"/>
      <c r="I73" s="322"/>
      <c r="J73" s="322"/>
      <c r="K73" s="322"/>
      <c r="L73" s="322"/>
      <c r="M73" s="322"/>
      <c r="N73" s="323"/>
      <c r="O73" s="346">
        <v>11454545</v>
      </c>
      <c r="P73" s="321"/>
      <c r="Q73" s="592">
        <f t="shared" si="45"/>
        <v>12599999.500000002</v>
      </c>
    </row>
    <row r="74" spans="1:17" s="236" customFormat="1" ht="17.25" thickBot="1">
      <c r="A74" s="129"/>
      <c r="B74" s="27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347">
        <f>SUM(O64:O73)</f>
        <v>106326014.08007437</v>
      </c>
    </row>
    <row r="75" spans="1:17">
      <c r="O75" s="619">
        <f>O74*1.1</f>
        <v>116958615.48808181</v>
      </c>
    </row>
    <row r="76" spans="1:17">
      <c r="A76" s="130" t="s">
        <v>309</v>
      </c>
    </row>
    <row r="78" spans="1:17">
      <c r="B78" s="245"/>
      <c r="C78" s="245" t="s">
        <v>310</v>
      </c>
      <c r="D78" s="334" t="s">
        <v>311</v>
      </c>
      <c r="E78" s="334" t="s">
        <v>312</v>
      </c>
    </row>
    <row r="79" spans="1:17">
      <c r="B79" s="245" t="s">
        <v>283</v>
      </c>
      <c r="C79" s="72">
        <v>19636364</v>
      </c>
      <c r="D79" s="337">
        <f>O68</f>
        <v>11684997.613324426</v>
      </c>
      <c r="E79" s="361">
        <f>D79-C79</f>
        <v>-7951366.3866755739</v>
      </c>
    </row>
    <row r="80" spans="1:17">
      <c r="B80" s="245" t="s">
        <v>284</v>
      </c>
      <c r="C80" s="72">
        <v>28636364</v>
      </c>
      <c r="D80" s="337">
        <f>O65</f>
        <v>11790600.965262322</v>
      </c>
      <c r="E80" s="361">
        <f t="shared" ref="E80:E89" si="48">D80-C80</f>
        <v>-16845763.034737676</v>
      </c>
    </row>
    <row r="81" spans="1:17">
      <c r="B81" s="245" t="s">
        <v>285</v>
      </c>
      <c r="C81" s="72">
        <v>9545455</v>
      </c>
      <c r="D81" s="337">
        <f>O66</f>
        <v>17282804.36151671</v>
      </c>
      <c r="E81" s="361">
        <f t="shared" si="48"/>
        <v>7737349.3615167104</v>
      </c>
    </row>
    <row r="82" spans="1:17">
      <c r="B82" s="245" t="s">
        <v>286</v>
      </c>
      <c r="C82" s="72">
        <v>4772727</v>
      </c>
      <c r="D82" s="337">
        <f>O70</f>
        <v>11235074.456270652</v>
      </c>
      <c r="E82" s="361">
        <f t="shared" si="48"/>
        <v>6462347.4562706519</v>
      </c>
    </row>
    <row r="83" spans="1:17">
      <c r="B83" s="245" t="s">
        <v>287</v>
      </c>
      <c r="C83" s="72">
        <v>14318182</v>
      </c>
      <c r="D83" s="337">
        <f>O71</f>
        <v>25504351.951086231</v>
      </c>
      <c r="E83" s="361">
        <f t="shared" si="48"/>
        <v>11186169.951086231</v>
      </c>
    </row>
    <row r="84" spans="1:17">
      <c r="B84" s="245" t="s">
        <v>288</v>
      </c>
      <c r="C84" s="72">
        <v>1789091</v>
      </c>
      <c r="D84" s="337">
        <f>O67</f>
        <v>2181818.1818181821</v>
      </c>
      <c r="E84" s="361">
        <f t="shared" si="48"/>
        <v>392727.18181818211</v>
      </c>
    </row>
    <row r="85" spans="1:17">
      <c r="B85" s="245" t="s">
        <v>289</v>
      </c>
      <c r="C85" s="72">
        <f>E34*5%</f>
        <v>463740.27353943163</v>
      </c>
      <c r="D85" s="337">
        <f>O64</f>
        <v>8428185.5507958625</v>
      </c>
      <c r="E85" s="361">
        <f t="shared" si="48"/>
        <v>7964445.2772564311</v>
      </c>
    </row>
    <row r="86" spans="1:17">
      <c r="B86" s="245" t="s">
        <v>290</v>
      </c>
      <c r="C86" s="72">
        <v>2400000</v>
      </c>
      <c r="D86" s="337">
        <f>O69</f>
        <v>2400000</v>
      </c>
      <c r="E86" s="361">
        <f t="shared" si="48"/>
        <v>0</v>
      </c>
    </row>
    <row r="87" spans="1:17">
      <c r="B87" s="245" t="s">
        <v>291</v>
      </c>
      <c r="C87" s="72">
        <v>4363636</v>
      </c>
      <c r="D87" s="337">
        <f>O72</f>
        <v>4363636</v>
      </c>
      <c r="E87" s="361">
        <f t="shared" si="48"/>
        <v>0</v>
      </c>
    </row>
    <row r="88" spans="1:17">
      <c r="B88" s="245" t="s">
        <v>292</v>
      </c>
      <c r="C88" s="72">
        <v>11454545</v>
      </c>
      <c r="D88" s="337">
        <f>O73</f>
        <v>11454545</v>
      </c>
      <c r="E88" s="361">
        <f t="shared" si="48"/>
        <v>0</v>
      </c>
      <c r="K88" s="726" t="s">
        <v>901</v>
      </c>
      <c r="L88" s="726"/>
      <c r="M88" s="726"/>
    </row>
    <row r="89" spans="1:17">
      <c r="B89" s="268"/>
      <c r="C89" s="363">
        <f>SUM(C79:C88)</f>
        <v>97380104.273539439</v>
      </c>
      <c r="D89" s="270">
        <f>SUM(D79:D88)</f>
        <v>106326014.08007438</v>
      </c>
      <c r="E89" s="270">
        <f t="shared" si="48"/>
        <v>8945909.806534946</v>
      </c>
      <c r="K89" t="s">
        <v>895</v>
      </c>
      <c r="L89" s="128">
        <v>6400000</v>
      </c>
      <c r="M89" s="128"/>
      <c r="O89" s="135">
        <f>L89+L90</f>
        <v>12800000</v>
      </c>
      <c r="P89" s="592">
        <f>O89*1.1</f>
        <v>14080000.000000002</v>
      </c>
    </row>
    <row r="90" spans="1:17">
      <c r="K90" t="s">
        <v>896</v>
      </c>
      <c r="L90" s="128">
        <v>6400000</v>
      </c>
      <c r="M90" s="128"/>
      <c r="O90" s="135">
        <f>O89*30%</f>
        <v>3840000</v>
      </c>
      <c r="P90" s="592">
        <f>P89-O89</f>
        <v>1280000.0000000019</v>
      </c>
      <c r="Q90" s="135">
        <f>O90+P90</f>
        <v>5120000.0000000019</v>
      </c>
    </row>
    <row r="91" spans="1:17">
      <c r="K91" t="s">
        <v>897</v>
      </c>
      <c r="L91" s="128">
        <v>3900000</v>
      </c>
      <c r="M91" s="128"/>
      <c r="N91" t="s">
        <v>902</v>
      </c>
      <c r="Q91" s="592">
        <f>P89-Q90</f>
        <v>8960000</v>
      </c>
    </row>
    <row r="92" spans="1:17">
      <c r="A92" s="130" t="s">
        <v>298</v>
      </c>
      <c r="K92" t="s">
        <v>898</v>
      </c>
      <c r="L92" s="128">
        <f>SUM(L89:L91)</f>
        <v>16700000</v>
      </c>
      <c r="M92" s="128">
        <f>L92*1.1</f>
        <v>18370000</v>
      </c>
      <c r="N92" s="135">
        <f>L92-L94</f>
        <v>10020000</v>
      </c>
    </row>
    <row r="93" spans="1:17" s="236" customFormat="1">
      <c r="A93" s="268" t="s">
        <v>316</v>
      </c>
      <c r="B93" s="268" t="s">
        <v>317</v>
      </c>
      <c r="C93" s="727" t="s">
        <v>318</v>
      </c>
      <c r="D93" s="727"/>
      <c r="E93" s="727"/>
      <c r="F93" s="727"/>
      <c r="K93" s="236" t="s">
        <v>899</v>
      </c>
      <c r="L93" s="128">
        <f>L92*30%</f>
        <v>5010000</v>
      </c>
      <c r="M93" s="128">
        <f>M92-L92</f>
        <v>1670000</v>
      </c>
    </row>
    <row r="94" spans="1:17">
      <c r="A94" s="245" t="s">
        <v>313</v>
      </c>
      <c r="B94" s="72">
        <v>3200000</v>
      </c>
      <c r="C94" s="729" t="s">
        <v>297</v>
      </c>
      <c r="D94" s="729"/>
      <c r="E94" s="729"/>
      <c r="F94" s="729"/>
      <c r="G94" t="s">
        <v>889</v>
      </c>
      <c r="K94" t="s">
        <v>900</v>
      </c>
      <c r="L94" s="128">
        <f>M93+L93</f>
        <v>6680000</v>
      </c>
      <c r="M94" s="128"/>
    </row>
    <row r="95" spans="1:17">
      <c r="A95" s="245" t="s">
        <v>313</v>
      </c>
      <c r="B95" s="72">
        <v>3000000</v>
      </c>
      <c r="C95" s="729" t="s">
        <v>319</v>
      </c>
      <c r="D95" s="729"/>
      <c r="E95" s="729"/>
      <c r="F95" s="729"/>
    </row>
    <row r="96" spans="1:17">
      <c r="A96" s="245" t="s">
        <v>802</v>
      </c>
      <c r="B96" s="72">
        <f>30000*9*12</f>
        <v>3240000</v>
      </c>
      <c r="C96" s="729" t="s">
        <v>320</v>
      </c>
      <c r="D96" s="729"/>
      <c r="E96" s="729"/>
      <c r="F96" s="729"/>
      <c r="G96">
        <f>30000*9*12</f>
        <v>3240000</v>
      </c>
    </row>
    <row r="97" spans="1:13">
      <c r="A97" s="245" t="s">
        <v>803</v>
      </c>
      <c r="B97" s="72">
        <f>75000*2*12</f>
        <v>1800000</v>
      </c>
      <c r="C97" s="729" t="s">
        <v>321</v>
      </c>
      <c r="D97" s="729"/>
      <c r="E97" s="729"/>
      <c r="F97" s="729"/>
      <c r="G97">
        <f>75000*2*12</f>
        <v>1800000</v>
      </c>
    </row>
    <row r="98" spans="1:13" ht="48" customHeight="1">
      <c r="A98" s="245" t="s">
        <v>799</v>
      </c>
      <c r="B98" s="72">
        <v>6680000</v>
      </c>
      <c r="C98" s="730" t="s">
        <v>894</v>
      </c>
      <c r="D98" s="729"/>
      <c r="E98" s="729"/>
      <c r="F98" s="729"/>
      <c r="G98">
        <f>11690000+6680000</f>
        <v>18370000</v>
      </c>
      <c r="H98">
        <f>16700000*1.1</f>
        <v>18370000</v>
      </c>
    </row>
    <row r="99" spans="1:13">
      <c r="A99" s="245" t="s">
        <v>314</v>
      </c>
      <c r="B99" s="362">
        <f>O42*1.3%</f>
        <v>8990212.3707500007</v>
      </c>
      <c r="C99" s="729" t="s">
        <v>322</v>
      </c>
      <c r="D99" s="729"/>
      <c r="E99" s="729"/>
      <c r="F99" s="729"/>
      <c r="M99">
        <f>1589000*2</f>
        <v>3178000</v>
      </c>
    </row>
    <row r="100" spans="1:13">
      <c r="A100" s="268" t="s">
        <v>315</v>
      </c>
      <c r="B100" s="363">
        <f>SUM(B94:B99)</f>
        <v>26910212.370750003</v>
      </c>
      <c r="C100" s="727"/>
      <c r="D100" s="727"/>
      <c r="E100" s="727"/>
      <c r="F100" s="727"/>
    </row>
    <row r="101" spans="1:13">
      <c r="H101" s="128"/>
    </row>
    <row r="102" spans="1:13">
      <c r="A102" s="728" t="s">
        <v>324</v>
      </c>
      <c r="B102" s="728"/>
    </row>
    <row r="104" spans="1:13">
      <c r="A104" s="367" t="s">
        <v>79</v>
      </c>
      <c r="B104" s="367" t="s">
        <v>80</v>
      </c>
      <c r="C104" s="727" t="s">
        <v>52</v>
      </c>
      <c r="D104" s="727"/>
      <c r="E104" s="727"/>
      <c r="F104" s="727"/>
    </row>
    <row r="105" spans="1:13">
      <c r="A105" s="366" t="s">
        <v>219</v>
      </c>
      <c r="B105" s="72">
        <f>100000*12</f>
        <v>1200000</v>
      </c>
      <c r="C105" s="729" t="s">
        <v>327</v>
      </c>
      <c r="D105" s="729"/>
      <c r="E105" s="729"/>
      <c r="F105" s="729"/>
    </row>
    <row r="106" spans="1:13">
      <c r="A106" s="366" t="s">
        <v>325</v>
      </c>
      <c r="B106" s="72">
        <f>6*8000*12</f>
        <v>576000</v>
      </c>
      <c r="C106" s="729" t="s">
        <v>328</v>
      </c>
      <c r="D106" s="729"/>
      <c r="E106" s="729"/>
      <c r="F106" s="729"/>
    </row>
    <row r="107" spans="1:13">
      <c r="A107" s="366" t="s">
        <v>326</v>
      </c>
      <c r="B107" s="72">
        <f>8000*44</f>
        <v>352000</v>
      </c>
      <c r="C107" s="729" t="s">
        <v>888</v>
      </c>
      <c r="D107" s="729"/>
      <c r="E107" s="729"/>
      <c r="F107" s="729"/>
    </row>
    <row r="108" spans="1:13">
      <c r="A108" s="367" t="s">
        <v>37</v>
      </c>
      <c r="B108" s="363">
        <f>SUM(B105:B107)</f>
        <v>2128000</v>
      </c>
      <c r="C108" s="727"/>
      <c r="D108" s="727"/>
      <c r="E108" s="727"/>
      <c r="F108" s="727"/>
    </row>
    <row r="109" spans="1:13" ht="17.25" thickBot="1"/>
    <row r="110" spans="1:13">
      <c r="A110" s="527" t="s">
        <v>804</v>
      </c>
      <c r="B110" s="528">
        <v>691554797.75</v>
      </c>
      <c r="C110" s="373">
        <f>B110*5%</f>
        <v>34577739.887500003</v>
      </c>
      <c r="D110" s="373">
        <f>C110-C111</f>
        <v>1853109.887500003</v>
      </c>
    </row>
    <row r="111" spans="1:13">
      <c r="A111" s="529" t="s">
        <v>805</v>
      </c>
      <c r="B111" s="530">
        <f>666368517+5000000</f>
        <v>671368517</v>
      </c>
      <c r="C111" s="175">
        <v>32724630</v>
      </c>
      <c r="D111" s="374">
        <f>C111/B111</f>
        <v>4.8743170362276607E-2</v>
      </c>
      <c r="E111" s="129"/>
      <c r="F111" s="129"/>
    </row>
    <row r="112" spans="1:13" ht="17.25" thickBot="1">
      <c r="A112" s="531" t="s">
        <v>377</v>
      </c>
      <c r="B112" s="532">
        <f>B110-B111</f>
        <v>20186280.75</v>
      </c>
      <c r="C112" s="129"/>
      <c r="D112" s="129"/>
      <c r="E112" s="129"/>
      <c r="F112" s="129"/>
    </row>
    <row r="113" spans="1:6">
      <c r="A113" s="129" t="s">
        <v>378</v>
      </c>
      <c r="B113" s="276">
        <f>40000*400</f>
        <v>16000000</v>
      </c>
      <c r="C113" s="129" t="s">
        <v>887</v>
      </c>
      <c r="D113" s="129"/>
      <c r="E113" s="129"/>
      <c r="F113" s="129"/>
    </row>
    <row r="114" spans="1:6">
      <c r="A114" s="129" t="s">
        <v>379</v>
      </c>
      <c r="B114" s="276">
        <v>1853110</v>
      </c>
      <c r="C114" s="525" t="s">
        <v>818</v>
      </c>
      <c r="D114" s="276"/>
      <c r="E114" s="163"/>
      <c r="F114" s="129"/>
    </row>
    <row r="115" spans="1:6" s="236" customFormat="1">
      <c r="A115" s="129" t="s">
        <v>807</v>
      </c>
      <c r="B115" s="276">
        <v>2333171</v>
      </c>
      <c r="C115" s="276" t="s">
        <v>819</v>
      </c>
      <c r="D115" s="526"/>
      <c r="E115" s="163"/>
      <c r="F115" s="129"/>
    </row>
    <row r="116" spans="1:6">
      <c r="A116" s="129" t="s">
        <v>806</v>
      </c>
      <c r="B116" s="409">
        <f>SUM(B113:B115)</f>
        <v>20186281</v>
      </c>
      <c r="C116" s="175"/>
      <c r="D116" s="129"/>
      <c r="E116" s="129"/>
      <c r="F116" s="129"/>
    </row>
    <row r="117" spans="1:6">
      <c r="A117" s="129"/>
      <c r="B117" s="276"/>
      <c r="C117" s="175"/>
      <c r="D117" s="276"/>
      <c r="E117" s="129"/>
      <c r="F117" s="129"/>
    </row>
    <row r="118" spans="1:6">
      <c r="A118" s="129"/>
      <c r="B118" s="382"/>
      <c r="C118" s="129"/>
      <c r="D118" s="129"/>
      <c r="E118" s="129"/>
      <c r="F118" s="129"/>
    </row>
    <row r="119" spans="1:6">
      <c r="A119" s="129"/>
      <c r="B119" s="276"/>
      <c r="C119" s="129"/>
      <c r="D119" s="129"/>
      <c r="E119" s="129"/>
      <c r="F119" s="276"/>
    </row>
    <row r="120" spans="1:6">
      <c r="A120" s="129" t="s">
        <v>886</v>
      </c>
      <c r="B120" s="276">
        <f>1853110+35560833</f>
        <v>37413943</v>
      </c>
      <c r="C120" s="129"/>
      <c r="D120" s="129"/>
      <c r="E120" s="129"/>
      <c r="F120" s="276"/>
    </row>
    <row r="121" spans="1:6">
      <c r="A121" s="129"/>
      <c r="B121" s="163">
        <f>B120/B110</f>
        <v>5.4101197940825074E-2</v>
      </c>
      <c r="C121" s="175"/>
      <c r="D121" s="129"/>
      <c r="E121" s="129"/>
      <c r="F121" s="276"/>
    </row>
    <row r="122" spans="1:6">
      <c r="B122" s="128"/>
    </row>
    <row r="123" spans="1:6">
      <c r="B123" s="410"/>
    </row>
  </sheetData>
  <mergeCells count="61">
    <mergeCell ref="K88:M88"/>
    <mergeCell ref="C108:F108"/>
    <mergeCell ref="A102:B102"/>
    <mergeCell ref="C104:F104"/>
    <mergeCell ref="C105:F105"/>
    <mergeCell ref="C106:F106"/>
    <mergeCell ref="C107:F107"/>
    <mergeCell ref="C97:F97"/>
    <mergeCell ref="C98:F98"/>
    <mergeCell ref="C99:F99"/>
    <mergeCell ref="C100:F100"/>
    <mergeCell ref="C93:F93"/>
    <mergeCell ref="C94:F94"/>
    <mergeCell ref="C95:F95"/>
    <mergeCell ref="C96:F96"/>
    <mergeCell ref="A31:A42"/>
    <mergeCell ref="B31:B32"/>
    <mergeCell ref="O31:O32"/>
    <mergeCell ref="A4:A15"/>
    <mergeCell ref="A18:A27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73:B73"/>
    <mergeCell ref="E44:I44"/>
    <mergeCell ref="E45:I45"/>
    <mergeCell ref="E46:I46"/>
    <mergeCell ref="E49:I49"/>
    <mergeCell ref="E48:I48"/>
    <mergeCell ref="E47:I47"/>
    <mergeCell ref="B44:C44"/>
    <mergeCell ref="B45:C45"/>
    <mergeCell ref="B46:C46"/>
    <mergeCell ref="B47:C47"/>
    <mergeCell ref="B48:C48"/>
    <mergeCell ref="B49:C49"/>
    <mergeCell ref="C52:D52"/>
    <mergeCell ref="C53:D53"/>
    <mergeCell ref="A68:B68"/>
    <mergeCell ref="N31:N32"/>
    <mergeCell ref="C55:D55"/>
    <mergeCell ref="C56:D56"/>
    <mergeCell ref="C54:D54"/>
    <mergeCell ref="C51:D51"/>
  </mergeCells>
  <phoneticPr fontId="1" type="noConversion"/>
  <pageMargins left="0.7" right="0.7" top="0.75" bottom="0.75" header="0.3" footer="0.3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B6" sqref="B6:J6"/>
    </sheetView>
  </sheetViews>
  <sheetFormatPr defaultRowHeight="12"/>
  <cols>
    <col min="1" max="11" width="13.625" style="4" customWidth="1"/>
    <col min="12" max="13" width="11.875" style="4" bestFit="1" customWidth="1"/>
    <col min="14" max="14" width="13" style="4" bestFit="1" customWidth="1"/>
    <col min="15" max="16384" width="9" style="4"/>
  </cols>
  <sheetData>
    <row r="1" spans="1:11" ht="17.25">
      <c r="A1" s="551" t="s">
        <v>835</v>
      </c>
    </row>
    <row r="3" spans="1:11" ht="17.25" customHeight="1" thickBot="1">
      <c r="J3" s="731" t="s">
        <v>147</v>
      </c>
      <c r="K3" s="731"/>
    </row>
    <row r="4" spans="1:11" ht="12.75" thickBot="1">
      <c r="A4" s="546" t="s">
        <v>824</v>
      </c>
      <c r="B4" s="547" t="s">
        <v>825</v>
      </c>
      <c r="C4" s="547" t="s">
        <v>826</v>
      </c>
      <c r="D4" s="547" t="s">
        <v>188</v>
      </c>
      <c r="E4" s="547" t="s">
        <v>827</v>
      </c>
      <c r="F4" s="547" t="s">
        <v>828</v>
      </c>
      <c r="G4" s="547" t="s">
        <v>829</v>
      </c>
      <c r="H4" s="547" t="s">
        <v>830</v>
      </c>
      <c r="I4" s="547" t="s">
        <v>831</v>
      </c>
      <c r="J4" s="547" t="s">
        <v>832</v>
      </c>
      <c r="K4" s="548" t="s">
        <v>834</v>
      </c>
    </row>
    <row r="5" spans="1:11">
      <c r="A5" s="549" t="s">
        <v>172</v>
      </c>
      <c r="B5" s="542">
        <v>2866865.6457827166</v>
      </c>
      <c r="C5" s="542">
        <v>1127424.5663422917</v>
      </c>
      <c r="D5" s="542">
        <v>2595717.4866740298</v>
      </c>
      <c r="E5" s="542">
        <v>3029516.3503431845</v>
      </c>
      <c r="F5" s="542">
        <v>3595237.807198693</v>
      </c>
      <c r="G5" s="542">
        <v>1714817.2860474156</v>
      </c>
      <c r="H5" s="542">
        <v>207370.38598240004</v>
      </c>
      <c r="I5" s="542">
        <v>1852749.7577493382</v>
      </c>
      <c r="J5" s="542">
        <v>2397969.5482130186</v>
      </c>
      <c r="K5" s="545">
        <f>SUM(B5:J5)</f>
        <v>19387668.834333088</v>
      </c>
    </row>
    <row r="6" spans="1:11">
      <c r="A6" s="516" t="s">
        <v>16</v>
      </c>
      <c r="B6" s="361">
        <v>3958344.0608309684</v>
      </c>
      <c r="C6" s="361">
        <v>1492256.6752623229</v>
      </c>
      <c r="D6" s="361">
        <v>3229245.4419877958</v>
      </c>
      <c r="E6" s="361">
        <v>4348177.7210061522</v>
      </c>
      <c r="F6" s="361">
        <v>5142941.8644900005</v>
      </c>
      <c r="G6" s="361">
        <v>773818.30026510532</v>
      </c>
      <c r="H6" s="361">
        <v>240108.70883720188</v>
      </c>
      <c r="I6" s="361">
        <v>2691619.2072309745</v>
      </c>
      <c r="J6" s="361">
        <v>2240224.5068787802</v>
      </c>
      <c r="K6" s="543">
        <f t="shared" ref="K6:K16" si="0">SUM(B6:J6)</f>
        <v>24116736.486789301</v>
      </c>
    </row>
    <row r="7" spans="1:11">
      <c r="A7" s="516" t="s">
        <v>17</v>
      </c>
      <c r="B7" s="361">
        <v>9485835.1266114563</v>
      </c>
      <c r="C7" s="361">
        <v>3130938.1095505035</v>
      </c>
      <c r="D7" s="361">
        <v>9274805.4707886316</v>
      </c>
      <c r="E7" s="361">
        <v>11025360.31106885</v>
      </c>
      <c r="F7" s="361">
        <v>21642754.584579673</v>
      </c>
      <c r="G7" s="361">
        <v>18907992.108543783</v>
      </c>
      <c r="H7" s="361">
        <v>2829061.8390677017</v>
      </c>
      <c r="I7" s="361">
        <v>6158614.4470102312</v>
      </c>
      <c r="J7" s="361">
        <v>10956206.752981303</v>
      </c>
      <c r="K7" s="543">
        <f t="shared" si="0"/>
        <v>93411568.750202134</v>
      </c>
    </row>
    <row r="8" spans="1:11">
      <c r="A8" s="516" t="s">
        <v>18</v>
      </c>
      <c r="B8" s="361">
        <v>8765698.9168272447</v>
      </c>
      <c r="C8" s="361">
        <v>2362779.9504395882</v>
      </c>
      <c r="D8" s="361">
        <v>9784514.9844145887</v>
      </c>
      <c r="E8" s="361">
        <v>9560369.6586418841</v>
      </c>
      <c r="F8" s="361">
        <v>19107953.666565098</v>
      </c>
      <c r="G8" s="361">
        <v>15935647.957721014</v>
      </c>
      <c r="H8" s="361">
        <v>2532270.7705752798</v>
      </c>
      <c r="I8" s="361">
        <v>6542269.0678689396</v>
      </c>
      <c r="J8" s="361">
        <v>9048264.911098823</v>
      </c>
      <c r="K8" s="543">
        <f t="shared" si="0"/>
        <v>83639769.884152457</v>
      </c>
    </row>
    <row r="9" spans="1:11">
      <c r="A9" s="516" t="s">
        <v>19</v>
      </c>
      <c r="B9" s="361">
        <v>8575311.0299000666</v>
      </c>
      <c r="C9" s="361">
        <v>2427027.8453009045</v>
      </c>
      <c r="D9" s="361">
        <v>6689219.989631352</v>
      </c>
      <c r="E9" s="361">
        <v>8054715.0328293955</v>
      </c>
      <c r="F9" s="361">
        <v>19211873.40152565</v>
      </c>
      <c r="G9" s="361">
        <v>15788845.440833015</v>
      </c>
      <c r="H9" s="361">
        <v>1943519.5754812972</v>
      </c>
      <c r="I9" s="361">
        <v>7283774.5417723153</v>
      </c>
      <c r="J9" s="361">
        <v>7266838.7435517013</v>
      </c>
      <c r="K9" s="543">
        <f t="shared" si="0"/>
        <v>77241125.600825697</v>
      </c>
    </row>
    <row r="10" spans="1:11">
      <c r="A10" s="516" t="s">
        <v>20</v>
      </c>
      <c r="B10" s="361">
        <v>6384617.4282039125</v>
      </c>
      <c r="C10" s="361">
        <v>2123426.7573266714</v>
      </c>
      <c r="D10" s="361">
        <v>7661106.9074217612</v>
      </c>
      <c r="E10" s="361">
        <v>6675860.4375451971</v>
      </c>
      <c r="F10" s="361">
        <v>14636984.92223246</v>
      </c>
      <c r="G10" s="361">
        <v>12491481.123693267</v>
      </c>
      <c r="H10" s="361">
        <v>1433102.2847619837</v>
      </c>
      <c r="I10" s="361">
        <v>5071333.9180948529</v>
      </c>
      <c r="J10" s="361">
        <v>6771903.2984022833</v>
      </c>
      <c r="K10" s="543">
        <f t="shared" si="0"/>
        <v>63249817.077682376</v>
      </c>
    </row>
    <row r="11" spans="1:11">
      <c r="A11" s="516" t="s">
        <v>21</v>
      </c>
      <c r="B11" s="361">
        <v>5432014.8417166146</v>
      </c>
      <c r="C11" s="361">
        <v>1955774.9122781132</v>
      </c>
      <c r="D11" s="361">
        <v>4797543.529543817</v>
      </c>
      <c r="E11" s="361">
        <v>4343648.7778457403</v>
      </c>
      <c r="F11" s="361">
        <v>5658348.8799378341</v>
      </c>
      <c r="G11" s="361">
        <v>4405916.5573197817</v>
      </c>
      <c r="H11" s="361">
        <v>353322.94768057932</v>
      </c>
      <c r="I11" s="361">
        <v>3277266.3535181759</v>
      </c>
      <c r="J11" s="361">
        <v>3360478.9384146356</v>
      </c>
      <c r="K11" s="543">
        <f t="shared" si="0"/>
        <v>33584315.738255292</v>
      </c>
    </row>
    <row r="12" spans="1:11">
      <c r="A12" s="516" t="s">
        <v>22</v>
      </c>
      <c r="B12" s="361">
        <v>4850848.8999588955</v>
      </c>
      <c r="C12" s="361">
        <v>1841995.0744378467</v>
      </c>
      <c r="D12" s="361">
        <v>3943153.8360282765</v>
      </c>
      <c r="E12" s="361">
        <v>4505507.6438105628</v>
      </c>
      <c r="F12" s="361">
        <v>5808451.5891379584</v>
      </c>
      <c r="G12" s="361">
        <v>1414705.269316378</v>
      </c>
      <c r="H12" s="361">
        <v>407665.07662389986</v>
      </c>
      <c r="I12" s="361">
        <v>3496619.1358640306</v>
      </c>
      <c r="J12" s="361">
        <v>3247075.8206401868</v>
      </c>
      <c r="K12" s="543">
        <f t="shared" si="0"/>
        <v>29516022.345818035</v>
      </c>
    </row>
    <row r="13" spans="1:11">
      <c r="A13" s="516" t="s">
        <v>23</v>
      </c>
      <c r="B13" s="361">
        <v>8774755.7653517462</v>
      </c>
      <c r="C13" s="361">
        <v>3353875.4404014139</v>
      </c>
      <c r="D13" s="361">
        <v>7365900.5539169535</v>
      </c>
      <c r="E13" s="361">
        <v>7437886.2581742443</v>
      </c>
      <c r="F13" s="361">
        <v>20102019.329607833</v>
      </c>
      <c r="G13" s="361">
        <v>14027985.283049844</v>
      </c>
      <c r="H13" s="361">
        <v>602110.74718013813</v>
      </c>
      <c r="I13" s="361">
        <v>5769818.5831596144</v>
      </c>
      <c r="J13" s="361">
        <v>8417187.1929073613</v>
      </c>
      <c r="K13" s="543">
        <f t="shared" si="0"/>
        <v>75851539.153749153</v>
      </c>
    </row>
    <row r="14" spans="1:11">
      <c r="A14" s="516" t="s">
        <v>24</v>
      </c>
      <c r="B14" s="361">
        <v>7233911.5417658277</v>
      </c>
      <c r="C14" s="361">
        <v>2756293.6363816876</v>
      </c>
      <c r="D14" s="361">
        <v>8069243.1435770141</v>
      </c>
      <c r="E14" s="361">
        <v>5883078.4850412719</v>
      </c>
      <c r="F14" s="361">
        <v>20205761.601396881</v>
      </c>
      <c r="G14" s="361">
        <v>11444627.95060141</v>
      </c>
      <c r="H14" s="361">
        <v>492764.375238423</v>
      </c>
      <c r="I14" s="361">
        <v>4912267.7620394398</v>
      </c>
      <c r="J14" s="361">
        <v>7576006.5710109128</v>
      </c>
      <c r="K14" s="543">
        <f t="shared" si="0"/>
        <v>68573955.067052871</v>
      </c>
    </row>
    <row r="15" spans="1:11">
      <c r="A15" s="516" t="s">
        <v>25</v>
      </c>
      <c r="B15" s="361">
        <v>7613179.3975605909</v>
      </c>
      <c r="C15" s="361">
        <v>3069612.6491391696</v>
      </c>
      <c r="D15" s="361">
        <v>8952153.555684315</v>
      </c>
      <c r="E15" s="361">
        <v>8622964.5615315512</v>
      </c>
      <c r="F15" s="361">
        <v>20975561.554293267</v>
      </c>
      <c r="G15" s="361">
        <v>11518783.686973372</v>
      </c>
      <c r="H15" s="361">
        <v>440403.39947870164</v>
      </c>
      <c r="I15" s="361">
        <v>5632403.9718236513</v>
      </c>
      <c r="J15" s="361">
        <v>7891025.4941480365</v>
      </c>
      <c r="K15" s="543">
        <f t="shared" si="0"/>
        <v>74716088.270632654</v>
      </c>
    </row>
    <row r="16" spans="1:11" ht="12.75" thickBot="1">
      <c r="A16" s="550" t="s">
        <v>26</v>
      </c>
      <c r="B16" s="538">
        <v>5246201.5609881291</v>
      </c>
      <c r="C16" s="538">
        <v>1990493.3505201901</v>
      </c>
      <c r="D16" s="538">
        <v>6241401.5354136182</v>
      </c>
      <c r="E16" s="538">
        <v>4412898.8509914717</v>
      </c>
      <c r="F16" s="538">
        <v>13941123.806276206</v>
      </c>
      <c r="G16" s="538">
        <v>6794074.7790803416</v>
      </c>
      <c r="H16" s="538">
        <v>413515.13450548612</v>
      </c>
      <c r="I16" s="538">
        <v>3499166.9258408444</v>
      </c>
      <c r="J16" s="538">
        <v>5727314.5968906339</v>
      </c>
      <c r="K16" s="544">
        <f t="shared" si="0"/>
        <v>48266190.540506929</v>
      </c>
    </row>
    <row r="17" spans="1:11" ht="12.75" thickBot="1">
      <c r="A17" s="539" t="s">
        <v>833</v>
      </c>
      <c r="B17" s="540">
        <f>SUM(B5:B16)</f>
        <v>79187584.215498164</v>
      </c>
      <c r="C17" s="540">
        <f t="shared" ref="C17:J17" si="1">SUM(C5:C16)</f>
        <v>27631898.967380702</v>
      </c>
      <c r="D17" s="540">
        <f t="shared" si="1"/>
        <v>78604006.435082167</v>
      </c>
      <c r="E17" s="540">
        <f t="shared" si="1"/>
        <v>77899984.088829502</v>
      </c>
      <c r="F17" s="540">
        <f t="shared" si="1"/>
        <v>170029013.00724155</v>
      </c>
      <c r="G17" s="540">
        <f t="shared" si="1"/>
        <v>115218695.74344473</v>
      </c>
      <c r="H17" s="540">
        <f t="shared" si="1"/>
        <v>11895215.245413093</v>
      </c>
      <c r="I17" s="540">
        <f t="shared" si="1"/>
        <v>56187903.671972401</v>
      </c>
      <c r="J17" s="540">
        <f t="shared" si="1"/>
        <v>74900496.375137657</v>
      </c>
      <c r="K17" s="541">
        <f>SUM(K5:K16)</f>
        <v>691554797.75</v>
      </c>
    </row>
    <row r="18" spans="1:11">
      <c r="A18" s="4" t="s">
        <v>836</v>
      </c>
      <c r="B18" s="381">
        <v>76303589</v>
      </c>
      <c r="C18" s="381">
        <v>26625551</v>
      </c>
      <c r="D18" s="381">
        <v>75741265</v>
      </c>
      <c r="E18" s="381">
        <v>75062883</v>
      </c>
      <c r="F18" s="381">
        <v>163836592</v>
      </c>
      <c r="G18" s="381">
        <v>111022455</v>
      </c>
      <c r="H18" s="381">
        <v>11461994</v>
      </c>
      <c r="I18" s="381">
        <v>54141552</v>
      </c>
      <c r="J18" s="381">
        <v>72172636</v>
      </c>
      <c r="K18" s="381">
        <v>666368517</v>
      </c>
    </row>
    <row r="19" spans="1:11">
      <c r="A19" s="4" t="s">
        <v>837</v>
      </c>
      <c r="B19" s="380">
        <f>B17-B18</f>
        <v>2883995.2154981643</v>
      </c>
      <c r="C19" s="380">
        <f t="shared" ref="C19:K19" si="2">C17-C18</f>
        <v>1006347.9673807025</v>
      </c>
      <c r="D19" s="380">
        <f t="shared" si="2"/>
        <v>2862741.4350821674</v>
      </c>
      <c r="E19" s="380">
        <f t="shared" si="2"/>
        <v>2837101.0888295025</v>
      </c>
      <c r="F19" s="380">
        <f t="shared" si="2"/>
        <v>6192421.0072415471</v>
      </c>
      <c r="G19" s="380">
        <f t="shared" si="2"/>
        <v>4196240.7434447259</v>
      </c>
      <c r="H19" s="380">
        <f t="shared" si="2"/>
        <v>433221.2454130929</v>
      </c>
      <c r="I19" s="380">
        <f t="shared" si="2"/>
        <v>2046351.6719724014</v>
      </c>
      <c r="J19" s="380">
        <f t="shared" si="2"/>
        <v>2727860.3751376569</v>
      </c>
      <c r="K19" s="380">
        <f t="shared" si="2"/>
        <v>25186280.75</v>
      </c>
    </row>
    <row r="20" spans="1:11">
      <c r="A20" s="4" t="s">
        <v>860</v>
      </c>
      <c r="B20" s="278">
        <f>B19/245</f>
        <v>11771.409042849651</v>
      </c>
      <c r="C20" s="278">
        <f t="shared" ref="C20:K20" si="3">C19/245</f>
        <v>4107.5427240028675</v>
      </c>
      <c r="D20" s="278">
        <f t="shared" si="3"/>
        <v>11684.658918702724</v>
      </c>
      <c r="E20" s="278">
        <f t="shared" si="3"/>
        <v>11580.004444202052</v>
      </c>
      <c r="F20" s="278">
        <f t="shared" si="3"/>
        <v>25275.187784659374</v>
      </c>
      <c r="G20" s="278">
        <f t="shared" si="3"/>
        <v>17127.513238549902</v>
      </c>
      <c r="H20" s="278">
        <f t="shared" si="3"/>
        <v>1768.2499812779301</v>
      </c>
      <c r="I20" s="278">
        <f t="shared" si="3"/>
        <v>8352.4558039689855</v>
      </c>
      <c r="J20" s="278">
        <f t="shared" si="3"/>
        <v>11134.123980153701</v>
      </c>
      <c r="K20" s="278">
        <f t="shared" si="3"/>
        <v>102801.14591836734</v>
      </c>
    </row>
    <row r="31" spans="1:11">
      <c r="A31" s="176" t="s">
        <v>838</v>
      </c>
      <c r="B31" s="176" t="s">
        <v>839</v>
      </c>
      <c r="C31" s="176" t="s">
        <v>840</v>
      </c>
      <c r="E31" s="176" t="s">
        <v>841</v>
      </c>
      <c r="F31" s="176" t="s">
        <v>842</v>
      </c>
    </row>
    <row r="32" spans="1:11">
      <c r="A32" s="554">
        <v>45292</v>
      </c>
      <c r="B32" s="554">
        <v>45657</v>
      </c>
      <c r="C32" s="176">
        <f>NETWORKDAYS(A32,B32,E32:E50)</f>
        <v>246</v>
      </c>
      <c r="E32" s="552">
        <v>45292</v>
      </c>
      <c r="F32" s="4" t="s">
        <v>843</v>
      </c>
    </row>
    <row r="33" spans="1:6">
      <c r="A33" s="553"/>
      <c r="E33" s="552">
        <v>45331</v>
      </c>
      <c r="F33" s="4" t="s">
        <v>844</v>
      </c>
    </row>
    <row r="34" spans="1:6">
      <c r="E34" s="552">
        <v>45332</v>
      </c>
      <c r="F34" s="4" t="s">
        <v>844</v>
      </c>
    </row>
    <row r="35" spans="1:6">
      <c r="E35" s="552">
        <v>45333</v>
      </c>
      <c r="F35" s="4" t="s">
        <v>845</v>
      </c>
    </row>
    <row r="36" spans="1:6">
      <c r="E36" s="552">
        <v>45334</v>
      </c>
      <c r="F36" s="4" t="s">
        <v>846</v>
      </c>
    </row>
    <row r="37" spans="1:6">
      <c r="E37" s="552">
        <v>45352</v>
      </c>
      <c r="F37" s="4" t="s">
        <v>847</v>
      </c>
    </row>
    <row r="38" spans="1:6">
      <c r="E38" s="552">
        <v>45392</v>
      </c>
      <c r="F38" s="4" t="s">
        <v>848</v>
      </c>
    </row>
    <row r="39" spans="1:6">
      <c r="E39" s="552">
        <v>45413</v>
      </c>
      <c r="F39" s="4" t="s">
        <v>859</v>
      </c>
    </row>
    <row r="40" spans="1:6">
      <c r="E40" s="552">
        <v>45417</v>
      </c>
      <c r="F40" s="4" t="s">
        <v>849</v>
      </c>
    </row>
    <row r="41" spans="1:6">
      <c r="E41" s="552">
        <v>45418</v>
      </c>
      <c r="F41" s="4" t="s">
        <v>846</v>
      </c>
    </row>
    <row r="42" spans="1:6">
      <c r="E42" s="552">
        <v>45427</v>
      </c>
      <c r="F42" s="4" t="s">
        <v>850</v>
      </c>
    </row>
    <row r="43" spans="1:6">
      <c r="E43" s="552">
        <v>45449</v>
      </c>
      <c r="F43" s="4" t="s">
        <v>851</v>
      </c>
    </row>
    <row r="44" spans="1:6">
      <c r="E44" s="552">
        <v>45519</v>
      </c>
      <c r="F44" s="4" t="s">
        <v>852</v>
      </c>
    </row>
    <row r="45" spans="1:6">
      <c r="E45" s="552">
        <v>45551</v>
      </c>
      <c r="F45" s="4" t="s">
        <v>853</v>
      </c>
    </row>
    <row r="46" spans="1:6">
      <c r="E46" s="552">
        <v>45552</v>
      </c>
      <c r="F46" s="4" t="s">
        <v>854</v>
      </c>
    </row>
    <row r="47" spans="1:6">
      <c r="E47" s="552">
        <v>45553</v>
      </c>
      <c r="F47" s="4" t="s">
        <v>855</v>
      </c>
    </row>
    <row r="48" spans="1:6">
      <c r="E48" s="552">
        <v>45568</v>
      </c>
      <c r="F48" s="4" t="s">
        <v>856</v>
      </c>
    </row>
    <row r="49" spans="5:6">
      <c r="E49" s="552">
        <v>45574</v>
      </c>
      <c r="F49" s="4" t="s">
        <v>857</v>
      </c>
    </row>
    <row r="50" spans="5:6">
      <c r="E50" s="552">
        <v>45651</v>
      </c>
      <c r="F50" s="4" t="s">
        <v>858</v>
      </c>
    </row>
  </sheetData>
  <mergeCells count="1">
    <mergeCell ref="J3:K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7"/>
  <sheetViews>
    <sheetView topLeftCell="A66" zoomScaleNormal="100" workbookViewId="0">
      <selection activeCell="A89" sqref="A89:G89"/>
    </sheetView>
  </sheetViews>
  <sheetFormatPr defaultRowHeight="16.5"/>
  <cols>
    <col min="1" max="1" width="22.75" style="1" bestFit="1" customWidth="1"/>
    <col min="2" max="2" width="14" style="1" bestFit="1" customWidth="1"/>
    <col min="3" max="3" width="19.625" style="1" bestFit="1" customWidth="1"/>
    <col min="4" max="4" width="18" style="1" bestFit="1" customWidth="1"/>
    <col min="5" max="5" width="19.625" style="1" bestFit="1" customWidth="1"/>
    <col min="6" max="6" width="9.5" style="1" customWidth="1"/>
    <col min="7" max="7" width="16.5" style="1" bestFit="1" customWidth="1"/>
    <col min="8" max="8" width="10.5" style="1" bestFit="1" customWidth="1"/>
    <col min="9" max="9" width="9" style="1"/>
    <col min="10" max="11" width="9.5" style="1" bestFit="1" customWidth="1"/>
    <col min="12" max="12" width="10.5" style="1" bestFit="1" customWidth="1"/>
    <col min="13" max="16384" width="9" style="1"/>
  </cols>
  <sheetData>
    <row r="1" spans="1:8" s="2" customFormat="1"/>
    <row r="2" spans="1:8" s="2" customFormat="1">
      <c r="A2" s="737" t="s">
        <v>15</v>
      </c>
      <c r="B2" s="737"/>
      <c r="C2" s="737"/>
      <c r="D2" s="737"/>
      <c r="E2" s="737"/>
      <c r="F2" s="737"/>
      <c r="G2" s="737"/>
    </row>
    <row r="3" spans="1:8" s="2" customFormat="1"/>
    <row r="4" spans="1:8" s="112" customFormat="1" ht="13.5">
      <c r="A4" s="111" t="s">
        <v>50</v>
      </c>
    </row>
    <row r="5" spans="1:8" s="112" customFormat="1" ht="13.5">
      <c r="A5" s="732" t="s">
        <v>0</v>
      </c>
      <c r="B5" s="732" t="s">
        <v>1</v>
      </c>
      <c r="C5" s="732" t="s">
        <v>2</v>
      </c>
      <c r="D5" s="732" t="s">
        <v>3</v>
      </c>
      <c r="E5" s="732" t="s">
        <v>4</v>
      </c>
      <c r="F5" s="735" t="s">
        <v>51</v>
      </c>
      <c r="G5" s="735" t="s">
        <v>52</v>
      </c>
      <c r="H5" s="740" t="s">
        <v>373</v>
      </c>
    </row>
    <row r="6" spans="1:8" s="112" customFormat="1" ht="13.5">
      <c r="A6" s="732"/>
      <c r="B6" s="732"/>
      <c r="C6" s="732"/>
      <c r="D6" s="732"/>
      <c r="E6" s="732"/>
      <c r="F6" s="735"/>
      <c r="G6" s="735"/>
      <c r="H6" s="740"/>
    </row>
    <row r="7" spans="1:8" s="112" customFormat="1" ht="13.5">
      <c r="A7" s="113" t="s">
        <v>6</v>
      </c>
      <c r="B7" s="114">
        <v>32114</v>
      </c>
      <c r="C7" s="114">
        <v>125932500</v>
      </c>
      <c r="D7" s="114">
        <v>11448391</v>
      </c>
      <c r="E7" s="114">
        <v>114484110</v>
      </c>
      <c r="F7" s="115"/>
      <c r="G7" s="115"/>
      <c r="H7" s="401">
        <f>E7/12</f>
        <v>9540342.5</v>
      </c>
    </row>
    <row r="8" spans="1:8" s="112" customFormat="1" ht="13.5">
      <c r="A8" s="113" t="s">
        <v>7</v>
      </c>
      <c r="B8" s="114">
        <v>38386</v>
      </c>
      <c r="C8" s="114">
        <v>122223500</v>
      </c>
      <c r="D8" s="114">
        <v>11111207</v>
      </c>
      <c r="E8" s="114">
        <v>111112293</v>
      </c>
      <c r="F8" s="115"/>
      <c r="G8" s="115"/>
      <c r="H8" s="401">
        <f t="shared" ref="H8:H14" si="0">E8/12</f>
        <v>9259357.75</v>
      </c>
    </row>
    <row r="9" spans="1:8" s="112" customFormat="1" ht="13.5">
      <c r="A9" s="113" t="s">
        <v>8</v>
      </c>
      <c r="B9" s="114">
        <v>3392</v>
      </c>
      <c r="C9" s="114">
        <v>11674500</v>
      </c>
      <c r="D9" s="114">
        <v>1061317</v>
      </c>
      <c r="E9" s="114">
        <v>10613183</v>
      </c>
      <c r="F9" s="115"/>
      <c r="G9" s="115"/>
      <c r="H9" s="401">
        <f t="shared" si="0"/>
        <v>884431.91666666663</v>
      </c>
    </row>
    <row r="10" spans="1:8" s="112" customFormat="1" ht="13.5">
      <c r="A10" s="113" t="s">
        <v>9</v>
      </c>
      <c r="B10" s="114">
        <v>31405</v>
      </c>
      <c r="C10" s="114">
        <v>138860037</v>
      </c>
      <c r="D10" s="114">
        <v>12623625</v>
      </c>
      <c r="E10" s="114">
        <v>126236412</v>
      </c>
      <c r="F10" s="115"/>
      <c r="G10" s="115"/>
      <c r="H10" s="401">
        <f t="shared" si="0"/>
        <v>10519701</v>
      </c>
    </row>
    <row r="11" spans="1:8" s="112" customFormat="1" ht="13.5">
      <c r="A11" s="113" t="s">
        <v>10</v>
      </c>
      <c r="B11" s="114">
        <v>12152</v>
      </c>
      <c r="C11" s="114">
        <v>41123600</v>
      </c>
      <c r="D11" s="114">
        <v>3738497</v>
      </c>
      <c r="E11" s="114">
        <v>37385103</v>
      </c>
      <c r="F11" s="115"/>
      <c r="G11" s="115"/>
      <c r="H11" s="401">
        <f t="shared" si="0"/>
        <v>3115425.25</v>
      </c>
    </row>
    <row r="12" spans="1:8" s="112" customFormat="1" ht="13.5">
      <c r="A12" s="113" t="s">
        <v>11</v>
      </c>
      <c r="B12" s="114">
        <v>21444</v>
      </c>
      <c r="C12" s="114">
        <v>83580100</v>
      </c>
      <c r="D12" s="114">
        <v>7598162</v>
      </c>
      <c r="E12" s="114">
        <v>75529029</v>
      </c>
      <c r="F12" s="115"/>
      <c r="G12" s="115"/>
      <c r="H12" s="401">
        <f t="shared" si="0"/>
        <v>6294085.75</v>
      </c>
    </row>
    <row r="13" spans="1:8" s="112" customFormat="1" ht="13.5">
      <c r="A13" s="113" t="s">
        <v>12</v>
      </c>
      <c r="B13" s="114">
        <v>37214</v>
      </c>
      <c r="C13" s="114">
        <v>142590400</v>
      </c>
      <c r="D13" s="114">
        <v>12962746</v>
      </c>
      <c r="E13" s="114">
        <v>129627654</v>
      </c>
      <c r="F13" s="115"/>
      <c r="G13" s="115"/>
      <c r="H13" s="401">
        <f t="shared" si="0"/>
        <v>10802304.5</v>
      </c>
    </row>
    <row r="14" spans="1:8" s="112" customFormat="1" ht="13.5">
      <c r="A14" s="113" t="s">
        <v>13</v>
      </c>
      <c r="B14" s="114">
        <v>15098</v>
      </c>
      <c r="C14" s="114">
        <v>56218300</v>
      </c>
      <c r="D14" s="114">
        <v>5110753</v>
      </c>
      <c r="E14" s="114">
        <v>51107547</v>
      </c>
      <c r="F14" s="115"/>
      <c r="G14" s="115"/>
      <c r="H14" s="401">
        <f t="shared" si="0"/>
        <v>4258962.25</v>
      </c>
    </row>
    <row r="15" spans="1:8" s="112" customFormat="1" ht="13.5">
      <c r="A15" s="113" t="s">
        <v>14</v>
      </c>
      <c r="B15" s="114">
        <v>1889</v>
      </c>
      <c r="C15" s="114">
        <v>8435400</v>
      </c>
      <c r="D15" s="114">
        <v>766854</v>
      </c>
      <c r="E15" s="114">
        <v>7668546</v>
      </c>
      <c r="F15" s="115"/>
      <c r="G15" s="115"/>
      <c r="H15" s="401">
        <f>E15/3</f>
        <v>2556182</v>
      </c>
    </row>
    <row r="16" spans="1:8" s="112" customFormat="1" ht="13.5">
      <c r="A16" s="116" t="s">
        <v>5</v>
      </c>
      <c r="B16" s="117">
        <f>SUM(B7:B15)</f>
        <v>193094</v>
      </c>
      <c r="C16" s="117">
        <f>SUM(C7:C15)</f>
        <v>730638337</v>
      </c>
      <c r="D16" s="117">
        <f>SUM(D7:D15)</f>
        <v>66421552</v>
      </c>
      <c r="E16" s="117">
        <f>SUM(E7:E15)</f>
        <v>663763877</v>
      </c>
      <c r="F16" s="118"/>
      <c r="G16" s="118"/>
    </row>
    <row r="17" spans="1:8" s="112" customFormat="1" ht="13.5"/>
    <row r="18" spans="1:8" s="112" customFormat="1" ht="13.5">
      <c r="A18" s="111" t="s">
        <v>53</v>
      </c>
    </row>
    <row r="19" spans="1:8" s="112" customFormat="1" ht="13.5">
      <c r="A19" s="732" t="s">
        <v>0</v>
      </c>
      <c r="B19" s="732" t="s">
        <v>1</v>
      </c>
      <c r="C19" s="732" t="s">
        <v>2</v>
      </c>
      <c r="D19" s="732" t="s">
        <v>3</v>
      </c>
      <c r="E19" s="732" t="s">
        <v>4</v>
      </c>
      <c r="F19" s="735" t="s">
        <v>51</v>
      </c>
      <c r="G19" s="735" t="s">
        <v>52</v>
      </c>
      <c r="H19" s="740" t="s">
        <v>373</v>
      </c>
    </row>
    <row r="20" spans="1:8" s="112" customFormat="1" ht="13.5">
      <c r="A20" s="732"/>
      <c r="B20" s="732"/>
      <c r="C20" s="732"/>
      <c r="D20" s="732"/>
      <c r="E20" s="732"/>
      <c r="F20" s="735"/>
      <c r="G20" s="735"/>
      <c r="H20" s="740"/>
    </row>
    <row r="21" spans="1:8" s="112" customFormat="1" ht="13.5">
      <c r="A21" s="113" t="s">
        <v>6</v>
      </c>
      <c r="B21" s="114">
        <v>28176</v>
      </c>
      <c r="C21" s="114">
        <v>107322592</v>
      </c>
      <c r="D21" s="114">
        <v>9756582</v>
      </c>
      <c r="E21" s="114">
        <v>97566011</v>
      </c>
      <c r="F21" s="252">
        <f>(E21/E7)-1</f>
        <v>-0.14777683121264606</v>
      </c>
      <c r="G21" s="115"/>
      <c r="H21" s="401">
        <f t="shared" ref="H21:H29" si="1">E21/12</f>
        <v>8130500.916666667</v>
      </c>
    </row>
    <row r="22" spans="1:8" s="112" customFormat="1" ht="13.5">
      <c r="A22" s="113" t="s">
        <v>7</v>
      </c>
      <c r="B22" s="114">
        <v>37233</v>
      </c>
      <c r="C22" s="114">
        <v>121726380</v>
      </c>
      <c r="D22" s="114">
        <v>11066004</v>
      </c>
      <c r="E22" s="114">
        <v>110660376</v>
      </c>
      <c r="F22" s="252">
        <f t="shared" ref="F22:F30" si="2">(E22/E8)-1</f>
        <v>-4.0672097370900717E-3</v>
      </c>
      <c r="G22" s="115"/>
      <c r="H22" s="401">
        <f t="shared" si="1"/>
        <v>9221698</v>
      </c>
    </row>
    <row r="23" spans="1:8" s="112" customFormat="1" ht="13.5">
      <c r="A23" s="113" t="s">
        <v>8</v>
      </c>
      <c r="B23" s="114">
        <v>2988</v>
      </c>
      <c r="C23" s="114">
        <v>9613030</v>
      </c>
      <c r="D23" s="114">
        <v>873911</v>
      </c>
      <c r="E23" s="114">
        <v>8739119</v>
      </c>
      <c r="F23" s="252">
        <f t="shared" si="2"/>
        <v>-0.17657888307400338</v>
      </c>
      <c r="G23" s="115"/>
      <c r="H23" s="401">
        <f t="shared" si="1"/>
        <v>728259.91666666663</v>
      </c>
    </row>
    <row r="24" spans="1:8" s="112" customFormat="1" ht="13.5">
      <c r="A24" s="113" t="s">
        <v>9</v>
      </c>
      <c r="B24" s="114">
        <v>27772</v>
      </c>
      <c r="C24" s="114">
        <v>121831560</v>
      </c>
      <c r="D24" s="114">
        <v>11075579</v>
      </c>
      <c r="E24" s="114">
        <v>110755981</v>
      </c>
      <c r="F24" s="252">
        <f t="shared" si="2"/>
        <v>-0.1226304736861501</v>
      </c>
      <c r="G24" s="115"/>
      <c r="H24" s="401">
        <f t="shared" si="1"/>
        <v>9229665.083333334</v>
      </c>
    </row>
    <row r="25" spans="1:8" s="112" customFormat="1" ht="13.5">
      <c r="A25" s="113" t="s">
        <v>10</v>
      </c>
      <c r="B25" s="114">
        <v>11020</v>
      </c>
      <c r="C25" s="114">
        <v>38351689</v>
      </c>
      <c r="D25" s="114">
        <v>3486505</v>
      </c>
      <c r="E25" s="114">
        <v>34865184</v>
      </c>
      <c r="F25" s="252">
        <f t="shared" si="2"/>
        <v>-6.7404361571506199E-2</v>
      </c>
      <c r="G25" s="115"/>
      <c r="H25" s="401">
        <f t="shared" si="1"/>
        <v>2905432</v>
      </c>
    </row>
    <row r="26" spans="1:8" s="112" customFormat="1" ht="13.5">
      <c r="A26" s="113" t="s">
        <v>11</v>
      </c>
      <c r="B26" s="114">
        <v>21511</v>
      </c>
      <c r="C26" s="114">
        <v>76292220</v>
      </c>
      <c r="D26" s="114">
        <v>6935629</v>
      </c>
      <c r="E26" s="114">
        <v>69356591</v>
      </c>
      <c r="F26" s="252">
        <f t="shared" si="2"/>
        <v>-8.1722724119755341E-2</v>
      </c>
      <c r="G26" s="115"/>
      <c r="H26" s="401">
        <f t="shared" si="1"/>
        <v>5779715.916666667</v>
      </c>
    </row>
    <row r="27" spans="1:8" s="112" customFormat="1" ht="13.5">
      <c r="A27" s="113" t="s">
        <v>12</v>
      </c>
      <c r="B27" s="114">
        <v>36607</v>
      </c>
      <c r="C27" s="114">
        <v>142224570</v>
      </c>
      <c r="D27" s="114">
        <v>12929483</v>
      </c>
      <c r="E27" s="114">
        <v>129295087</v>
      </c>
      <c r="F27" s="252">
        <f t="shared" si="2"/>
        <v>-2.5655559576817089E-3</v>
      </c>
      <c r="G27" s="115"/>
      <c r="H27" s="401">
        <f t="shared" si="1"/>
        <v>10774590.583333334</v>
      </c>
    </row>
    <row r="28" spans="1:8" s="112" customFormat="1" ht="13.5">
      <c r="A28" s="113" t="s">
        <v>13</v>
      </c>
      <c r="B28" s="114">
        <v>15102</v>
      </c>
      <c r="C28" s="114">
        <v>57187200</v>
      </c>
      <c r="D28" s="114">
        <v>5198832</v>
      </c>
      <c r="E28" s="114">
        <v>51988368</v>
      </c>
      <c r="F28" s="252">
        <f t="shared" si="2"/>
        <v>1.7234656165360462E-2</v>
      </c>
      <c r="G28" s="115"/>
      <c r="H28" s="401">
        <f t="shared" si="1"/>
        <v>4332364</v>
      </c>
    </row>
    <row r="29" spans="1:8" s="112" customFormat="1" ht="13.5">
      <c r="A29" s="113" t="s">
        <v>14</v>
      </c>
      <c r="B29" s="114">
        <v>7958</v>
      </c>
      <c r="C29" s="114">
        <v>34655070</v>
      </c>
      <c r="D29" s="114">
        <v>3150455</v>
      </c>
      <c r="E29" s="114">
        <v>31504615</v>
      </c>
      <c r="F29" s="252">
        <f t="shared" si="2"/>
        <v>3.1082905416489641</v>
      </c>
      <c r="G29" s="119" t="s">
        <v>54</v>
      </c>
      <c r="H29" s="401">
        <f t="shared" si="1"/>
        <v>2625384.5833333335</v>
      </c>
    </row>
    <row r="30" spans="1:8" s="112" customFormat="1" ht="13.5">
      <c r="A30" s="116" t="s">
        <v>5</v>
      </c>
      <c r="B30" s="117">
        <f>SUM(B21:B29)</f>
        <v>188367</v>
      </c>
      <c r="C30" s="117">
        <f>SUM(C21:C29)</f>
        <v>709204311</v>
      </c>
      <c r="D30" s="117">
        <f>SUM(D21:D29)</f>
        <v>64472980</v>
      </c>
      <c r="E30" s="117">
        <f>SUM(E21:E29)</f>
        <v>644731332</v>
      </c>
      <c r="F30" s="120">
        <f t="shared" si="2"/>
        <v>-2.8673667940504743E-2</v>
      </c>
      <c r="G30" s="118"/>
      <c r="H30" s="401"/>
    </row>
    <row r="31" spans="1:8" s="112" customFormat="1" ht="13.5">
      <c r="H31" s="401"/>
    </row>
    <row r="32" spans="1:8" s="112" customFormat="1" ht="13.5">
      <c r="A32" s="111" t="s">
        <v>55</v>
      </c>
      <c r="H32" s="401"/>
    </row>
    <row r="33" spans="1:8" s="112" customFormat="1" ht="13.5">
      <c r="A33" s="732" t="s">
        <v>0</v>
      </c>
      <c r="B33" s="732" t="s">
        <v>1</v>
      </c>
      <c r="C33" s="732" t="s">
        <v>2</v>
      </c>
      <c r="D33" s="732" t="s">
        <v>3</v>
      </c>
      <c r="E33" s="732" t="s">
        <v>4</v>
      </c>
      <c r="F33" s="735" t="s">
        <v>51</v>
      </c>
      <c r="G33" s="735" t="s">
        <v>52</v>
      </c>
      <c r="H33" s="740" t="s">
        <v>373</v>
      </c>
    </row>
    <row r="34" spans="1:8" s="112" customFormat="1" ht="13.5">
      <c r="A34" s="732"/>
      <c r="B34" s="732"/>
      <c r="C34" s="732"/>
      <c r="D34" s="732"/>
      <c r="E34" s="732"/>
      <c r="F34" s="735"/>
      <c r="G34" s="735"/>
      <c r="H34" s="740"/>
    </row>
    <row r="35" spans="1:8" s="112" customFormat="1" ht="13.5">
      <c r="A35" s="113" t="s">
        <v>6</v>
      </c>
      <c r="B35" s="114">
        <v>7205</v>
      </c>
      <c r="C35" s="114">
        <v>29330600</v>
      </c>
      <c r="D35" s="114">
        <v>2666416</v>
      </c>
      <c r="E35" s="114">
        <v>26664184</v>
      </c>
      <c r="F35" s="252">
        <f>(E35/E21)-1</f>
        <v>-0.72670621944357239</v>
      </c>
      <c r="G35" s="115"/>
      <c r="H35" s="401">
        <f t="shared" ref="H35:H57" si="3">E35/12</f>
        <v>2222015.3333333335</v>
      </c>
    </row>
    <row r="36" spans="1:8" s="112" customFormat="1" ht="13.5">
      <c r="A36" s="113" t="s">
        <v>7</v>
      </c>
      <c r="B36" s="114">
        <v>3386</v>
      </c>
      <c r="C36" s="114">
        <v>13345700</v>
      </c>
      <c r="D36" s="114">
        <v>1213245</v>
      </c>
      <c r="E36" s="114">
        <v>12132455</v>
      </c>
      <c r="F36" s="252">
        <f t="shared" ref="F36:F44" si="4">(E36/E22)-1</f>
        <v>-0.89036315040173009</v>
      </c>
      <c r="G36" s="115"/>
      <c r="H36" s="401">
        <f t="shared" si="3"/>
        <v>1011037.9166666666</v>
      </c>
    </row>
    <row r="37" spans="1:8" s="112" customFormat="1" ht="13.5">
      <c r="A37" s="113" t="s">
        <v>8</v>
      </c>
      <c r="B37" s="114">
        <v>334</v>
      </c>
      <c r="C37" s="114">
        <v>1269400</v>
      </c>
      <c r="D37" s="114">
        <v>115400</v>
      </c>
      <c r="E37" s="114">
        <v>1154000</v>
      </c>
      <c r="F37" s="252">
        <f t="shared" si="4"/>
        <v>-0.86795007597447749</v>
      </c>
      <c r="G37" s="115"/>
      <c r="H37" s="401">
        <f t="shared" si="3"/>
        <v>96166.666666666672</v>
      </c>
    </row>
    <row r="38" spans="1:8" s="112" customFormat="1" ht="13.5">
      <c r="A38" s="113" t="s">
        <v>9</v>
      </c>
      <c r="B38" s="114">
        <v>9235</v>
      </c>
      <c r="C38" s="114">
        <v>47731040</v>
      </c>
      <c r="D38" s="114">
        <v>4339182</v>
      </c>
      <c r="E38" s="114">
        <v>43391858</v>
      </c>
      <c r="F38" s="252">
        <f t="shared" si="4"/>
        <v>-0.60822108559536847</v>
      </c>
      <c r="G38" s="115"/>
      <c r="H38" s="401">
        <f t="shared" si="3"/>
        <v>3615988.1666666665</v>
      </c>
    </row>
    <row r="39" spans="1:8" s="112" customFormat="1" ht="13.5">
      <c r="A39" s="113" t="s">
        <v>10</v>
      </c>
      <c r="B39" s="114">
        <v>6303</v>
      </c>
      <c r="C39" s="114">
        <v>24331200</v>
      </c>
      <c r="D39" s="114">
        <v>2211923</v>
      </c>
      <c r="E39" s="114">
        <v>22119277</v>
      </c>
      <c r="F39" s="252">
        <f t="shared" si="4"/>
        <v>-0.36557693199037755</v>
      </c>
      <c r="G39" s="115"/>
      <c r="H39" s="401">
        <f t="shared" si="3"/>
        <v>1843273.0833333333</v>
      </c>
    </row>
    <row r="40" spans="1:8" s="112" customFormat="1" ht="13.5">
      <c r="A40" s="113" t="s">
        <v>11</v>
      </c>
      <c r="B40" s="114">
        <v>6618</v>
      </c>
      <c r="C40" s="114">
        <v>29927300</v>
      </c>
      <c r="D40" s="114">
        <v>2720658</v>
      </c>
      <c r="E40" s="114">
        <v>27206642</v>
      </c>
      <c r="F40" s="252">
        <f t="shared" si="4"/>
        <v>-0.60772809609399636</v>
      </c>
      <c r="G40" s="115"/>
      <c r="H40" s="401">
        <f t="shared" si="3"/>
        <v>2267220.1666666665</v>
      </c>
    </row>
    <row r="41" spans="1:8" s="112" customFormat="1" ht="13.5">
      <c r="A41" s="113" t="s">
        <v>12</v>
      </c>
      <c r="B41" s="114">
        <v>9621</v>
      </c>
      <c r="C41" s="114">
        <v>42193400</v>
      </c>
      <c r="D41" s="114">
        <v>3835762</v>
      </c>
      <c r="E41" s="114">
        <v>38357638</v>
      </c>
      <c r="F41" s="252">
        <f t="shared" si="4"/>
        <v>-0.70333259453238162</v>
      </c>
      <c r="G41" s="115"/>
      <c r="H41" s="401">
        <f t="shared" si="3"/>
        <v>3196469.8333333335</v>
      </c>
    </row>
    <row r="42" spans="1:8" s="112" customFormat="1" ht="13.5">
      <c r="A42" s="113" t="s">
        <v>13</v>
      </c>
      <c r="B42" s="114">
        <v>15425</v>
      </c>
      <c r="C42" s="114">
        <v>60122900</v>
      </c>
      <c r="D42" s="114">
        <v>5465709</v>
      </c>
      <c r="E42" s="114">
        <v>54657191</v>
      </c>
      <c r="F42" s="252">
        <f t="shared" si="4"/>
        <v>5.1335002475938474E-2</v>
      </c>
      <c r="G42" s="115"/>
      <c r="H42" s="401">
        <f t="shared" si="3"/>
        <v>4554765.916666667</v>
      </c>
    </row>
    <row r="43" spans="1:8" s="112" customFormat="1" ht="13.5">
      <c r="A43" s="113" t="s">
        <v>14</v>
      </c>
      <c r="B43" s="114">
        <v>5231</v>
      </c>
      <c r="C43" s="114">
        <v>22342900</v>
      </c>
      <c r="D43" s="114">
        <v>2031169</v>
      </c>
      <c r="E43" s="114">
        <v>20311731</v>
      </c>
      <c r="F43" s="252">
        <f t="shared" si="4"/>
        <v>-0.3552775998056158</v>
      </c>
      <c r="G43" s="115"/>
      <c r="H43" s="401">
        <f t="shared" si="3"/>
        <v>1692644.25</v>
      </c>
    </row>
    <row r="44" spans="1:8" s="112" customFormat="1" ht="13.5">
      <c r="A44" s="116" t="s">
        <v>5</v>
      </c>
      <c r="B44" s="117">
        <f>SUM(B35:B43)</f>
        <v>63358</v>
      </c>
      <c r="C44" s="117">
        <f>SUM(C35:C43)</f>
        <v>270594440</v>
      </c>
      <c r="D44" s="117">
        <f>SUM(D35:D43)</f>
        <v>24599464</v>
      </c>
      <c r="E44" s="117">
        <f>SUM(E35:E43)</f>
        <v>245994976</v>
      </c>
      <c r="F44" s="253">
        <f t="shared" si="4"/>
        <v>-0.61845351111306002</v>
      </c>
      <c r="G44" s="118"/>
      <c r="H44" s="401"/>
    </row>
    <row r="45" spans="1:8" s="112" customFormat="1" ht="13.5">
      <c r="H45" s="401"/>
    </row>
    <row r="46" spans="1:8" s="112" customFormat="1" ht="13.5">
      <c r="A46" s="111" t="s">
        <v>56</v>
      </c>
      <c r="H46" s="401"/>
    </row>
    <row r="47" spans="1:8" s="112" customFormat="1" ht="13.5">
      <c r="A47" s="732" t="s">
        <v>57</v>
      </c>
      <c r="B47" s="732" t="s">
        <v>58</v>
      </c>
      <c r="C47" s="732" t="s">
        <v>59</v>
      </c>
      <c r="D47" s="732" t="s">
        <v>60</v>
      </c>
      <c r="E47" s="732" t="s">
        <v>61</v>
      </c>
      <c r="F47" s="735" t="s">
        <v>51</v>
      </c>
      <c r="G47" s="735" t="s">
        <v>52</v>
      </c>
      <c r="H47" s="740" t="s">
        <v>373</v>
      </c>
    </row>
    <row r="48" spans="1:8" s="112" customFormat="1" ht="13.5">
      <c r="A48" s="732"/>
      <c r="B48" s="732"/>
      <c r="C48" s="732"/>
      <c r="D48" s="732"/>
      <c r="E48" s="732"/>
      <c r="F48" s="735"/>
      <c r="G48" s="735"/>
      <c r="H48" s="740"/>
    </row>
    <row r="49" spans="1:9" s="112" customFormat="1" ht="13.5">
      <c r="A49" s="113" t="s">
        <v>62</v>
      </c>
      <c r="B49" s="114">
        <v>7492</v>
      </c>
      <c r="C49" s="114">
        <v>30423990</v>
      </c>
      <c r="D49" s="114">
        <v>2765814</v>
      </c>
      <c r="E49" s="114">
        <v>27658176</v>
      </c>
      <c r="F49" s="252">
        <f>(E49/E35)-1</f>
        <v>3.7278170597682569E-2</v>
      </c>
      <c r="G49" s="115"/>
      <c r="H49" s="401">
        <f t="shared" si="3"/>
        <v>2304848</v>
      </c>
    </row>
    <row r="50" spans="1:9" s="112" customFormat="1" ht="13.5">
      <c r="A50" s="113" t="s">
        <v>63</v>
      </c>
      <c r="B50" s="114">
        <v>2690</v>
      </c>
      <c r="C50" s="114">
        <v>10844100</v>
      </c>
      <c r="D50" s="114">
        <v>985826</v>
      </c>
      <c r="E50" s="114">
        <v>9858274</v>
      </c>
      <c r="F50" s="252">
        <f t="shared" ref="F50:F58" si="5">(E50/E36)-1</f>
        <v>-0.18744606924155083</v>
      </c>
      <c r="G50" s="115"/>
      <c r="H50" s="401">
        <f t="shared" si="3"/>
        <v>821522.83333333337</v>
      </c>
    </row>
    <row r="51" spans="1:9" s="112" customFormat="1" ht="13.5">
      <c r="A51" s="113" t="s">
        <v>64</v>
      </c>
      <c r="B51" s="114">
        <v>475</v>
      </c>
      <c r="C51" s="114">
        <v>1642500</v>
      </c>
      <c r="D51" s="114">
        <v>149318</v>
      </c>
      <c r="E51" s="114">
        <v>1493182</v>
      </c>
      <c r="F51" s="252">
        <f t="shared" si="5"/>
        <v>0.29391854419410746</v>
      </c>
      <c r="G51" s="115"/>
      <c r="H51" s="401">
        <f t="shared" si="3"/>
        <v>124431.83333333333</v>
      </c>
    </row>
    <row r="52" spans="1:9" s="112" customFormat="1" ht="13.5">
      <c r="A52" s="113" t="s">
        <v>65</v>
      </c>
      <c r="B52" s="114">
        <v>8633</v>
      </c>
      <c r="C52" s="114">
        <v>40527539</v>
      </c>
      <c r="D52" s="114">
        <v>3684320</v>
      </c>
      <c r="E52" s="114">
        <v>36843219</v>
      </c>
      <c r="F52" s="252">
        <f t="shared" si="5"/>
        <v>-0.1509186124272438</v>
      </c>
      <c r="G52" s="115"/>
      <c r="H52" s="401">
        <f t="shared" si="3"/>
        <v>3070268.25</v>
      </c>
    </row>
    <row r="53" spans="1:9" s="112" customFormat="1" ht="13.5">
      <c r="A53" s="113" t="s">
        <v>66</v>
      </c>
      <c r="B53" s="114">
        <v>3828</v>
      </c>
      <c r="C53" s="114">
        <v>13779090</v>
      </c>
      <c r="D53" s="114">
        <v>1252641</v>
      </c>
      <c r="E53" s="114">
        <v>12526449</v>
      </c>
      <c r="F53" s="252">
        <f t="shared" si="5"/>
        <v>-0.43368632708926247</v>
      </c>
      <c r="G53" s="115"/>
      <c r="H53" s="401">
        <f t="shared" si="3"/>
        <v>1043870.75</v>
      </c>
    </row>
    <row r="54" spans="1:9" s="112" customFormat="1" ht="13.5">
      <c r="A54" s="113" t="s">
        <v>67</v>
      </c>
      <c r="B54" s="114">
        <v>7237</v>
      </c>
      <c r="C54" s="114">
        <v>32966100</v>
      </c>
      <c r="D54" s="114">
        <v>2996914</v>
      </c>
      <c r="E54" s="114">
        <v>29969186</v>
      </c>
      <c r="F54" s="252">
        <f t="shared" si="5"/>
        <v>0.10153932264040533</v>
      </c>
      <c r="G54" s="115"/>
      <c r="H54" s="401">
        <f t="shared" si="3"/>
        <v>2497432.1666666665</v>
      </c>
    </row>
    <row r="55" spans="1:9" s="112" customFormat="1" ht="13.5">
      <c r="A55" s="113" t="s">
        <v>68</v>
      </c>
      <c r="B55" s="114">
        <v>14861</v>
      </c>
      <c r="C55" s="114">
        <v>63696730</v>
      </c>
      <c r="D55" s="114">
        <v>5790607</v>
      </c>
      <c r="E55" s="114">
        <v>57906123</v>
      </c>
      <c r="F55" s="252">
        <f t="shared" si="5"/>
        <v>0.50963735045416514</v>
      </c>
      <c r="G55" s="115"/>
      <c r="H55" s="401">
        <f t="shared" si="3"/>
        <v>4825510.25</v>
      </c>
    </row>
    <row r="56" spans="1:9" s="112" customFormat="1" ht="13.5">
      <c r="A56" s="113" t="s">
        <v>69</v>
      </c>
      <c r="B56" s="114">
        <v>14020</v>
      </c>
      <c r="C56" s="114">
        <v>56644290</v>
      </c>
      <c r="D56" s="114">
        <v>5144474</v>
      </c>
      <c r="E56" s="114">
        <v>51499816</v>
      </c>
      <c r="F56" s="252">
        <f t="shared" si="5"/>
        <v>-5.7766872798128199E-2</v>
      </c>
      <c r="G56" s="115"/>
      <c r="H56" s="401">
        <f t="shared" si="3"/>
        <v>4291651.333333333</v>
      </c>
    </row>
    <row r="57" spans="1:9" s="112" customFormat="1" ht="13.5">
      <c r="A57" s="113" t="s">
        <v>70</v>
      </c>
      <c r="B57" s="114">
        <v>6967</v>
      </c>
      <c r="C57" s="114">
        <v>30165600</v>
      </c>
      <c r="D57" s="114">
        <v>2742322</v>
      </c>
      <c r="E57" s="114">
        <v>27423278</v>
      </c>
      <c r="F57" s="252">
        <f t="shared" si="5"/>
        <v>0.35012018424229829</v>
      </c>
      <c r="G57" s="115"/>
      <c r="H57" s="401">
        <f t="shared" si="3"/>
        <v>2285273.1666666665</v>
      </c>
    </row>
    <row r="58" spans="1:9" s="112" customFormat="1" ht="13.5">
      <c r="A58" s="116" t="s">
        <v>5</v>
      </c>
      <c r="B58" s="117">
        <v>66203</v>
      </c>
      <c r="C58" s="117">
        <f>SUM(C49:C57)</f>
        <v>280689939</v>
      </c>
      <c r="D58" s="117">
        <f t="shared" ref="D58:E58" si="6">SUM(D49:D57)</f>
        <v>25512236</v>
      </c>
      <c r="E58" s="117">
        <f t="shared" si="6"/>
        <v>255177703</v>
      </c>
      <c r="F58" s="253">
        <f t="shared" si="5"/>
        <v>3.732892089633566E-2</v>
      </c>
      <c r="G58" s="118"/>
    </row>
    <row r="59" spans="1:9" s="112" customFormat="1" ht="13.5"/>
    <row r="60" spans="1:9" s="112" customFormat="1" ht="13.5">
      <c r="A60" s="111" t="s">
        <v>170</v>
      </c>
    </row>
    <row r="61" spans="1:9" s="112" customFormat="1" ht="16.5" customHeight="1">
      <c r="A61" s="732" t="s">
        <v>57</v>
      </c>
      <c r="B61" s="732" t="s">
        <v>58</v>
      </c>
      <c r="C61" s="732" t="s">
        <v>59</v>
      </c>
      <c r="D61" s="732" t="s">
        <v>60</v>
      </c>
      <c r="E61" s="732" t="s">
        <v>61</v>
      </c>
      <c r="F61" s="735" t="s">
        <v>51</v>
      </c>
      <c r="G61" s="735" t="s">
        <v>52</v>
      </c>
      <c r="H61" s="740" t="s">
        <v>373</v>
      </c>
    </row>
    <row r="62" spans="1:9" s="112" customFormat="1" ht="13.5">
      <c r="A62" s="732"/>
      <c r="B62" s="732"/>
      <c r="C62" s="732"/>
      <c r="D62" s="732"/>
      <c r="E62" s="732"/>
      <c r="F62" s="735"/>
      <c r="G62" s="735"/>
      <c r="H62" s="740"/>
    </row>
    <row r="63" spans="1:9" s="112" customFormat="1" ht="13.5">
      <c r="A63" s="113" t="s">
        <v>62</v>
      </c>
      <c r="B63" s="114">
        <v>12377</v>
      </c>
      <c r="C63" s="114">
        <v>54847900</v>
      </c>
      <c r="D63" s="114">
        <v>4985477</v>
      </c>
      <c r="E63" s="114">
        <f>C63-D63</f>
        <v>49862423</v>
      </c>
      <c r="F63" s="252">
        <f>(E63/E49)-1</f>
        <v>0.8028095200493337</v>
      </c>
      <c r="G63" s="115"/>
      <c r="H63" s="401">
        <f>E63/12</f>
        <v>4155201.9166666665</v>
      </c>
      <c r="I63" s="421">
        <f>E63/$E$72</f>
        <v>0.10468514670300463</v>
      </c>
    </row>
    <row r="64" spans="1:9" s="112" customFormat="1" ht="13.5">
      <c r="A64" s="113" t="s">
        <v>63</v>
      </c>
      <c r="B64" s="114">
        <v>17248</v>
      </c>
      <c r="C64" s="114">
        <v>58887100</v>
      </c>
      <c r="D64" s="114">
        <v>5353362</v>
      </c>
      <c r="E64" s="114">
        <f t="shared" ref="E64:E71" si="7">C64-D64</f>
        <v>53533738</v>
      </c>
      <c r="F64" s="252">
        <f t="shared" ref="F64:F72" si="8">(E64/E50)-1</f>
        <v>4.4303357768307112</v>
      </c>
      <c r="G64" s="115"/>
      <c r="H64" s="401">
        <f t="shared" ref="H64:H71" si="9">E64/12</f>
        <v>4461144.833333333</v>
      </c>
      <c r="I64" s="421">
        <f t="shared" ref="I64:I71" si="10">E64/$E$72</f>
        <v>0.11239299815193926</v>
      </c>
    </row>
    <row r="65" spans="1:16" s="112" customFormat="1" ht="13.5">
      <c r="A65" s="113" t="s">
        <v>64</v>
      </c>
      <c r="B65" s="114">
        <v>3230</v>
      </c>
      <c r="C65" s="114">
        <v>11703100</v>
      </c>
      <c r="D65" s="114">
        <v>1062852</v>
      </c>
      <c r="E65" s="114">
        <f t="shared" si="7"/>
        <v>10640248</v>
      </c>
      <c r="F65" s="252">
        <f t="shared" si="8"/>
        <v>6.1258882038492297</v>
      </c>
      <c r="G65" s="115"/>
      <c r="H65" s="401">
        <f t="shared" si="9"/>
        <v>886687.33333333337</v>
      </c>
      <c r="I65" s="421">
        <f t="shared" si="10"/>
        <v>2.2338985067700212E-2</v>
      </c>
    </row>
    <row r="66" spans="1:16" s="112" customFormat="1" ht="13.5">
      <c r="A66" s="113" t="s">
        <v>65</v>
      </c>
      <c r="B66" s="114">
        <v>14656</v>
      </c>
      <c r="C66" s="114">
        <v>65373499</v>
      </c>
      <c r="D66" s="114">
        <v>5943039</v>
      </c>
      <c r="E66" s="114">
        <f t="shared" si="7"/>
        <v>59430460</v>
      </c>
      <c r="F66" s="252">
        <f t="shared" si="8"/>
        <v>0.61306372279794563</v>
      </c>
      <c r="G66" s="115"/>
      <c r="H66" s="401">
        <f t="shared" si="9"/>
        <v>4952538.333333333</v>
      </c>
      <c r="I66" s="421">
        <f t="shared" si="10"/>
        <v>0.1247730465029156</v>
      </c>
      <c r="P66" s="401"/>
    </row>
    <row r="67" spans="1:16" s="112" customFormat="1" ht="13.5">
      <c r="A67" s="113" t="s">
        <v>66</v>
      </c>
      <c r="B67" s="114">
        <v>5685</v>
      </c>
      <c r="C67" s="114">
        <v>21837200</v>
      </c>
      <c r="D67" s="114">
        <v>1985194</v>
      </c>
      <c r="E67" s="114">
        <f t="shared" si="7"/>
        <v>19852006</v>
      </c>
      <c r="F67" s="252">
        <f t="shared" si="8"/>
        <v>0.58480715484492052</v>
      </c>
      <c r="G67" s="115"/>
      <c r="H67" s="401">
        <f t="shared" si="9"/>
        <v>1654333.8333333333</v>
      </c>
      <c r="I67" s="421">
        <f t="shared" si="10"/>
        <v>4.167888432655846E-2</v>
      </c>
      <c r="P67" s="401"/>
    </row>
    <row r="68" spans="1:16" s="112" customFormat="1" ht="13.5">
      <c r="A68" s="113" t="s">
        <v>67</v>
      </c>
      <c r="B68" s="114">
        <v>14900</v>
      </c>
      <c r="C68" s="114">
        <v>62329200</v>
      </c>
      <c r="D68" s="114">
        <v>5666280</v>
      </c>
      <c r="E68" s="114">
        <f t="shared" si="7"/>
        <v>56662920</v>
      </c>
      <c r="F68" s="252">
        <f t="shared" si="8"/>
        <v>0.89070600716349113</v>
      </c>
      <c r="G68" s="115"/>
      <c r="H68" s="401">
        <f t="shared" si="9"/>
        <v>4721910</v>
      </c>
      <c r="I68" s="421">
        <f t="shared" si="10"/>
        <v>0.11896265235286731</v>
      </c>
      <c r="P68" s="401"/>
    </row>
    <row r="69" spans="1:16" s="112" customFormat="1" ht="13.5">
      <c r="A69" s="113" t="s">
        <v>68</v>
      </c>
      <c r="B69" s="114">
        <v>30278</v>
      </c>
      <c r="C69" s="114">
        <v>130891500</v>
      </c>
      <c r="D69" s="114">
        <v>11897724</v>
      </c>
      <c r="E69" s="114">
        <f t="shared" si="7"/>
        <v>118993776</v>
      </c>
      <c r="F69" s="252">
        <f t="shared" si="8"/>
        <v>1.0549428943809622</v>
      </c>
      <c r="G69" s="115"/>
      <c r="H69" s="401">
        <f t="shared" si="9"/>
        <v>9916148</v>
      </c>
      <c r="I69" s="421">
        <f t="shared" si="10"/>
        <v>0.2498250214857082</v>
      </c>
      <c r="P69" s="401"/>
    </row>
    <row r="70" spans="1:16" s="112" customFormat="1" ht="13.5">
      <c r="A70" s="113" t="s">
        <v>69</v>
      </c>
      <c r="B70" s="114">
        <v>16689</v>
      </c>
      <c r="C70" s="114">
        <v>72135330</v>
      </c>
      <c r="D70" s="114">
        <v>6537156</v>
      </c>
      <c r="E70" s="114">
        <f t="shared" si="7"/>
        <v>65598174</v>
      </c>
      <c r="F70" s="252">
        <f t="shared" si="8"/>
        <v>0.27375550234975599</v>
      </c>
      <c r="G70" s="115"/>
      <c r="H70" s="401">
        <f t="shared" si="9"/>
        <v>5466514.5</v>
      </c>
      <c r="I70" s="421">
        <f t="shared" si="10"/>
        <v>0.13772203706665487</v>
      </c>
    </row>
    <row r="71" spans="1:16" s="112" customFormat="1" ht="13.5">
      <c r="A71" s="113" t="s">
        <v>70</v>
      </c>
      <c r="B71" s="114">
        <v>10629</v>
      </c>
      <c r="C71" s="114">
        <v>45919400</v>
      </c>
      <c r="D71" s="114">
        <v>4184666</v>
      </c>
      <c r="E71" s="114">
        <f t="shared" si="7"/>
        <v>41734734</v>
      </c>
      <c r="F71" s="252">
        <f t="shared" si="8"/>
        <v>0.52187254929917559</v>
      </c>
      <c r="G71" s="115"/>
      <c r="H71" s="401">
        <f t="shared" si="9"/>
        <v>3477894.5</v>
      </c>
      <c r="I71" s="421">
        <f t="shared" si="10"/>
        <v>8.7621228342651444E-2</v>
      </c>
    </row>
    <row r="72" spans="1:16" s="112" customFormat="1" ht="13.5">
      <c r="A72" s="116" t="s">
        <v>5</v>
      </c>
      <c r="B72" s="117">
        <f>SUM(B63:B71)</f>
        <v>125692</v>
      </c>
      <c r="C72" s="117">
        <f>SUM(C63:C71)</f>
        <v>523924229</v>
      </c>
      <c r="D72" s="117">
        <f>SUM(D63:D71)</f>
        <v>47615750</v>
      </c>
      <c r="E72" s="117">
        <f>SUM(E63:E71)</f>
        <v>476308479</v>
      </c>
      <c r="F72" s="253">
        <f t="shared" si="8"/>
        <v>0.86657561926560644</v>
      </c>
      <c r="G72" s="118"/>
    </row>
    <row r="73" spans="1:16" s="112" customFormat="1" ht="13.5">
      <c r="A73" s="141"/>
      <c r="B73" s="142"/>
      <c r="C73" s="142"/>
      <c r="D73" s="142"/>
      <c r="E73" s="142"/>
      <c r="F73" s="143"/>
      <c r="G73" s="144"/>
    </row>
    <row r="74" spans="1:16" s="112" customFormat="1" ht="13.5">
      <c r="A74" s="111" t="s">
        <v>422</v>
      </c>
    </row>
    <row r="75" spans="1:16" s="112" customFormat="1" ht="16.5" customHeight="1">
      <c r="A75" s="732" t="s">
        <v>57</v>
      </c>
      <c r="B75" s="732" t="s">
        <v>58</v>
      </c>
      <c r="C75" s="732" t="s">
        <v>59</v>
      </c>
      <c r="D75" s="732" t="s">
        <v>60</v>
      </c>
      <c r="E75" s="732" t="s">
        <v>61</v>
      </c>
      <c r="F75" s="735" t="s">
        <v>51</v>
      </c>
      <c r="G75" s="735" t="s">
        <v>52</v>
      </c>
      <c r="H75" s="740" t="s">
        <v>373</v>
      </c>
      <c r="K75" s="112" t="s">
        <v>903</v>
      </c>
    </row>
    <row r="76" spans="1:16" s="112" customFormat="1" ht="13.5">
      <c r="A76" s="732"/>
      <c r="B76" s="732"/>
      <c r="C76" s="732"/>
      <c r="D76" s="732"/>
      <c r="E76" s="732"/>
      <c r="F76" s="735"/>
      <c r="G76" s="735"/>
      <c r="H76" s="740"/>
    </row>
    <row r="77" spans="1:16" s="112" customFormat="1" ht="13.5">
      <c r="A77" s="113" t="s">
        <v>62</v>
      </c>
      <c r="B77" s="114">
        <v>18868</v>
      </c>
      <c r="C77" s="114">
        <v>83311330</v>
      </c>
      <c r="D77" s="114">
        <v>7570065</v>
      </c>
      <c r="E77" s="114">
        <v>75741265</v>
      </c>
      <c r="F77" s="252">
        <f>(E77/E63)-1</f>
        <v>0.51900490275011313</v>
      </c>
      <c r="G77" s="115"/>
      <c r="H77" s="401">
        <f>E77/12</f>
        <v>6311772.083333333</v>
      </c>
      <c r="I77" s="421">
        <f>E77/$E$72</f>
        <v>0.15901725108697887</v>
      </c>
      <c r="K77" s="421">
        <f>(E77/E21)-1</f>
        <v>-0.22369210113550708</v>
      </c>
      <c r="L77" s="593">
        <f>E77-E21</f>
        <v>-21824746</v>
      </c>
    </row>
    <row r="78" spans="1:16" s="112" customFormat="1" ht="13.5">
      <c r="A78" s="113" t="s">
        <v>63</v>
      </c>
      <c r="B78" s="114">
        <v>33666</v>
      </c>
      <c r="C78" s="114">
        <v>122123100</v>
      </c>
      <c r="D78" s="114">
        <v>11100644</v>
      </c>
      <c r="E78" s="114">
        <v>111022456</v>
      </c>
      <c r="F78" s="252">
        <f t="shared" ref="F78:F85" si="11">(E78/E64)-1</f>
        <v>1.0738782709326218</v>
      </c>
      <c r="G78" s="115"/>
      <c r="H78" s="401">
        <f t="shared" ref="H78:H86" si="12">E78/12</f>
        <v>9251871.333333334</v>
      </c>
      <c r="I78" s="421">
        <f t="shared" ref="I78:I86" si="13">E78/$E$72</f>
        <v>0.23308939667227718</v>
      </c>
      <c r="K78" s="568">
        <f t="shared" ref="K78:K85" si="14">(E78/E22)-1</f>
        <v>3.2719932200482305E-3</v>
      </c>
      <c r="L78" s="593">
        <f t="shared" ref="L78:L85" si="15">E78-E22</f>
        <v>362080</v>
      </c>
    </row>
    <row r="79" spans="1:16" s="112" customFormat="1" ht="13.5">
      <c r="A79" s="113" t="s">
        <v>64</v>
      </c>
      <c r="B79" s="114">
        <v>3383</v>
      </c>
      <c r="C79" s="114">
        <v>12601700</v>
      </c>
      <c r="D79" s="114">
        <v>1139707</v>
      </c>
      <c r="E79" s="114">
        <v>11461993</v>
      </c>
      <c r="F79" s="252">
        <f t="shared" si="11"/>
        <v>7.7229872837550451E-2</v>
      </c>
      <c r="G79" s="115"/>
      <c r="H79" s="401">
        <f t="shared" si="12"/>
        <v>955166.08333333337</v>
      </c>
      <c r="I79" s="421">
        <f t="shared" si="13"/>
        <v>2.4064222043798638E-2</v>
      </c>
      <c r="K79" s="421">
        <f t="shared" si="14"/>
        <v>0.31157305444633487</v>
      </c>
      <c r="L79" s="593">
        <f t="shared" si="15"/>
        <v>2722874</v>
      </c>
    </row>
    <row r="80" spans="1:16" s="112" customFormat="1" ht="13.5">
      <c r="A80" s="113" t="s">
        <v>65</v>
      </c>
      <c r="B80" s="114">
        <v>17016</v>
      </c>
      <c r="C80" s="114">
        <v>82568310</v>
      </c>
      <c r="D80" s="114">
        <v>7505427</v>
      </c>
      <c r="E80" s="114">
        <v>75062883</v>
      </c>
      <c r="F80" s="252">
        <f t="shared" si="11"/>
        <v>0.26303722030756616</v>
      </c>
      <c r="G80" s="115"/>
      <c r="H80" s="401">
        <f t="shared" si="12"/>
        <v>6255240.25</v>
      </c>
      <c r="I80" s="421">
        <f t="shared" si="13"/>
        <v>0.15759300182434921</v>
      </c>
      <c r="K80" s="421">
        <f t="shared" si="14"/>
        <v>-0.32226790533325689</v>
      </c>
      <c r="L80" s="593">
        <f t="shared" si="15"/>
        <v>-35693098</v>
      </c>
    </row>
    <row r="81" spans="1:12" s="112" customFormat="1" ht="13.5">
      <c r="A81" s="113" t="s">
        <v>66</v>
      </c>
      <c r="B81" s="114">
        <v>7464</v>
      </c>
      <c r="C81" s="114">
        <v>29288099</v>
      </c>
      <c r="D81" s="114">
        <v>2662550</v>
      </c>
      <c r="E81" s="114">
        <v>26625549</v>
      </c>
      <c r="F81" s="252">
        <f t="shared" si="11"/>
        <v>0.34120194201029364</v>
      </c>
      <c r="G81" s="115"/>
      <c r="H81" s="401">
        <f t="shared" si="12"/>
        <v>2218795.75</v>
      </c>
      <c r="I81" s="421">
        <f t="shared" si="13"/>
        <v>5.5899800599602596E-2</v>
      </c>
      <c r="K81" s="421">
        <f t="shared" si="14"/>
        <v>-0.23632845304932282</v>
      </c>
      <c r="L81" s="593">
        <f t="shared" si="15"/>
        <v>-8239635</v>
      </c>
    </row>
    <row r="82" spans="1:12" s="112" customFormat="1" ht="13.5">
      <c r="A82" s="113" t="s">
        <v>67</v>
      </c>
      <c r="B82" s="114">
        <v>18561</v>
      </c>
      <c r="C82" s="114">
        <v>79389900</v>
      </c>
      <c r="D82" s="114">
        <v>7217263</v>
      </c>
      <c r="E82" s="114">
        <v>72172637</v>
      </c>
      <c r="F82" s="252">
        <f t="shared" si="11"/>
        <v>0.27371898589059662</v>
      </c>
      <c r="G82" s="115"/>
      <c r="H82" s="401">
        <f t="shared" si="12"/>
        <v>6014386.416666667</v>
      </c>
      <c r="I82" s="421">
        <f t="shared" si="13"/>
        <v>0.15152498891374974</v>
      </c>
      <c r="K82" s="421">
        <f t="shared" si="14"/>
        <v>4.0602428109536071E-2</v>
      </c>
      <c r="L82" s="593">
        <f t="shared" si="15"/>
        <v>2816046</v>
      </c>
    </row>
    <row r="83" spans="1:12" s="112" customFormat="1" ht="13.5">
      <c r="A83" s="113" t="s">
        <v>68</v>
      </c>
      <c r="B83" s="114">
        <v>40091</v>
      </c>
      <c r="C83" s="114">
        <v>180219790</v>
      </c>
      <c r="D83" s="114">
        <v>16383198</v>
      </c>
      <c r="E83" s="114">
        <v>163836592</v>
      </c>
      <c r="F83" s="252">
        <f t="shared" si="11"/>
        <v>0.37685009676472481</v>
      </c>
      <c r="G83" s="115"/>
      <c r="H83" s="401">
        <f t="shared" si="12"/>
        <v>13653049.333333334</v>
      </c>
      <c r="I83" s="421">
        <f t="shared" si="13"/>
        <v>0.34397160500684681</v>
      </c>
      <c r="K83" s="421">
        <f t="shared" si="14"/>
        <v>0.26715249435579858</v>
      </c>
      <c r="L83" s="593">
        <f t="shared" si="15"/>
        <v>34541505</v>
      </c>
    </row>
    <row r="84" spans="1:12" s="112" customFormat="1" ht="13.5">
      <c r="A84" s="113" t="s">
        <v>69</v>
      </c>
      <c r="B84" s="114">
        <v>18302</v>
      </c>
      <c r="C84" s="114">
        <v>83933500</v>
      </c>
      <c r="D84" s="114">
        <v>7629911</v>
      </c>
      <c r="E84" s="114">
        <v>76303589</v>
      </c>
      <c r="F84" s="252">
        <f t="shared" si="11"/>
        <v>0.16319684447314042</v>
      </c>
      <c r="G84" s="115"/>
      <c r="H84" s="401">
        <f t="shared" si="12"/>
        <v>6358632.416666667</v>
      </c>
      <c r="I84" s="421">
        <f t="shared" si="13"/>
        <v>0.16019783893034581</v>
      </c>
      <c r="K84" s="421">
        <f t="shared" si="14"/>
        <v>0.46770502586270846</v>
      </c>
      <c r="L84" s="593">
        <f t="shared" si="15"/>
        <v>24315221</v>
      </c>
    </row>
    <row r="85" spans="1:12" s="112" customFormat="1" ht="13.5">
      <c r="A85" s="113" t="s">
        <v>70</v>
      </c>
      <c r="B85" s="114">
        <v>14381</v>
      </c>
      <c r="C85" s="114">
        <v>59572700</v>
      </c>
      <c r="D85" s="114">
        <v>5431147</v>
      </c>
      <c r="E85" s="114">
        <v>54141553</v>
      </c>
      <c r="F85" s="252">
        <f t="shared" si="11"/>
        <v>0.29727801787355346</v>
      </c>
      <c r="G85" s="115"/>
      <c r="H85" s="401">
        <f t="shared" si="12"/>
        <v>4511796.083333333</v>
      </c>
      <c r="I85" s="421">
        <f t="shared" si="13"/>
        <v>0.11366909342800088</v>
      </c>
      <c r="K85" s="421">
        <f t="shared" si="14"/>
        <v>0.71852768237288411</v>
      </c>
      <c r="L85" s="593">
        <f t="shared" si="15"/>
        <v>22636938</v>
      </c>
    </row>
    <row r="86" spans="1:12" s="112" customFormat="1" ht="13.5">
      <c r="A86" s="430" t="s">
        <v>432</v>
      </c>
      <c r="B86" s="431"/>
      <c r="C86" s="431"/>
      <c r="D86" s="431"/>
      <c r="E86" s="431">
        <v>5000000</v>
      </c>
      <c r="F86" s="254"/>
      <c r="G86" s="147"/>
      <c r="H86" s="401">
        <f t="shared" si="12"/>
        <v>416666.66666666669</v>
      </c>
      <c r="I86" s="569">
        <f t="shared" si="13"/>
        <v>1.0497398682671782E-2</v>
      </c>
      <c r="J86" s="568">
        <f>E86/E87</f>
        <v>7.4474746333689041E-3</v>
      </c>
      <c r="K86" s="421"/>
    </row>
    <row r="87" spans="1:12" s="112" customFormat="1" ht="13.5">
      <c r="A87" s="116" t="s">
        <v>5</v>
      </c>
      <c r="B87" s="117">
        <f>SUM(B77:B85)</f>
        <v>171732</v>
      </c>
      <c r="C87" s="117">
        <f>SUM(C77:C85)</f>
        <v>733008429</v>
      </c>
      <c r="D87" s="117">
        <f>SUM(D77:D85)</f>
        <v>66639912</v>
      </c>
      <c r="E87" s="117">
        <f>SUM(E77:E86)</f>
        <v>671368517</v>
      </c>
      <c r="F87" s="253">
        <f>(E87/E72)-1</f>
        <v>0.40952459718862144</v>
      </c>
      <c r="G87" s="118"/>
    </row>
    <row r="88" spans="1:12" s="124" customFormat="1" ht="13.5">
      <c r="A88" s="141"/>
      <c r="B88" s="142"/>
      <c r="C88" s="142"/>
      <c r="D88" s="142"/>
      <c r="E88" s="142">
        <f>E87-E72</f>
        <v>195060038</v>
      </c>
      <c r="F88" s="423"/>
      <c r="G88" s="144"/>
    </row>
    <row r="89" spans="1:12" s="112" customFormat="1" ht="13.5">
      <c r="A89" s="736" t="s">
        <v>71</v>
      </c>
      <c r="B89" s="736"/>
      <c r="C89" s="736"/>
      <c r="D89" s="736"/>
      <c r="E89" s="736"/>
      <c r="F89" s="736"/>
      <c r="G89" s="736"/>
    </row>
    <row r="90" spans="1:12" s="112" customFormat="1" ht="13.5"/>
    <row r="91" spans="1:12" s="112" customFormat="1" ht="13.5">
      <c r="A91" s="733" t="s">
        <v>72</v>
      </c>
      <c r="B91" s="733" t="s">
        <v>1</v>
      </c>
      <c r="C91" s="738" t="s">
        <v>2</v>
      </c>
      <c r="D91" s="738" t="s">
        <v>3</v>
      </c>
      <c r="E91" s="733" t="s">
        <v>4</v>
      </c>
      <c r="F91" s="734" t="s">
        <v>73</v>
      </c>
      <c r="G91" s="734" t="s">
        <v>52</v>
      </c>
    </row>
    <row r="92" spans="1:12" s="112" customFormat="1" ht="13.5">
      <c r="A92" s="733"/>
      <c r="B92" s="733"/>
      <c r="C92" s="739"/>
      <c r="D92" s="739"/>
      <c r="E92" s="733"/>
      <c r="F92" s="734"/>
      <c r="G92" s="734"/>
    </row>
    <row r="93" spans="1:12" s="112" customFormat="1" ht="16.5" customHeight="1">
      <c r="A93" s="145" t="s">
        <v>74</v>
      </c>
      <c r="B93" s="146">
        <f>B16</f>
        <v>193094</v>
      </c>
      <c r="C93" s="146">
        <f t="shared" ref="C93:D93" si="16">C16</f>
        <v>730638337</v>
      </c>
      <c r="D93" s="146">
        <f t="shared" si="16"/>
        <v>66421552</v>
      </c>
      <c r="E93" s="146">
        <f>E16</f>
        <v>663763877</v>
      </c>
      <c r="F93" s="147"/>
      <c r="G93" s="147"/>
    </row>
    <row r="94" spans="1:12" s="112" customFormat="1" ht="16.5" customHeight="1">
      <c r="A94" s="145" t="s">
        <v>75</v>
      </c>
      <c r="B94" s="146">
        <f>B30</f>
        <v>188367</v>
      </c>
      <c r="C94" s="146">
        <f t="shared" ref="C94:D94" si="17">C30</f>
        <v>709204311</v>
      </c>
      <c r="D94" s="146">
        <f t="shared" si="17"/>
        <v>64472980</v>
      </c>
      <c r="E94" s="146">
        <f>E30</f>
        <v>644731332</v>
      </c>
      <c r="F94" s="254">
        <f t="shared" ref="F94:F99" si="18">(E94/E93)-1</f>
        <v>-2.8673667940504743E-2</v>
      </c>
      <c r="G94" s="147"/>
      <c r="J94" s="124"/>
    </row>
    <row r="95" spans="1:12" s="112" customFormat="1" ht="16.5" customHeight="1">
      <c r="A95" s="121" t="s">
        <v>76</v>
      </c>
      <c r="B95" s="122">
        <f>B44</f>
        <v>63358</v>
      </c>
      <c r="C95" s="122">
        <f t="shared" ref="C95:D95" si="19">C44</f>
        <v>270594440</v>
      </c>
      <c r="D95" s="122">
        <f t="shared" si="19"/>
        <v>24599464</v>
      </c>
      <c r="E95" s="122">
        <f>E44</f>
        <v>245994976</v>
      </c>
      <c r="F95" s="255">
        <f t="shared" si="18"/>
        <v>-0.61845351111306002</v>
      </c>
      <c r="G95" s="123"/>
    </row>
    <row r="96" spans="1:12" s="112" customFormat="1" ht="16.5" customHeight="1">
      <c r="A96" s="145" t="s">
        <v>77</v>
      </c>
      <c r="B96" s="146">
        <f>B58</f>
        <v>66203</v>
      </c>
      <c r="C96" s="146">
        <f t="shared" ref="C96:D96" si="20">C58</f>
        <v>280689939</v>
      </c>
      <c r="D96" s="146">
        <f t="shared" si="20"/>
        <v>25512236</v>
      </c>
      <c r="E96" s="146">
        <f>E58</f>
        <v>255177703</v>
      </c>
      <c r="F96" s="254">
        <f t="shared" si="18"/>
        <v>3.732892089633566E-2</v>
      </c>
      <c r="G96" s="147"/>
    </row>
    <row r="97" spans="1:7" ht="16.5" customHeight="1">
      <c r="A97" s="369" t="s">
        <v>171</v>
      </c>
      <c r="B97" s="370">
        <f>B72</f>
        <v>125692</v>
      </c>
      <c r="C97" s="370">
        <f t="shared" ref="C97:D97" si="21">C72</f>
        <v>523924229</v>
      </c>
      <c r="D97" s="370">
        <f t="shared" si="21"/>
        <v>47615750</v>
      </c>
      <c r="E97" s="370">
        <f>E72</f>
        <v>476308479</v>
      </c>
      <c r="F97" s="254">
        <f t="shared" si="18"/>
        <v>0.86657561926560644</v>
      </c>
      <c r="G97" s="145"/>
    </row>
    <row r="98" spans="1:7">
      <c r="A98" s="369" t="s">
        <v>431</v>
      </c>
      <c r="B98" s="428">
        <v>171732</v>
      </c>
      <c r="C98" s="428">
        <v>733008429</v>
      </c>
      <c r="D98" s="428">
        <v>66639912</v>
      </c>
      <c r="E98" s="428">
        <f>E87</f>
        <v>671368517</v>
      </c>
      <c r="F98" s="254">
        <f t="shared" si="18"/>
        <v>0.40952459718862144</v>
      </c>
      <c r="G98" s="429" t="s">
        <v>433</v>
      </c>
    </row>
    <row r="99" spans="1:7">
      <c r="A99" s="432" t="s">
        <v>435</v>
      </c>
      <c r="B99" s="433"/>
      <c r="C99" s="434"/>
      <c r="D99" s="433"/>
      <c r="E99" s="435">
        <f>E98*103%</f>
        <v>691509572.50999999</v>
      </c>
      <c r="F99" s="436">
        <f t="shared" si="18"/>
        <v>3.0000000000000027E-2</v>
      </c>
      <c r="G99" s="437" t="s">
        <v>434</v>
      </c>
    </row>
    <row r="107" spans="1:7">
      <c r="E107" s="33"/>
    </row>
  </sheetData>
  <mergeCells count="57">
    <mergeCell ref="H47:H48"/>
    <mergeCell ref="H33:H34"/>
    <mergeCell ref="H19:H20"/>
    <mergeCell ref="H5:H6"/>
    <mergeCell ref="F75:F76"/>
    <mergeCell ref="G75:G76"/>
    <mergeCell ref="H75:H76"/>
    <mergeCell ref="H61:H62"/>
    <mergeCell ref="F61:F62"/>
    <mergeCell ref="G61:G62"/>
    <mergeCell ref="A75:A76"/>
    <mergeCell ref="B75:B76"/>
    <mergeCell ref="C75:C76"/>
    <mergeCell ref="D75:D76"/>
    <mergeCell ref="E75:E76"/>
    <mergeCell ref="A61:A62"/>
    <mergeCell ref="B61:B62"/>
    <mergeCell ref="C61:C62"/>
    <mergeCell ref="D61:D62"/>
    <mergeCell ref="E61:E62"/>
    <mergeCell ref="G91:G92"/>
    <mergeCell ref="G5:G6"/>
    <mergeCell ref="A89:G89"/>
    <mergeCell ref="A2:G2"/>
    <mergeCell ref="F47:F48"/>
    <mergeCell ref="F33:F34"/>
    <mergeCell ref="F19:F20"/>
    <mergeCell ref="F5:F6"/>
    <mergeCell ref="G19:G20"/>
    <mergeCell ref="G33:G34"/>
    <mergeCell ref="G47:G48"/>
    <mergeCell ref="C91:C92"/>
    <mergeCell ref="D91:D92"/>
    <mergeCell ref="E91:E92"/>
    <mergeCell ref="F91:F92"/>
    <mergeCell ref="A91:A92"/>
    <mergeCell ref="B91:B92"/>
    <mergeCell ref="E47:E48"/>
    <mergeCell ref="E19:E20"/>
    <mergeCell ref="B19:B20"/>
    <mergeCell ref="C19:C20"/>
    <mergeCell ref="D19:D20"/>
    <mergeCell ref="D33:D34"/>
    <mergeCell ref="C47:C48"/>
    <mergeCell ref="D47:D48"/>
    <mergeCell ref="E33:E34"/>
    <mergeCell ref="A33:A34"/>
    <mergeCell ref="A47:A48"/>
    <mergeCell ref="B47:B48"/>
    <mergeCell ref="B33:B34"/>
    <mergeCell ref="C33:C34"/>
    <mergeCell ref="E5:E6"/>
    <mergeCell ref="B5:B6"/>
    <mergeCell ref="C5:C6"/>
    <mergeCell ref="D5:D6"/>
    <mergeCell ref="A19:A20"/>
    <mergeCell ref="A5:A6"/>
  </mergeCells>
  <phoneticPr fontId="1" type="noConversion"/>
  <conditionalFormatting sqref="F21:F30 F35:F44 F49:F58 F93:F99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F63:F7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77:F8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scale="4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opLeftCell="B34" zoomScale="90" zoomScaleNormal="90" workbookViewId="0">
      <selection activeCell="R55" sqref="R55"/>
    </sheetView>
  </sheetViews>
  <sheetFormatPr defaultRowHeight="12"/>
  <cols>
    <col min="1" max="1" width="9" style="129"/>
    <col min="2" max="2" width="18.375" style="129" customWidth="1"/>
    <col min="3" max="12" width="10.625" style="4" customWidth="1"/>
    <col min="13" max="14" width="10.625" style="129" customWidth="1"/>
    <col min="15" max="15" width="14.75" style="129" customWidth="1"/>
    <col min="16" max="16" width="13.375" style="129" bestFit="1" customWidth="1"/>
    <col min="17" max="17" width="9" style="129"/>
    <col min="18" max="18" width="9.75" style="129" bestFit="1" customWidth="1"/>
    <col min="19" max="19" width="11.5" style="129" bestFit="1" customWidth="1"/>
    <col min="20" max="16384" width="9" style="129"/>
  </cols>
  <sheetData>
    <row r="1" spans="1:16" ht="12.6" customHeight="1" thickBot="1"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ht="12.6" customHeight="1" thickBot="1">
      <c r="A2" s="177"/>
      <c r="B2" s="199"/>
      <c r="C2" s="200" t="s">
        <v>172</v>
      </c>
      <c r="D2" s="201" t="s">
        <v>173</v>
      </c>
      <c r="E2" s="201" t="s">
        <v>17</v>
      </c>
      <c r="F2" s="201" t="s">
        <v>18</v>
      </c>
      <c r="G2" s="201" t="s">
        <v>19</v>
      </c>
      <c r="H2" s="201" t="s">
        <v>20</v>
      </c>
      <c r="I2" s="201" t="s">
        <v>21</v>
      </c>
      <c r="J2" s="201" t="s">
        <v>22</v>
      </c>
      <c r="K2" s="201" t="s">
        <v>23</v>
      </c>
      <c r="L2" s="201" t="s">
        <v>24</v>
      </c>
      <c r="M2" s="201" t="s">
        <v>25</v>
      </c>
      <c r="N2" s="202" t="s">
        <v>26</v>
      </c>
      <c r="O2" s="203" t="s">
        <v>175</v>
      </c>
      <c r="P2" s="202" t="s">
        <v>181</v>
      </c>
    </row>
    <row r="3" spans="1:16" ht="12.6" customHeight="1">
      <c r="A3" s="741" t="s">
        <v>178</v>
      </c>
      <c r="B3" s="198" t="s">
        <v>14</v>
      </c>
      <c r="C3" s="158">
        <v>0</v>
      </c>
      <c r="D3" s="152">
        <v>0</v>
      </c>
      <c r="E3" s="152">
        <v>0</v>
      </c>
      <c r="F3" s="152">
        <v>0</v>
      </c>
      <c r="G3" s="152">
        <v>0</v>
      </c>
      <c r="H3" s="152">
        <v>0</v>
      </c>
      <c r="I3" s="152">
        <v>0</v>
      </c>
      <c r="J3" s="152">
        <v>0</v>
      </c>
      <c r="K3" s="153">
        <v>422455</v>
      </c>
      <c r="L3" s="153">
        <v>2023818</v>
      </c>
      <c r="M3" s="154">
        <v>2974091</v>
      </c>
      <c r="N3" s="155">
        <v>2248182</v>
      </c>
      <c r="O3" s="178">
        <v>7668546</v>
      </c>
      <c r="P3" s="216">
        <f>O3/$O$12</f>
        <v>1.1553123430969715E-2</v>
      </c>
    </row>
    <row r="4" spans="1:16" ht="12.6" customHeight="1">
      <c r="A4" s="741"/>
      <c r="B4" s="168" t="s">
        <v>6</v>
      </c>
      <c r="C4" s="159">
        <v>5900000</v>
      </c>
      <c r="D4" s="148">
        <v>5138819</v>
      </c>
      <c r="E4" s="148">
        <v>10831092</v>
      </c>
      <c r="F4" s="148">
        <v>13888821</v>
      </c>
      <c r="G4" s="148">
        <v>9359183</v>
      </c>
      <c r="H4" s="148">
        <v>9881184</v>
      </c>
      <c r="I4" s="148">
        <v>8648911</v>
      </c>
      <c r="J4" s="148">
        <v>8986275</v>
      </c>
      <c r="K4" s="148">
        <v>9547093</v>
      </c>
      <c r="L4" s="148">
        <v>13046275</v>
      </c>
      <c r="M4" s="149">
        <v>10106819</v>
      </c>
      <c r="N4" s="156">
        <v>9149637</v>
      </c>
      <c r="O4" s="179">
        <v>114484110</v>
      </c>
      <c r="P4" s="217">
        <f t="shared" ref="P4:P11" si="0">O4/$O$12</f>
        <v>0.17247716238706975</v>
      </c>
    </row>
    <row r="5" spans="1:16" ht="12.6" customHeight="1">
      <c r="A5" s="741"/>
      <c r="B5" s="168" t="s">
        <v>7</v>
      </c>
      <c r="C5" s="159">
        <v>2404000</v>
      </c>
      <c r="D5" s="148">
        <v>869545</v>
      </c>
      <c r="E5" s="148">
        <v>14568638</v>
      </c>
      <c r="F5" s="148">
        <v>13210184</v>
      </c>
      <c r="G5" s="148">
        <v>12868912</v>
      </c>
      <c r="H5" s="148">
        <v>9056821</v>
      </c>
      <c r="I5" s="148">
        <v>4111819</v>
      </c>
      <c r="J5" s="148">
        <v>749727</v>
      </c>
      <c r="K5" s="148">
        <v>13849096</v>
      </c>
      <c r="L5" s="148">
        <v>15436821</v>
      </c>
      <c r="M5" s="149">
        <v>14810001</v>
      </c>
      <c r="N5" s="156">
        <v>9176727</v>
      </c>
      <c r="O5" s="179">
        <v>111112293</v>
      </c>
      <c r="P5" s="217">
        <f t="shared" si="0"/>
        <v>0.1673973183087214</v>
      </c>
    </row>
    <row r="6" spans="1:16" ht="12.6" customHeight="1">
      <c r="A6" s="741"/>
      <c r="B6" s="168" t="s">
        <v>8</v>
      </c>
      <c r="C6" s="159">
        <v>0</v>
      </c>
      <c r="D6" s="148">
        <v>250364</v>
      </c>
      <c r="E6" s="148">
        <v>2371637</v>
      </c>
      <c r="F6" s="148">
        <v>2566818</v>
      </c>
      <c r="G6" s="148">
        <v>1412546</v>
      </c>
      <c r="H6" s="148">
        <v>1281000</v>
      </c>
      <c r="I6" s="148">
        <v>191636</v>
      </c>
      <c r="J6" s="148">
        <v>285364</v>
      </c>
      <c r="K6" s="148">
        <v>1039727</v>
      </c>
      <c r="L6" s="148">
        <v>453364</v>
      </c>
      <c r="M6" s="149">
        <v>254364</v>
      </c>
      <c r="N6" s="156">
        <v>506364</v>
      </c>
      <c r="O6" s="179">
        <v>10613183</v>
      </c>
      <c r="P6" s="217">
        <f t="shared" si="0"/>
        <v>1.5989395277079835E-2</v>
      </c>
    </row>
    <row r="7" spans="1:16" ht="12.6" customHeight="1">
      <c r="A7" s="741"/>
      <c r="B7" s="168" t="s">
        <v>9</v>
      </c>
      <c r="C7" s="159">
        <v>6678091</v>
      </c>
      <c r="D7" s="148">
        <v>5621363</v>
      </c>
      <c r="E7" s="148">
        <v>12210001</v>
      </c>
      <c r="F7" s="148">
        <v>17024275</v>
      </c>
      <c r="G7" s="148">
        <v>13824911</v>
      </c>
      <c r="H7" s="148">
        <v>10871184</v>
      </c>
      <c r="I7" s="148">
        <v>8590635</v>
      </c>
      <c r="J7" s="148">
        <v>8928002</v>
      </c>
      <c r="K7" s="148">
        <v>10272820</v>
      </c>
      <c r="L7" s="148">
        <v>12716365</v>
      </c>
      <c r="M7" s="149">
        <v>10348037</v>
      </c>
      <c r="N7" s="156">
        <v>9150728</v>
      </c>
      <c r="O7" s="179">
        <v>126236412</v>
      </c>
      <c r="P7" s="217">
        <f t="shared" si="0"/>
        <v>0.19018270860196268</v>
      </c>
    </row>
    <row r="8" spans="1:16" ht="12.6" customHeight="1">
      <c r="A8" s="741"/>
      <c r="B8" s="168" t="s">
        <v>10</v>
      </c>
      <c r="C8" s="159">
        <v>2216545</v>
      </c>
      <c r="D8" s="148">
        <v>787272</v>
      </c>
      <c r="E8" s="148">
        <v>3483274</v>
      </c>
      <c r="F8" s="148">
        <v>3886092</v>
      </c>
      <c r="G8" s="148">
        <v>3710366</v>
      </c>
      <c r="H8" s="148">
        <v>3292275</v>
      </c>
      <c r="I8" s="148">
        <v>2191182</v>
      </c>
      <c r="J8" s="148">
        <v>2535728</v>
      </c>
      <c r="K8" s="148">
        <v>3599820</v>
      </c>
      <c r="L8" s="148">
        <v>4418093</v>
      </c>
      <c r="M8" s="149">
        <v>4168546</v>
      </c>
      <c r="N8" s="156">
        <v>3095910</v>
      </c>
      <c r="O8" s="179">
        <v>37385103</v>
      </c>
      <c r="P8" s="217">
        <f t="shared" si="0"/>
        <v>5.6322894775426291E-2</v>
      </c>
    </row>
    <row r="9" spans="1:16" ht="12.6" customHeight="1">
      <c r="A9" s="741"/>
      <c r="B9" s="168" t="s">
        <v>11</v>
      </c>
      <c r="C9" s="159">
        <v>3028182</v>
      </c>
      <c r="D9" s="148">
        <v>2399000</v>
      </c>
      <c r="E9" s="148">
        <v>8844457</v>
      </c>
      <c r="F9" s="148">
        <v>9248640</v>
      </c>
      <c r="G9" s="148">
        <v>7823821</v>
      </c>
      <c r="H9" s="148">
        <v>6440729</v>
      </c>
      <c r="I9" s="148">
        <v>3876455</v>
      </c>
      <c r="J9" s="148">
        <v>3610364</v>
      </c>
      <c r="K9" s="148">
        <v>7245912</v>
      </c>
      <c r="L9" s="148">
        <v>8789829</v>
      </c>
      <c r="M9" s="149">
        <v>8010547</v>
      </c>
      <c r="N9" s="156">
        <v>6211092</v>
      </c>
      <c r="O9" s="179">
        <v>75529029</v>
      </c>
      <c r="P9" s="217">
        <f t="shared" si="0"/>
        <v>0.11378900180794262</v>
      </c>
    </row>
    <row r="10" spans="1:16" ht="12.6" customHeight="1">
      <c r="A10" s="741"/>
      <c r="B10" s="168" t="s">
        <v>12</v>
      </c>
      <c r="C10" s="159">
        <v>4500000</v>
      </c>
      <c r="D10" s="148">
        <v>4180091</v>
      </c>
      <c r="E10" s="148">
        <v>14631093</v>
      </c>
      <c r="F10" s="148">
        <v>16517367</v>
      </c>
      <c r="G10" s="148">
        <v>15022276</v>
      </c>
      <c r="H10" s="148">
        <v>11682457</v>
      </c>
      <c r="I10" s="148">
        <v>5102455</v>
      </c>
      <c r="J10" s="148">
        <v>5120819</v>
      </c>
      <c r="K10" s="148">
        <v>11787184</v>
      </c>
      <c r="L10" s="148">
        <v>17073547</v>
      </c>
      <c r="M10" s="149">
        <v>14482274</v>
      </c>
      <c r="N10" s="156">
        <v>9528092</v>
      </c>
      <c r="O10" s="179">
        <v>129627654</v>
      </c>
      <c r="P10" s="217">
        <f t="shared" si="0"/>
        <v>0.19529181760519335</v>
      </c>
    </row>
    <row r="11" spans="1:16" ht="12.6" customHeight="1" thickBot="1">
      <c r="A11" s="741"/>
      <c r="B11" s="169" t="s">
        <v>13</v>
      </c>
      <c r="C11" s="160">
        <v>3190454</v>
      </c>
      <c r="D11" s="151">
        <v>3352091</v>
      </c>
      <c r="E11" s="151">
        <v>6012182</v>
      </c>
      <c r="F11" s="151">
        <v>5129728</v>
      </c>
      <c r="G11" s="151">
        <v>4861546</v>
      </c>
      <c r="H11" s="151">
        <v>4382546</v>
      </c>
      <c r="I11" s="151">
        <v>4567091</v>
      </c>
      <c r="J11" s="151">
        <v>3721819</v>
      </c>
      <c r="K11" s="151">
        <v>3395182</v>
      </c>
      <c r="L11" s="151">
        <v>4354273</v>
      </c>
      <c r="M11" s="150">
        <v>4194727</v>
      </c>
      <c r="N11" s="157">
        <v>3945909</v>
      </c>
      <c r="O11" s="180">
        <v>51107547</v>
      </c>
      <c r="P11" s="218">
        <f t="shared" si="0"/>
        <v>7.6996577805634334E-2</v>
      </c>
    </row>
    <row r="12" spans="1:16" ht="12.6" customHeight="1">
      <c r="A12" s="741"/>
      <c r="B12" s="170" t="s">
        <v>174</v>
      </c>
      <c r="C12" s="171">
        <f>SUM(C3:C11)</f>
        <v>27917272</v>
      </c>
      <c r="D12" s="172">
        <f t="shared" ref="D12:M12" si="1">SUM(D3:D11)</f>
        <v>22598545</v>
      </c>
      <c r="E12" s="172">
        <f t="shared" si="1"/>
        <v>72952374</v>
      </c>
      <c r="F12" s="172">
        <f t="shared" si="1"/>
        <v>81471925</v>
      </c>
      <c r="G12" s="172">
        <f t="shared" si="1"/>
        <v>68883561</v>
      </c>
      <c r="H12" s="172">
        <f t="shared" si="1"/>
        <v>56888196</v>
      </c>
      <c r="I12" s="172">
        <f t="shared" si="1"/>
        <v>37280184</v>
      </c>
      <c r="J12" s="172">
        <f t="shared" si="1"/>
        <v>33938098</v>
      </c>
      <c r="K12" s="172">
        <f t="shared" si="1"/>
        <v>61159289</v>
      </c>
      <c r="L12" s="172">
        <f t="shared" si="1"/>
        <v>78312385</v>
      </c>
      <c r="M12" s="172">
        <f t="shared" si="1"/>
        <v>69349406</v>
      </c>
      <c r="N12" s="174">
        <f>SUM(N3:N11)</f>
        <v>53012641</v>
      </c>
      <c r="O12" s="181">
        <v>663763877</v>
      </c>
      <c r="P12" s="183">
        <f>SUM(P3:P11)</f>
        <v>0.99999999999999989</v>
      </c>
    </row>
    <row r="13" spans="1:16" ht="12.6" customHeight="1" thickBot="1">
      <c r="A13" s="742"/>
      <c r="B13" s="173" t="s">
        <v>180</v>
      </c>
      <c r="C13" s="210">
        <f>C12/$O$12</f>
        <v>4.2059040823639156E-2</v>
      </c>
      <c r="D13" s="211">
        <f t="shared" ref="D13:N13" si="2">D12/$O$12</f>
        <v>3.4046060328166969E-2</v>
      </c>
      <c r="E13" s="211">
        <f t="shared" si="2"/>
        <v>0.10990711686469193</v>
      </c>
      <c r="F13" s="211">
        <f t="shared" si="2"/>
        <v>0.1227423302518766</v>
      </c>
      <c r="G13" s="211">
        <f t="shared" si="2"/>
        <v>0.10377720660445039</v>
      </c>
      <c r="H13" s="211">
        <f t="shared" si="2"/>
        <v>8.5705471435288727E-2</v>
      </c>
      <c r="I13" s="211">
        <f t="shared" si="2"/>
        <v>5.6164828023625636E-2</v>
      </c>
      <c r="J13" s="211">
        <f t="shared" si="2"/>
        <v>5.1129775475865495E-2</v>
      </c>
      <c r="K13" s="211">
        <f t="shared" si="2"/>
        <v>9.214012861986462E-2</v>
      </c>
      <c r="L13" s="211">
        <f t="shared" si="2"/>
        <v>0.1179822941765781</v>
      </c>
      <c r="M13" s="211">
        <f t="shared" si="2"/>
        <v>0.10447902997288296</v>
      </c>
      <c r="N13" s="212">
        <f t="shared" si="2"/>
        <v>7.9866715916509567E-2</v>
      </c>
      <c r="O13" s="182">
        <f>SUM(C13:N13)</f>
        <v>0.99999999849344023</v>
      </c>
      <c r="P13" s="184"/>
    </row>
    <row r="14" spans="1:16" ht="12.6" customHeight="1">
      <c r="A14" s="743" t="s">
        <v>176</v>
      </c>
      <c r="B14" s="161" t="s">
        <v>14</v>
      </c>
      <c r="C14" s="153">
        <v>1000091</v>
      </c>
      <c r="D14" s="153">
        <v>2166818</v>
      </c>
      <c r="E14" s="153">
        <v>3549455</v>
      </c>
      <c r="F14" s="153">
        <v>3485728</v>
      </c>
      <c r="G14" s="153">
        <v>3722828</v>
      </c>
      <c r="H14" s="153">
        <v>2134001</v>
      </c>
      <c r="I14" s="153">
        <v>1188909</v>
      </c>
      <c r="J14" s="153">
        <v>1874364</v>
      </c>
      <c r="K14" s="153">
        <v>3686728</v>
      </c>
      <c r="L14" s="153">
        <v>3008455</v>
      </c>
      <c r="M14" s="153">
        <v>3109337</v>
      </c>
      <c r="N14" s="153">
        <v>2577900</v>
      </c>
      <c r="O14" s="178">
        <v>31504615</v>
      </c>
      <c r="P14" s="219">
        <f>O14/$O$23</f>
        <v>4.8864718428171569E-2</v>
      </c>
    </row>
    <row r="15" spans="1:16" ht="12.6" customHeight="1">
      <c r="A15" s="744"/>
      <c r="B15" s="162" t="s">
        <v>6</v>
      </c>
      <c r="C15" s="148">
        <v>5989455</v>
      </c>
      <c r="D15" s="148">
        <v>5601819</v>
      </c>
      <c r="E15" s="148">
        <v>9677183</v>
      </c>
      <c r="F15" s="148">
        <v>13825003</v>
      </c>
      <c r="G15" s="148">
        <v>9554993</v>
      </c>
      <c r="H15" s="148">
        <v>9656730</v>
      </c>
      <c r="I15" s="148">
        <v>5227637</v>
      </c>
      <c r="J15" s="148">
        <v>5364729</v>
      </c>
      <c r="K15" s="148">
        <v>8120184</v>
      </c>
      <c r="L15" s="148">
        <v>10185639</v>
      </c>
      <c r="M15" s="148">
        <v>7366566</v>
      </c>
      <c r="N15" s="148">
        <v>6996073</v>
      </c>
      <c r="O15" s="179">
        <v>97566011</v>
      </c>
      <c r="P15" s="217">
        <f t="shared" ref="P15:P22" si="3">O15/$O$23</f>
        <v>0.1513281674978377</v>
      </c>
    </row>
    <row r="16" spans="1:16" ht="12.6" customHeight="1">
      <c r="A16" s="744"/>
      <c r="B16" s="162" t="s">
        <v>7</v>
      </c>
      <c r="C16" s="148">
        <v>1893273</v>
      </c>
      <c r="D16" s="148">
        <v>1169182</v>
      </c>
      <c r="E16" s="148">
        <v>14656729</v>
      </c>
      <c r="F16" s="148">
        <v>16720640</v>
      </c>
      <c r="G16" s="148">
        <v>15339459</v>
      </c>
      <c r="H16" s="148">
        <v>9491822</v>
      </c>
      <c r="I16" s="148">
        <v>3038729</v>
      </c>
      <c r="J16" s="148">
        <v>1698000</v>
      </c>
      <c r="K16" s="148">
        <v>13031915</v>
      </c>
      <c r="L16" s="148">
        <v>13323732</v>
      </c>
      <c r="M16" s="148">
        <v>12230830</v>
      </c>
      <c r="N16" s="148">
        <v>8066065</v>
      </c>
      <c r="O16" s="179">
        <v>110660376</v>
      </c>
      <c r="P16" s="217">
        <f t="shared" si="3"/>
        <v>0.17163796841813794</v>
      </c>
    </row>
    <row r="17" spans="1:19" ht="12.6" customHeight="1">
      <c r="A17" s="744"/>
      <c r="B17" s="162" t="s">
        <v>8</v>
      </c>
      <c r="C17" s="148">
        <v>202545</v>
      </c>
      <c r="D17" s="148">
        <v>189727</v>
      </c>
      <c r="E17" s="148">
        <v>1534000</v>
      </c>
      <c r="F17" s="148">
        <v>1834091</v>
      </c>
      <c r="G17" s="148">
        <v>1376818</v>
      </c>
      <c r="H17" s="148">
        <v>826909</v>
      </c>
      <c r="I17" s="148">
        <v>213636</v>
      </c>
      <c r="J17" s="148">
        <v>133455</v>
      </c>
      <c r="K17" s="148">
        <v>742909</v>
      </c>
      <c r="L17" s="148">
        <v>655364</v>
      </c>
      <c r="M17" s="148">
        <v>492391</v>
      </c>
      <c r="N17" s="148">
        <v>537273</v>
      </c>
      <c r="O17" s="179">
        <v>8739119</v>
      </c>
      <c r="P17" s="217">
        <f t="shared" si="3"/>
        <v>1.3554667760430791E-2</v>
      </c>
    </row>
    <row r="18" spans="1:19" ht="12.6" customHeight="1">
      <c r="A18" s="744"/>
      <c r="B18" s="162" t="s">
        <v>9</v>
      </c>
      <c r="C18" s="148">
        <v>3586091</v>
      </c>
      <c r="D18" s="148">
        <v>3518364</v>
      </c>
      <c r="E18" s="148">
        <v>12190819</v>
      </c>
      <c r="F18" s="148">
        <v>22261366</v>
      </c>
      <c r="G18" s="148">
        <v>13211648</v>
      </c>
      <c r="H18" s="148">
        <v>8831002</v>
      </c>
      <c r="I18" s="148">
        <v>5748183</v>
      </c>
      <c r="J18" s="148">
        <v>5816910</v>
      </c>
      <c r="K18" s="148">
        <v>10120730</v>
      </c>
      <c r="L18" s="148">
        <v>10186639</v>
      </c>
      <c r="M18" s="148">
        <v>9026001</v>
      </c>
      <c r="N18" s="148">
        <v>6258228</v>
      </c>
      <c r="O18" s="179">
        <v>110755981</v>
      </c>
      <c r="P18" s="217">
        <f t="shared" si="3"/>
        <v>0.17178625499155981</v>
      </c>
    </row>
    <row r="19" spans="1:19" ht="12.6" customHeight="1">
      <c r="A19" s="744"/>
      <c r="B19" s="162" t="s">
        <v>10</v>
      </c>
      <c r="C19" s="148">
        <v>2273363</v>
      </c>
      <c r="D19" s="148">
        <v>1792364</v>
      </c>
      <c r="E19" s="148">
        <v>3154173</v>
      </c>
      <c r="F19" s="148">
        <v>3479638</v>
      </c>
      <c r="G19" s="148">
        <v>3593184</v>
      </c>
      <c r="H19" s="148">
        <v>2829001</v>
      </c>
      <c r="I19" s="148">
        <v>1665091</v>
      </c>
      <c r="J19" s="148">
        <v>1897455</v>
      </c>
      <c r="K19" s="148">
        <v>3548456</v>
      </c>
      <c r="L19" s="148">
        <v>4069456</v>
      </c>
      <c r="M19" s="148">
        <v>3813183</v>
      </c>
      <c r="N19" s="148">
        <v>2749819</v>
      </c>
      <c r="O19" s="179">
        <v>34865184</v>
      </c>
      <c r="P19" s="217">
        <f t="shared" si="3"/>
        <v>5.4077074076492995E-2</v>
      </c>
    </row>
    <row r="20" spans="1:19" ht="12.6" customHeight="1">
      <c r="A20" s="744"/>
      <c r="B20" s="162" t="s">
        <v>11</v>
      </c>
      <c r="C20" s="148">
        <v>2439727</v>
      </c>
      <c r="D20" s="148">
        <v>477636</v>
      </c>
      <c r="E20" s="148">
        <v>8827547</v>
      </c>
      <c r="F20" s="148">
        <v>10280368</v>
      </c>
      <c r="G20" s="148">
        <v>7343276</v>
      </c>
      <c r="H20" s="148">
        <v>5466639</v>
      </c>
      <c r="I20" s="148">
        <v>2786637</v>
      </c>
      <c r="J20" s="148">
        <v>2534001</v>
      </c>
      <c r="K20" s="148">
        <v>8264277</v>
      </c>
      <c r="L20" s="148">
        <v>8237186</v>
      </c>
      <c r="M20" s="148">
        <v>7025666</v>
      </c>
      <c r="N20" s="148">
        <v>5673629</v>
      </c>
      <c r="O20" s="179">
        <v>69356591</v>
      </c>
      <c r="P20" s="217">
        <f t="shared" si="3"/>
        <v>0.10757440744325421</v>
      </c>
    </row>
    <row r="21" spans="1:19" ht="12.6" customHeight="1">
      <c r="A21" s="744"/>
      <c r="B21" s="162" t="s">
        <v>12</v>
      </c>
      <c r="C21" s="148">
        <v>4803001</v>
      </c>
      <c r="D21" s="148">
        <v>3978091</v>
      </c>
      <c r="E21" s="148">
        <v>15123002</v>
      </c>
      <c r="F21" s="148">
        <v>16961366</v>
      </c>
      <c r="G21" s="148">
        <v>16150440</v>
      </c>
      <c r="H21" s="148">
        <v>10080638</v>
      </c>
      <c r="I21" s="148">
        <v>3792182</v>
      </c>
      <c r="J21" s="148">
        <v>4926546</v>
      </c>
      <c r="K21" s="148">
        <v>14371458</v>
      </c>
      <c r="L21" s="148">
        <v>15772731</v>
      </c>
      <c r="M21" s="148">
        <v>13090465</v>
      </c>
      <c r="N21" s="148">
        <v>10245165</v>
      </c>
      <c r="O21" s="179">
        <v>129295087</v>
      </c>
      <c r="P21" s="217">
        <f t="shared" si="3"/>
        <v>0.20054103249320601</v>
      </c>
    </row>
    <row r="22" spans="1:19" ht="12.6" customHeight="1" thickBot="1">
      <c r="A22" s="744"/>
      <c r="B22" s="165" t="s">
        <v>13</v>
      </c>
      <c r="C22" s="151">
        <v>2627000</v>
      </c>
      <c r="D22" s="151">
        <v>2947909</v>
      </c>
      <c r="E22" s="151">
        <v>5570000</v>
      </c>
      <c r="F22" s="151">
        <v>5869909</v>
      </c>
      <c r="G22" s="151">
        <v>5549546</v>
      </c>
      <c r="H22" s="151">
        <v>3881637</v>
      </c>
      <c r="I22" s="151">
        <v>3491182</v>
      </c>
      <c r="J22" s="151">
        <v>3230637</v>
      </c>
      <c r="K22" s="151">
        <v>4620819</v>
      </c>
      <c r="L22" s="151">
        <v>4865819</v>
      </c>
      <c r="M22" s="151">
        <v>4580819</v>
      </c>
      <c r="N22" s="151">
        <v>4753091</v>
      </c>
      <c r="O22" s="180">
        <v>51988368</v>
      </c>
      <c r="P22" s="220">
        <f t="shared" si="3"/>
        <v>8.0635708890909E-2</v>
      </c>
    </row>
    <row r="23" spans="1:19" ht="12.6" customHeight="1">
      <c r="A23" s="741"/>
      <c r="B23" s="187" t="s">
        <v>174</v>
      </c>
      <c r="C23" s="188">
        <f>SUM(C14:C22)</f>
        <v>24814546</v>
      </c>
      <c r="D23" s="189">
        <f t="shared" ref="D23" si="4">SUM(D14:D22)</f>
        <v>21841910</v>
      </c>
      <c r="E23" s="189">
        <f t="shared" ref="E23" si="5">SUM(E14:E22)</f>
        <v>74282908</v>
      </c>
      <c r="F23" s="189">
        <f t="shared" ref="F23" si="6">SUM(F14:F22)</f>
        <v>94718109</v>
      </c>
      <c r="G23" s="189">
        <f t="shared" ref="G23" si="7">SUM(G14:G22)</f>
        <v>75842192</v>
      </c>
      <c r="H23" s="189">
        <f t="shared" ref="H23" si="8">SUM(H14:H22)</f>
        <v>53198379</v>
      </c>
      <c r="I23" s="189">
        <f t="shared" ref="I23" si="9">SUM(I14:I22)</f>
        <v>27152186</v>
      </c>
      <c r="J23" s="189">
        <f t="shared" ref="J23" si="10">SUM(J14:J22)</f>
        <v>27476097</v>
      </c>
      <c r="K23" s="189">
        <f t="shared" ref="K23" si="11">SUM(K14:K22)</f>
        <v>66507476</v>
      </c>
      <c r="L23" s="189">
        <f t="shared" ref="L23" si="12">SUM(L14:L22)</f>
        <v>70305021</v>
      </c>
      <c r="M23" s="189">
        <f t="shared" ref="M23" si="13">SUM(M14:M22)</f>
        <v>60735258</v>
      </c>
      <c r="N23" s="190">
        <f>SUM(N14:N22)</f>
        <v>47857243</v>
      </c>
      <c r="O23" s="191">
        <v>644731332</v>
      </c>
      <c r="P23" s="185">
        <f>SUM(P14:P22)</f>
        <v>0.99999999999999989</v>
      </c>
      <c r="S23" s="175"/>
    </row>
    <row r="24" spans="1:19" ht="12.6" customHeight="1" thickBot="1">
      <c r="A24" s="742"/>
      <c r="B24" s="192" t="s">
        <v>180</v>
      </c>
      <c r="C24" s="213">
        <f>C23/$O$23</f>
        <v>3.8488196196427446E-2</v>
      </c>
      <c r="D24" s="213">
        <f t="shared" ref="D24:N24" si="14">D23/$O$23</f>
        <v>3.3877537690381702E-2</v>
      </c>
      <c r="E24" s="213">
        <f t="shared" si="14"/>
        <v>0.11521529094850938</v>
      </c>
      <c r="F24" s="213">
        <f t="shared" si="14"/>
        <v>0.1469109756248049</v>
      </c>
      <c r="G24" s="213">
        <f t="shared" si="14"/>
        <v>0.11763379292384071</v>
      </c>
      <c r="H24" s="213">
        <f t="shared" si="14"/>
        <v>8.2512476685404831E-2</v>
      </c>
      <c r="I24" s="213">
        <f t="shared" si="14"/>
        <v>4.211395453013287E-2</v>
      </c>
      <c r="J24" s="213">
        <f t="shared" si="14"/>
        <v>4.2616351395188594E-2</v>
      </c>
      <c r="K24" s="213">
        <f t="shared" si="14"/>
        <v>0.10315533416638731</v>
      </c>
      <c r="L24" s="213">
        <f t="shared" si="14"/>
        <v>0.10904545430095523</v>
      </c>
      <c r="M24" s="213">
        <f t="shared" si="14"/>
        <v>9.4202429733940704E-2</v>
      </c>
      <c r="N24" s="214">
        <f t="shared" si="14"/>
        <v>7.4228194946790643E-2</v>
      </c>
      <c r="O24" s="193">
        <f>SUM(C24:N24)</f>
        <v>0.99999998914276433</v>
      </c>
      <c r="P24" s="186"/>
    </row>
    <row r="25" spans="1:19" ht="12.6" customHeight="1">
      <c r="A25" s="743" t="s">
        <v>177</v>
      </c>
      <c r="B25" s="161" t="s">
        <v>14</v>
      </c>
      <c r="C25" s="197">
        <v>1139636</v>
      </c>
      <c r="D25" s="197">
        <v>1192637</v>
      </c>
      <c r="E25" s="197">
        <v>979909</v>
      </c>
      <c r="F25" s="197">
        <v>1102364</v>
      </c>
      <c r="G25" s="197">
        <v>1443728</v>
      </c>
      <c r="H25" s="197">
        <v>2684273</v>
      </c>
      <c r="I25" s="197">
        <v>1831091</v>
      </c>
      <c r="J25" s="197">
        <v>1940092</v>
      </c>
      <c r="K25" s="197">
        <v>1547909</v>
      </c>
      <c r="L25" s="197">
        <v>2182728</v>
      </c>
      <c r="M25" s="197">
        <v>2558455</v>
      </c>
      <c r="N25" s="206">
        <v>1708909</v>
      </c>
      <c r="O25" s="204">
        <v>20311731</v>
      </c>
      <c r="P25" s="223">
        <f>O25/$O$34</f>
        <v>8.2569698496606697E-2</v>
      </c>
    </row>
    <row r="26" spans="1:19" ht="12.6" customHeight="1">
      <c r="A26" s="744"/>
      <c r="B26" s="162" t="s">
        <v>6</v>
      </c>
      <c r="C26" s="197">
        <v>3613364</v>
      </c>
      <c r="D26" s="197">
        <v>2233546</v>
      </c>
      <c r="E26" s="197">
        <v>1487909</v>
      </c>
      <c r="F26" s="197">
        <v>976636</v>
      </c>
      <c r="G26" s="197">
        <v>1418909</v>
      </c>
      <c r="H26" s="197">
        <v>2582546</v>
      </c>
      <c r="I26" s="197">
        <v>1360546</v>
      </c>
      <c r="J26" s="197">
        <v>1663455</v>
      </c>
      <c r="K26" s="197">
        <v>1427637</v>
      </c>
      <c r="L26" s="197">
        <v>1927273</v>
      </c>
      <c r="M26" s="197">
        <v>1801636</v>
      </c>
      <c r="N26" s="207">
        <v>6170727</v>
      </c>
      <c r="O26" s="204">
        <v>26664184</v>
      </c>
      <c r="P26" s="223">
        <f t="shared" ref="P26:P33" si="15">O26/$O$34</f>
        <v>0.10839320555879971</v>
      </c>
    </row>
    <row r="27" spans="1:19" ht="12.6" customHeight="1">
      <c r="A27" s="744"/>
      <c r="B27" s="162" t="s">
        <v>7</v>
      </c>
      <c r="C27" s="197">
        <v>2711909</v>
      </c>
      <c r="D27" s="197">
        <v>554455</v>
      </c>
      <c r="E27" s="197">
        <v>607909</v>
      </c>
      <c r="F27" s="197">
        <v>670273</v>
      </c>
      <c r="G27" s="197">
        <v>865727</v>
      </c>
      <c r="H27" s="197">
        <v>1557364</v>
      </c>
      <c r="I27" s="197">
        <v>936000</v>
      </c>
      <c r="J27" s="197">
        <v>896273</v>
      </c>
      <c r="K27" s="197">
        <v>1016091</v>
      </c>
      <c r="L27" s="197">
        <v>839182</v>
      </c>
      <c r="M27" s="197">
        <v>794637</v>
      </c>
      <c r="N27" s="207">
        <v>682636</v>
      </c>
      <c r="O27" s="204">
        <v>12132455</v>
      </c>
      <c r="P27" s="223">
        <f t="shared" si="15"/>
        <v>4.9319930013530029E-2</v>
      </c>
    </row>
    <row r="28" spans="1:19" ht="12.6" customHeight="1">
      <c r="A28" s="744"/>
      <c r="B28" s="162" t="s">
        <v>8</v>
      </c>
      <c r="C28" s="197">
        <v>91909</v>
      </c>
      <c r="D28" s="197">
        <v>43091</v>
      </c>
      <c r="E28" s="197">
        <v>172636</v>
      </c>
      <c r="F28" s="197">
        <v>117636</v>
      </c>
      <c r="G28" s="197">
        <v>20273</v>
      </c>
      <c r="H28" s="197">
        <v>98727</v>
      </c>
      <c r="I28" s="197">
        <v>56818</v>
      </c>
      <c r="J28" s="197">
        <v>44545</v>
      </c>
      <c r="K28" s="197">
        <v>150818</v>
      </c>
      <c r="L28" s="197">
        <v>152636</v>
      </c>
      <c r="M28" s="197">
        <v>106182</v>
      </c>
      <c r="N28" s="207">
        <v>98727</v>
      </c>
      <c r="O28" s="204">
        <v>1154000</v>
      </c>
      <c r="P28" s="223">
        <f t="shared" si="15"/>
        <v>4.6911527168749982E-3</v>
      </c>
    </row>
    <row r="29" spans="1:19" ht="12.6" customHeight="1">
      <c r="A29" s="744"/>
      <c r="B29" s="162" t="s">
        <v>9</v>
      </c>
      <c r="C29" s="197">
        <v>3711564</v>
      </c>
      <c r="D29" s="197">
        <v>4240182</v>
      </c>
      <c r="E29" s="197">
        <v>3223637</v>
      </c>
      <c r="F29" s="197">
        <v>3229364</v>
      </c>
      <c r="G29" s="197">
        <v>3232546</v>
      </c>
      <c r="H29" s="197">
        <v>4468455</v>
      </c>
      <c r="I29" s="197">
        <v>3471819</v>
      </c>
      <c r="J29" s="197">
        <v>4477273</v>
      </c>
      <c r="K29" s="197">
        <v>3547473</v>
      </c>
      <c r="L29" s="197">
        <v>3980364</v>
      </c>
      <c r="M29" s="197">
        <v>3495727</v>
      </c>
      <c r="N29" s="207">
        <v>2313455</v>
      </c>
      <c r="O29" s="204">
        <v>43391858</v>
      </c>
      <c r="P29" s="223">
        <f t="shared" si="15"/>
        <v>0.17639326910481293</v>
      </c>
    </row>
    <row r="30" spans="1:19" ht="12.6" customHeight="1">
      <c r="A30" s="744"/>
      <c r="B30" s="162" t="s">
        <v>10</v>
      </c>
      <c r="C30" s="197">
        <v>1640637</v>
      </c>
      <c r="D30" s="197">
        <v>1452818</v>
      </c>
      <c r="E30" s="197">
        <v>1556000</v>
      </c>
      <c r="F30" s="197">
        <v>1481455</v>
      </c>
      <c r="G30" s="197">
        <v>1802091</v>
      </c>
      <c r="H30" s="197">
        <v>2330364</v>
      </c>
      <c r="I30" s="197">
        <v>2403819</v>
      </c>
      <c r="J30" s="197">
        <v>2418455</v>
      </c>
      <c r="K30" s="197">
        <v>2258637</v>
      </c>
      <c r="L30" s="197">
        <v>1571273</v>
      </c>
      <c r="M30" s="197">
        <v>1701637</v>
      </c>
      <c r="N30" s="207">
        <v>1502091</v>
      </c>
      <c r="O30" s="204">
        <v>22119277</v>
      </c>
      <c r="P30" s="223">
        <f t="shared" si="15"/>
        <v>8.9917596528475446E-2</v>
      </c>
    </row>
    <row r="31" spans="1:19" ht="12.6" customHeight="1">
      <c r="A31" s="744"/>
      <c r="B31" s="162" t="s">
        <v>11</v>
      </c>
      <c r="C31" s="197">
        <v>1969518</v>
      </c>
      <c r="D31" s="197">
        <v>1803618</v>
      </c>
      <c r="E31" s="197">
        <v>1987137</v>
      </c>
      <c r="F31" s="197">
        <v>1736637</v>
      </c>
      <c r="G31" s="197">
        <v>2047001</v>
      </c>
      <c r="H31" s="197">
        <v>3448183</v>
      </c>
      <c r="I31" s="197">
        <v>2595091</v>
      </c>
      <c r="J31" s="197">
        <v>2354092</v>
      </c>
      <c r="K31" s="197">
        <v>2828728</v>
      </c>
      <c r="L31" s="197">
        <v>2099182</v>
      </c>
      <c r="M31" s="197">
        <v>2146182</v>
      </c>
      <c r="N31" s="207">
        <v>2191273</v>
      </c>
      <c r="O31" s="204">
        <v>27206642</v>
      </c>
      <c r="P31" s="223">
        <f t="shared" si="15"/>
        <v>0.11059836441537733</v>
      </c>
    </row>
    <row r="32" spans="1:19" ht="12.6" customHeight="1">
      <c r="A32" s="744"/>
      <c r="B32" s="162" t="s">
        <v>12</v>
      </c>
      <c r="C32" s="197">
        <v>2523546</v>
      </c>
      <c r="D32" s="197">
        <v>2245273</v>
      </c>
      <c r="E32" s="197">
        <v>1809454</v>
      </c>
      <c r="F32" s="197">
        <v>2027455</v>
      </c>
      <c r="G32" s="197">
        <v>2435909</v>
      </c>
      <c r="H32" s="197">
        <v>4498909</v>
      </c>
      <c r="I32" s="197">
        <v>2864364</v>
      </c>
      <c r="J32" s="197">
        <v>3119182</v>
      </c>
      <c r="K32" s="197">
        <v>3228818</v>
      </c>
      <c r="L32" s="197">
        <v>5232909</v>
      </c>
      <c r="M32" s="197">
        <v>4976910</v>
      </c>
      <c r="N32" s="207">
        <v>3394909</v>
      </c>
      <c r="O32" s="204">
        <v>38357638</v>
      </c>
      <c r="P32" s="223">
        <f t="shared" si="15"/>
        <v>0.15592854221543126</v>
      </c>
    </row>
    <row r="33" spans="1:16" ht="12.6" customHeight="1" thickBot="1">
      <c r="A33" s="744"/>
      <c r="B33" s="165" t="s">
        <v>13</v>
      </c>
      <c r="C33" s="197">
        <v>3556182</v>
      </c>
      <c r="D33" s="197">
        <v>3518000</v>
      </c>
      <c r="E33" s="197">
        <v>3578091</v>
      </c>
      <c r="F33" s="197">
        <v>3840546</v>
      </c>
      <c r="G33" s="197">
        <v>4754274</v>
      </c>
      <c r="H33" s="197">
        <v>6965184</v>
      </c>
      <c r="I33" s="197">
        <v>5202274</v>
      </c>
      <c r="J33" s="197">
        <v>4273092</v>
      </c>
      <c r="K33" s="197">
        <v>4705547</v>
      </c>
      <c r="L33" s="197">
        <v>4799819</v>
      </c>
      <c r="M33" s="197">
        <v>5403728</v>
      </c>
      <c r="N33" s="208">
        <v>4060455</v>
      </c>
      <c r="O33" s="205">
        <v>54657191</v>
      </c>
      <c r="P33" s="223">
        <f t="shared" si="15"/>
        <v>0.2221882409500916</v>
      </c>
    </row>
    <row r="34" spans="1:16" ht="12.6" customHeight="1">
      <c r="A34" s="741"/>
      <c r="B34" s="187" t="s">
        <v>174</v>
      </c>
      <c r="C34" s="189">
        <f>SUM(C25:C33)</f>
        <v>20958265</v>
      </c>
      <c r="D34" s="189">
        <f t="shared" ref="D34" si="16">SUM(D25:D33)</f>
        <v>17283620</v>
      </c>
      <c r="E34" s="189">
        <f t="shared" ref="E34" si="17">SUM(E25:E33)</f>
        <v>15402682</v>
      </c>
      <c r="F34" s="189">
        <f t="shared" ref="F34" si="18">SUM(F25:F33)</f>
        <v>15182366</v>
      </c>
      <c r="G34" s="189">
        <f t="shared" ref="G34" si="19">SUM(G25:G33)</f>
        <v>18020458</v>
      </c>
      <c r="H34" s="189">
        <f t="shared" ref="H34" si="20">SUM(H25:H33)</f>
        <v>28634005</v>
      </c>
      <c r="I34" s="189">
        <f t="shared" ref="I34" si="21">SUM(I25:I33)</f>
        <v>20721822</v>
      </c>
      <c r="J34" s="189">
        <f t="shared" ref="J34" si="22">SUM(J25:J33)</f>
        <v>21186459</v>
      </c>
      <c r="K34" s="189">
        <f t="shared" ref="K34" si="23">SUM(K25:K33)</f>
        <v>20711658</v>
      </c>
      <c r="L34" s="189">
        <f t="shared" ref="L34" si="24">SUM(L25:L33)</f>
        <v>22785366</v>
      </c>
      <c r="M34" s="189">
        <f t="shared" ref="M34" si="25">SUM(M25:M33)</f>
        <v>22985094</v>
      </c>
      <c r="N34" s="190">
        <f>SUM(N25:N33)</f>
        <v>22123182</v>
      </c>
      <c r="O34" s="209">
        <v>245994976</v>
      </c>
      <c r="P34" s="224">
        <f>SUM(P25:P33)</f>
        <v>1</v>
      </c>
    </row>
    <row r="35" spans="1:16" ht="12.6" customHeight="1" thickBot="1">
      <c r="A35" s="742"/>
      <c r="B35" s="192" t="s">
        <v>180</v>
      </c>
      <c r="C35" s="215">
        <f>C34/$O$34</f>
        <v>8.5197939164416106E-2</v>
      </c>
      <c r="D35" s="215">
        <f t="shared" ref="D35:N35" si="26">D34/$O$34</f>
        <v>7.0260052790671629E-2</v>
      </c>
      <c r="E35" s="215">
        <f t="shared" si="26"/>
        <v>6.2613807202306443E-2</v>
      </c>
      <c r="F35" s="215">
        <f t="shared" si="26"/>
        <v>6.1718195415503121E-2</v>
      </c>
      <c r="G35" s="215">
        <f t="shared" si="26"/>
        <v>7.3255390386509356E-2</v>
      </c>
      <c r="H35" s="215">
        <f t="shared" si="26"/>
        <v>0.11640077153445605</v>
      </c>
      <c r="I35" s="215">
        <f t="shared" si="26"/>
        <v>8.4236769128163011E-2</v>
      </c>
      <c r="J35" s="215">
        <f t="shared" si="26"/>
        <v>8.6125575995503259E-2</v>
      </c>
      <c r="K35" s="215">
        <f t="shared" si="26"/>
        <v>8.41954512111662E-2</v>
      </c>
      <c r="L35" s="215">
        <f t="shared" si="26"/>
        <v>9.262533068968043E-2</v>
      </c>
      <c r="M35" s="215">
        <f t="shared" si="26"/>
        <v>9.3437249710335554E-2</v>
      </c>
      <c r="N35" s="221">
        <f t="shared" si="26"/>
        <v>8.9933470836412524E-2</v>
      </c>
      <c r="O35" s="222">
        <f>SUM(C35:N35)</f>
        <v>1.0000000040651238</v>
      </c>
      <c r="P35" s="186"/>
    </row>
    <row r="36" spans="1:16" ht="12.6" customHeight="1">
      <c r="A36" s="743" t="s">
        <v>179</v>
      </c>
      <c r="B36" s="161" t="s">
        <v>14</v>
      </c>
      <c r="C36" s="225">
        <v>1391909</v>
      </c>
      <c r="D36" s="225">
        <v>1674728</v>
      </c>
      <c r="E36" s="225">
        <v>2452000</v>
      </c>
      <c r="F36" s="225">
        <v>2865546</v>
      </c>
      <c r="G36" s="225">
        <v>2451728</v>
      </c>
      <c r="H36" s="225">
        <v>3104819</v>
      </c>
      <c r="I36" s="225">
        <v>2019091</v>
      </c>
      <c r="J36" s="225">
        <v>806909</v>
      </c>
      <c r="K36" s="225">
        <v>2503455</v>
      </c>
      <c r="L36" s="225">
        <v>2495728</v>
      </c>
      <c r="M36" s="225">
        <v>3131910</v>
      </c>
      <c r="N36" s="226">
        <v>2525455</v>
      </c>
      <c r="O36" s="227">
        <v>27423278</v>
      </c>
      <c r="P36" s="216">
        <f>O36/$O$45</f>
        <v>0.10746737539212037</v>
      </c>
    </row>
    <row r="37" spans="1:16" ht="12.6" customHeight="1">
      <c r="A37" s="744"/>
      <c r="B37" s="162" t="s">
        <v>6</v>
      </c>
      <c r="C37" s="225">
        <v>1212182</v>
      </c>
      <c r="D37" s="225">
        <v>1493000</v>
      </c>
      <c r="E37" s="225">
        <v>2756364</v>
      </c>
      <c r="F37" s="225">
        <v>3140546</v>
      </c>
      <c r="G37" s="225">
        <v>1768000</v>
      </c>
      <c r="H37" s="225">
        <v>2710091</v>
      </c>
      <c r="I37" s="225">
        <v>1110727</v>
      </c>
      <c r="J37" s="225">
        <v>2223000</v>
      </c>
      <c r="K37" s="225">
        <v>2156728</v>
      </c>
      <c r="L37" s="225">
        <v>3731628</v>
      </c>
      <c r="M37" s="225">
        <v>2621637</v>
      </c>
      <c r="N37" s="228">
        <v>2734273</v>
      </c>
      <c r="O37" s="227">
        <v>27658176</v>
      </c>
      <c r="P37" s="216">
        <f t="shared" ref="P37:P44" si="27">O37/$O$45</f>
        <v>0.108387902527675</v>
      </c>
    </row>
    <row r="38" spans="1:16" ht="12.6" customHeight="1">
      <c r="A38" s="744"/>
      <c r="B38" s="162" t="s">
        <v>7</v>
      </c>
      <c r="C38" s="225">
        <v>354364</v>
      </c>
      <c r="D38" s="225">
        <v>420182</v>
      </c>
      <c r="E38" s="225">
        <v>1031727</v>
      </c>
      <c r="F38" s="225">
        <v>1250818</v>
      </c>
      <c r="G38" s="225">
        <v>767182</v>
      </c>
      <c r="H38" s="225">
        <v>1013455</v>
      </c>
      <c r="I38" s="225">
        <v>506636</v>
      </c>
      <c r="J38" s="225">
        <v>641273</v>
      </c>
      <c r="K38" s="225">
        <v>964637</v>
      </c>
      <c r="L38" s="225">
        <v>1060364</v>
      </c>
      <c r="M38" s="225">
        <v>1099364</v>
      </c>
      <c r="N38" s="228">
        <v>748273</v>
      </c>
      <c r="O38" s="227">
        <v>9858274</v>
      </c>
      <c r="P38" s="216">
        <f t="shared" si="27"/>
        <v>3.8632975703210247E-2</v>
      </c>
    </row>
    <row r="39" spans="1:16" ht="12.6" customHeight="1">
      <c r="A39" s="744"/>
      <c r="B39" s="162" t="s">
        <v>8</v>
      </c>
      <c r="C39" s="225">
        <v>32273</v>
      </c>
      <c r="D39" s="225">
        <v>43545</v>
      </c>
      <c r="E39" s="225">
        <v>0</v>
      </c>
      <c r="F39" s="225">
        <v>138000</v>
      </c>
      <c r="G39" s="225">
        <v>58909</v>
      </c>
      <c r="H39" s="225">
        <v>26000</v>
      </c>
      <c r="I39" s="225">
        <v>36182</v>
      </c>
      <c r="J39" s="225">
        <v>43455</v>
      </c>
      <c r="K39" s="225">
        <v>251909</v>
      </c>
      <c r="L39" s="225">
        <v>325818</v>
      </c>
      <c r="M39" s="225">
        <v>246818</v>
      </c>
      <c r="N39" s="228">
        <v>290273</v>
      </c>
      <c r="O39" s="227">
        <v>1493182</v>
      </c>
      <c r="P39" s="216">
        <f t="shared" si="27"/>
        <v>5.8515378986697753E-3</v>
      </c>
    </row>
    <row r="40" spans="1:16" ht="12.6" customHeight="1">
      <c r="A40" s="744"/>
      <c r="B40" s="162" t="s">
        <v>9</v>
      </c>
      <c r="C40" s="225">
        <v>1720545</v>
      </c>
      <c r="D40" s="225">
        <v>2474909</v>
      </c>
      <c r="E40" s="225">
        <v>4059909</v>
      </c>
      <c r="F40" s="225">
        <v>4174637</v>
      </c>
      <c r="G40" s="225">
        <v>2563909</v>
      </c>
      <c r="H40" s="225">
        <v>3658545</v>
      </c>
      <c r="I40" s="225">
        <v>2731546</v>
      </c>
      <c r="J40" s="225">
        <v>1408091</v>
      </c>
      <c r="K40" s="225">
        <v>3198182</v>
      </c>
      <c r="L40" s="225">
        <v>3586727</v>
      </c>
      <c r="M40" s="225">
        <v>4671582</v>
      </c>
      <c r="N40" s="228">
        <v>2594637</v>
      </c>
      <c r="O40" s="227">
        <v>36843219</v>
      </c>
      <c r="P40" s="216">
        <f t="shared" si="27"/>
        <v>0.14438259521444161</v>
      </c>
    </row>
    <row r="41" spans="1:16" ht="12.6" customHeight="1">
      <c r="A41" s="744"/>
      <c r="B41" s="162" t="s">
        <v>10</v>
      </c>
      <c r="C41" s="225">
        <v>459455</v>
      </c>
      <c r="D41" s="225">
        <v>929727</v>
      </c>
      <c r="E41" s="225">
        <v>1183546</v>
      </c>
      <c r="F41" s="225">
        <v>1463273</v>
      </c>
      <c r="G41" s="225">
        <v>1047273</v>
      </c>
      <c r="H41" s="225">
        <v>1137182</v>
      </c>
      <c r="I41" s="225">
        <v>667455</v>
      </c>
      <c r="J41" s="225">
        <v>1082273</v>
      </c>
      <c r="K41" s="225">
        <v>1039728</v>
      </c>
      <c r="L41" s="225">
        <v>1075900</v>
      </c>
      <c r="M41" s="225">
        <v>1125182</v>
      </c>
      <c r="N41" s="228">
        <v>1315455</v>
      </c>
      <c r="O41" s="227">
        <v>12526449</v>
      </c>
      <c r="P41" s="216">
        <f t="shared" si="27"/>
        <v>4.9089120455010918E-2</v>
      </c>
    </row>
    <row r="42" spans="1:16" ht="12.6" customHeight="1">
      <c r="A42" s="744"/>
      <c r="B42" s="162" t="s">
        <v>11</v>
      </c>
      <c r="C42" s="225">
        <v>1476727</v>
      </c>
      <c r="D42" s="225">
        <v>1525364</v>
      </c>
      <c r="E42" s="225">
        <v>2377273</v>
      </c>
      <c r="F42" s="225">
        <v>2924091</v>
      </c>
      <c r="G42" s="225">
        <v>2527273</v>
      </c>
      <c r="H42" s="225">
        <v>2856364</v>
      </c>
      <c r="I42" s="225">
        <v>2236818</v>
      </c>
      <c r="J42" s="225">
        <v>1327273</v>
      </c>
      <c r="K42" s="225">
        <v>2984092</v>
      </c>
      <c r="L42" s="225">
        <v>2889728</v>
      </c>
      <c r="M42" s="225">
        <v>3574273</v>
      </c>
      <c r="N42" s="228">
        <v>3269910</v>
      </c>
      <c r="O42" s="227">
        <v>29969186</v>
      </c>
      <c r="P42" s="216">
        <f t="shared" si="27"/>
        <v>0.11744437561615641</v>
      </c>
    </row>
    <row r="43" spans="1:16" ht="12.6" customHeight="1">
      <c r="A43" s="744"/>
      <c r="B43" s="162" t="s">
        <v>12</v>
      </c>
      <c r="C43" s="225">
        <v>2230455</v>
      </c>
      <c r="D43" s="225">
        <v>3081091</v>
      </c>
      <c r="E43" s="225">
        <v>5728637</v>
      </c>
      <c r="F43" s="225">
        <v>5372819</v>
      </c>
      <c r="G43" s="225">
        <v>3631637</v>
      </c>
      <c r="H43" s="225">
        <v>5032546</v>
      </c>
      <c r="I43" s="225">
        <v>1888000</v>
      </c>
      <c r="J43" s="225">
        <v>2934819</v>
      </c>
      <c r="K43" s="225">
        <v>5327092</v>
      </c>
      <c r="L43" s="225">
        <v>6826546</v>
      </c>
      <c r="M43" s="225">
        <v>9191464</v>
      </c>
      <c r="N43" s="228">
        <v>6661019</v>
      </c>
      <c r="O43" s="227">
        <v>57906123</v>
      </c>
      <c r="P43" s="216">
        <f t="shared" si="27"/>
        <v>0.2269246972569543</v>
      </c>
    </row>
    <row r="44" spans="1:16" ht="12.6" customHeight="1" thickBot="1">
      <c r="A44" s="744"/>
      <c r="B44" s="165" t="s">
        <v>13</v>
      </c>
      <c r="C44" s="225">
        <v>2897546</v>
      </c>
      <c r="D44" s="225">
        <v>3386909</v>
      </c>
      <c r="E44" s="225">
        <v>6170273</v>
      </c>
      <c r="F44" s="225">
        <v>5543364</v>
      </c>
      <c r="G44" s="225">
        <v>4261537</v>
      </c>
      <c r="H44" s="225">
        <v>4893274</v>
      </c>
      <c r="I44" s="225">
        <v>2311001</v>
      </c>
      <c r="J44" s="225">
        <v>3379910</v>
      </c>
      <c r="K44" s="225">
        <v>4670455</v>
      </c>
      <c r="L44" s="225">
        <v>4695273</v>
      </c>
      <c r="M44" s="225">
        <v>4928455</v>
      </c>
      <c r="N44" s="228">
        <v>4361818</v>
      </c>
      <c r="O44" s="229">
        <v>51499816</v>
      </c>
      <c r="P44" s="216">
        <f t="shared" si="27"/>
        <v>0.20181941993576138</v>
      </c>
    </row>
    <row r="45" spans="1:16" ht="12.6" customHeight="1">
      <c r="A45" s="741"/>
      <c r="B45" s="187" t="s">
        <v>174</v>
      </c>
      <c r="C45" s="189">
        <f>SUM(C36:C44)</f>
        <v>11775456</v>
      </c>
      <c r="D45" s="189">
        <f t="shared" ref="D45" si="28">SUM(D36:D44)</f>
        <v>15029455</v>
      </c>
      <c r="E45" s="189">
        <f t="shared" ref="E45" si="29">SUM(E36:E44)</f>
        <v>25759729</v>
      </c>
      <c r="F45" s="230">
        <f t="shared" ref="F45" si="30">SUM(F36:F44)</f>
        <v>26873094</v>
      </c>
      <c r="G45" s="231">
        <f t="shared" ref="G45" si="31">SUM(G36:G44)</f>
        <v>19077448</v>
      </c>
      <c r="H45" s="231">
        <f t="shared" ref="H45" si="32">SUM(H36:H44)</f>
        <v>24432276</v>
      </c>
      <c r="I45" s="231">
        <f t="shared" ref="I45" si="33">SUM(I36:I44)</f>
        <v>13507456</v>
      </c>
      <c r="J45" s="231">
        <f t="shared" ref="J45" si="34">SUM(J36:J44)</f>
        <v>13847003</v>
      </c>
      <c r="K45" s="231">
        <f t="shared" ref="K45" si="35">SUM(K36:K44)</f>
        <v>23096278</v>
      </c>
      <c r="L45" s="231">
        <f t="shared" ref="L45" si="36">SUM(L36:L44)</f>
        <v>26687712</v>
      </c>
      <c r="M45" s="231">
        <f t="shared" ref="M45" si="37">SUM(M36:M44)</f>
        <v>30590685</v>
      </c>
      <c r="N45" s="232">
        <f>SUM(N36:N44)</f>
        <v>24501113</v>
      </c>
      <c r="O45" s="233">
        <v>255177703</v>
      </c>
      <c r="P45" s="224">
        <f>SUM(P36:P44)</f>
        <v>0.99999999999999989</v>
      </c>
    </row>
    <row r="46" spans="1:16" ht="12.6" customHeight="1" thickBot="1">
      <c r="A46" s="742"/>
      <c r="B46" s="192" t="s">
        <v>180</v>
      </c>
      <c r="C46" s="215">
        <f>C45/$O$45</f>
        <v>4.6146100782167479E-2</v>
      </c>
      <c r="D46" s="215">
        <f t="shared" ref="D46:N46" si="38">D45/$O$45</f>
        <v>5.8897994704498143E-2</v>
      </c>
      <c r="E46" s="215">
        <f t="shared" si="38"/>
        <v>0.10094819687282787</v>
      </c>
      <c r="F46" s="215">
        <f t="shared" si="38"/>
        <v>0.10531129359683906</v>
      </c>
      <c r="G46" s="215">
        <f t="shared" si="38"/>
        <v>7.4761422239152303E-2</v>
      </c>
      <c r="H46" s="215">
        <f t="shared" si="38"/>
        <v>9.5746124025577584E-2</v>
      </c>
      <c r="I46" s="215">
        <f t="shared" si="38"/>
        <v>5.2933527660134164E-2</v>
      </c>
      <c r="J46" s="215">
        <f t="shared" si="38"/>
        <v>5.4264157241042332E-2</v>
      </c>
      <c r="K46" s="215">
        <f t="shared" si="38"/>
        <v>9.0510564710271732E-2</v>
      </c>
      <c r="L46" s="215">
        <f t="shared" si="38"/>
        <v>0.10458481162831064</v>
      </c>
      <c r="M46" s="215">
        <f t="shared" si="38"/>
        <v>0.11987992932125421</v>
      </c>
      <c r="N46" s="234">
        <f t="shared" si="38"/>
        <v>9.6015885055599867E-2</v>
      </c>
      <c r="O46" s="235">
        <f>SUM(C46:N46)</f>
        <v>1.0000000078376754</v>
      </c>
      <c r="P46" s="186"/>
    </row>
    <row r="47" spans="1:16" ht="12.6" customHeight="1">
      <c r="A47" s="743" t="s">
        <v>171</v>
      </c>
      <c r="B47" s="161" t="s">
        <v>14</v>
      </c>
      <c r="C47" s="197">
        <v>1667546</v>
      </c>
      <c r="D47" s="197">
        <v>1132273</v>
      </c>
      <c r="E47" s="197">
        <v>2146273</v>
      </c>
      <c r="F47" s="197">
        <v>3753546</v>
      </c>
      <c r="G47" s="197">
        <v>5293364</v>
      </c>
      <c r="H47" s="197">
        <v>4098501</v>
      </c>
      <c r="I47" s="197">
        <v>2177819</v>
      </c>
      <c r="J47" s="197">
        <v>3688637</v>
      </c>
      <c r="K47" s="197">
        <v>5623183</v>
      </c>
      <c r="L47" s="197">
        <v>4165728</v>
      </c>
      <c r="M47" s="197">
        <v>4429182</v>
      </c>
      <c r="N47" s="206">
        <v>3558682</v>
      </c>
      <c r="O47" s="204">
        <v>41734734</v>
      </c>
      <c r="P47" s="216">
        <f>O47/$O$56</f>
        <v>8.7621228342651444E-2</v>
      </c>
    </row>
    <row r="48" spans="1:16" ht="12.6" customHeight="1">
      <c r="A48" s="744"/>
      <c r="B48" s="162" t="s">
        <v>6</v>
      </c>
      <c r="C48" s="197">
        <v>2016909</v>
      </c>
      <c r="D48" s="197">
        <v>1703636</v>
      </c>
      <c r="E48" s="197">
        <v>3005364</v>
      </c>
      <c r="F48" s="197">
        <v>4482273</v>
      </c>
      <c r="G48" s="197">
        <v>3865000</v>
      </c>
      <c r="H48" s="197">
        <v>3677364</v>
      </c>
      <c r="I48" s="197">
        <v>1997818</v>
      </c>
      <c r="J48" s="197">
        <v>3418637</v>
      </c>
      <c r="K48" s="197">
        <v>6749274</v>
      </c>
      <c r="L48" s="197">
        <v>6066891</v>
      </c>
      <c r="M48" s="197">
        <v>7561164</v>
      </c>
      <c r="N48" s="207">
        <v>5318091</v>
      </c>
      <c r="O48" s="204">
        <v>49862423</v>
      </c>
      <c r="P48" s="216">
        <f t="shared" ref="P48:P55" si="39">O48/$O$56</f>
        <v>0.10468514670300463</v>
      </c>
    </row>
    <row r="49" spans="1:19" ht="12.6" customHeight="1">
      <c r="A49" s="744"/>
      <c r="B49" s="162" t="s">
        <v>7</v>
      </c>
      <c r="C49" s="197">
        <v>504636</v>
      </c>
      <c r="D49" s="197">
        <v>406182</v>
      </c>
      <c r="E49" s="197">
        <v>879091</v>
      </c>
      <c r="F49" s="197">
        <v>1090727</v>
      </c>
      <c r="G49" s="197">
        <v>1176455</v>
      </c>
      <c r="H49" s="197">
        <v>2728183</v>
      </c>
      <c r="I49" s="197">
        <v>2911456</v>
      </c>
      <c r="J49" s="197">
        <v>761818</v>
      </c>
      <c r="K49" s="197">
        <v>13023640</v>
      </c>
      <c r="L49" s="197">
        <v>11257366</v>
      </c>
      <c r="M49" s="197">
        <v>11909456</v>
      </c>
      <c r="N49" s="207">
        <v>6884728</v>
      </c>
      <c r="O49" s="204">
        <v>53533738</v>
      </c>
      <c r="P49" s="216">
        <f t="shared" si="39"/>
        <v>0.11239299815193926</v>
      </c>
    </row>
    <row r="50" spans="1:19" ht="12.6" customHeight="1">
      <c r="A50" s="744"/>
      <c r="B50" s="162" t="s">
        <v>8</v>
      </c>
      <c r="C50" s="197">
        <v>120091</v>
      </c>
      <c r="D50" s="197">
        <v>70091</v>
      </c>
      <c r="E50" s="197">
        <v>952727</v>
      </c>
      <c r="F50" s="197">
        <v>1634700</v>
      </c>
      <c r="G50" s="197">
        <v>1114091</v>
      </c>
      <c r="H50" s="197">
        <v>1138182</v>
      </c>
      <c r="I50" s="197">
        <v>353455</v>
      </c>
      <c r="J50" s="197">
        <v>620273</v>
      </c>
      <c r="K50" s="197">
        <v>1684319</v>
      </c>
      <c r="L50" s="197">
        <v>1059818</v>
      </c>
      <c r="M50" s="197">
        <v>1098137</v>
      </c>
      <c r="N50" s="207">
        <v>794364</v>
      </c>
      <c r="O50" s="204">
        <v>10640248</v>
      </c>
      <c r="P50" s="216">
        <f t="shared" si="39"/>
        <v>2.2338985067700212E-2</v>
      </c>
    </row>
    <row r="51" spans="1:19" ht="12.6" customHeight="1">
      <c r="A51" s="744"/>
      <c r="B51" s="162" t="s">
        <v>9</v>
      </c>
      <c r="C51" s="197">
        <v>2248091</v>
      </c>
      <c r="D51" s="197">
        <v>2392546</v>
      </c>
      <c r="E51" s="197">
        <v>3359000</v>
      </c>
      <c r="F51" s="197">
        <v>6135910</v>
      </c>
      <c r="G51" s="197">
        <v>5372637</v>
      </c>
      <c r="H51" s="197">
        <v>3669728</v>
      </c>
      <c r="I51" s="197">
        <v>2965001</v>
      </c>
      <c r="J51" s="197">
        <v>4521182</v>
      </c>
      <c r="K51" s="197">
        <v>8903456</v>
      </c>
      <c r="L51" s="197">
        <v>7656545</v>
      </c>
      <c r="M51" s="197">
        <v>7041364</v>
      </c>
      <c r="N51" s="207">
        <v>5165000</v>
      </c>
      <c r="O51" s="204">
        <v>59430460</v>
      </c>
      <c r="P51" s="216">
        <f t="shared" si="39"/>
        <v>0.1247730465029156</v>
      </c>
    </row>
    <row r="52" spans="1:19" ht="12.6" customHeight="1">
      <c r="A52" s="744"/>
      <c r="B52" s="162" t="s">
        <v>10</v>
      </c>
      <c r="C52" s="197">
        <v>973546</v>
      </c>
      <c r="D52" s="197">
        <v>750727</v>
      </c>
      <c r="E52" s="197">
        <v>835455</v>
      </c>
      <c r="F52" s="197">
        <v>1242455</v>
      </c>
      <c r="G52" s="197">
        <v>1341001</v>
      </c>
      <c r="H52" s="197">
        <v>1483546</v>
      </c>
      <c r="I52" s="197">
        <v>1173364</v>
      </c>
      <c r="J52" s="197">
        <v>1978455</v>
      </c>
      <c r="K52" s="197">
        <v>3046274</v>
      </c>
      <c r="L52" s="197">
        <v>2627455</v>
      </c>
      <c r="M52" s="197">
        <v>2648000</v>
      </c>
      <c r="N52" s="207">
        <v>1751728</v>
      </c>
      <c r="O52" s="204">
        <v>19852006</v>
      </c>
      <c r="P52" s="216">
        <f t="shared" si="39"/>
        <v>4.167888432655846E-2</v>
      </c>
    </row>
    <row r="53" spans="1:19" ht="12.6" customHeight="1">
      <c r="A53" s="744"/>
      <c r="B53" s="162" t="s">
        <v>11</v>
      </c>
      <c r="C53" s="197">
        <v>2565909</v>
      </c>
      <c r="D53" s="197">
        <v>1781273</v>
      </c>
      <c r="E53" s="197">
        <v>3417273</v>
      </c>
      <c r="F53" s="197">
        <v>3859728</v>
      </c>
      <c r="G53" s="197">
        <v>4255091</v>
      </c>
      <c r="H53" s="197">
        <v>4766728</v>
      </c>
      <c r="I53" s="197">
        <v>2573000</v>
      </c>
      <c r="J53" s="197">
        <v>3454637</v>
      </c>
      <c r="K53" s="197">
        <v>10394367</v>
      </c>
      <c r="L53" s="197">
        <v>7567093</v>
      </c>
      <c r="M53" s="197">
        <v>6346274</v>
      </c>
      <c r="N53" s="207">
        <v>5681546</v>
      </c>
      <c r="O53" s="204">
        <v>56662920</v>
      </c>
      <c r="P53" s="216">
        <f t="shared" si="39"/>
        <v>0.11896265235286731</v>
      </c>
    </row>
    <row r="54" spans="1:19" ht="12.6" customHeight="1">
      <c r="A54" s="744"/>
      <c r="B54" s="162" t="s">
        <v>12</v>
      </c>
      <c r="C54" s="197">
        <v>3223455</v>
      </c>
      <c r="D54" s="197">
        <v>3151182</v>
      </c>
      <c r="E54" s="197">
        <v>5890455</v>
      </c>
      <c r="F54" s="197">
        <v>9262001</v>
      </c>
      <c r="G54" s="197">
        <v>12156819</v>
      </c>
      <c r="H54" s="197">
        <v>8741865</v>
      </c>
      <c r="I54" s="197">
        <v>4316446</v>
      </c>
      <c r="J54" s="197">
        <v>5286773</v>
      </c>
      <c r="K54" s="197">
        <v>18751412</v>
      </c>
      <c r="L54" s="197">
        <v>16475865</v>
      </c>
      <c r="M54" s="197">
        <v>18819683</v>
      </c>
      <c r="N54" s="207">
        <v>12917818</v>
      </c>
      <c r="O54" s="204">
        <v>118993776</v>
      </c>
      <c r="P54" s="216">
        <f t="shared" si="39"/>
        <v>0.2498250214857082</v>
      </c>
    </row>
    <row r="55" spans="1:19" ht="12.6" customHeight="1" thickBot="1">
      <c r="A55" s="744"/>
      <c r="B55" s="165" t="s">
        <v>13</v>
      </c>
      <c r="C55" s="197">
        <v>2746637</v>
      </c>
      <c r="D55" s="197">
        <v>3337046</v>
      </c>
      <c r="E55" s="197">
        <v>4966246</v>
      </c>
      <c r="F55" s="197">
        <v>5926468</v>
      </c>
      <c r="G55" s="197">
        <v>6786910</v>
      </c>
      <c r="H55" s="197">
        <v>5611728</v>
      </c>
      <c r="I55" s="197">
        <v>3866364</v>
      </c>
      <c r="J55" s="197">
        <v>4172273</v>
      </c>
      <c r="K55" s="197">
        <v>7852183</v>
      </c>
      <c r="L55" s="197">
        <v>7380546</v>
      </c>
      <c r="M55" s="197">
        <v>7363137</v>
      </c>
      <c r="N55" s="207">
        <v>5588636</v>
      </c>
      <c r="O55" s="238">
        <v>65598174</v>
      </c>
      <c r="P55" s="216">
        <f t="shared" si="39"/>
        <v>0.13772203706665487</v>
      </c>
    </row>
    <row r="56" spans="1:19" ht="12.6" customHeight="1">
      <c r="A56" s="741"/>
      <c r="B56" s="187" t="s">
        <v>174</v>
      </c>
      <c r="C56" s="188">
        <f>SUM(C47:C55)</f>
        <v>16066820</v>
      </c>
      <c r="D56" s="189">
        <f t="shared" ref="D56:M56" si="40">SUM(D47:D55)</f>
        <v>14724956</v>
      </c>
      <c r="E56" s="189">
        <f t="shared" si="40"/>
        <v>25451884</v>
      </c>
      <c r="F56" s="189">
        <f t="shared" si="40"/>
        <v>37387808</v>
      </c>
      <c r="G56" s="189">
        <f t="shared" si="40"/>
        <v>41361368</v>
      </c>
      <c r="H56" s="189">
        <f t="shared" si="40"/>
        <v>35915825</v>
      </c>
      <c r="I56" s="189">
        <f t="shared" si="40"/>
        <v>22334723</v>
      </c>
      <c r="J56" s="189">
        <f t="shared" si="40"/>
        <v>27902685</v>
      </c>
      <c r="K56" s="189">
        <f t="shared" si="40"/>
        <v>76028108</v>
      </c>
      <c r="L56" s="189">
        <f t="shared" si="40"/>
        <v>64257307</v>
      </c>
      <c r="M56" s="189">
        <f t="shared" si="40"/>
        <v>67216397</v>
      </c>
      <c r="N56" s="190">
        <f>SUM(N47:N55)</f>
        <v>47660593</v>
      </c>
      <c r="O56" s="239">
        <v>476308479</v>
      </c>
      <c r="P56" s="237">
        <f>SUM(P47:P55)</f>
        <v>1</v>
      </c>
      <c r="S56" s="175"/>
    </row>
    <row r="57" spans="1:19" ht="12" customHeight="1" thickBot="1">
      <c r="A57" s="742"/>
      <c r="B57" s="192" t="s">
        <v>180</v>
      </c>
      <c r="C57" s="240">
        <f>C56/$O$56</f>
        <v>3.3731963020544931E-2</v>
      </c>
      <c r="D57" s="240">
        <f t="shared" ref="D57:N57" si="41">D56/$O$56</f>
        <v>3.0914746743359988E-2</v>
      </c>
      <c r="E57" s="240">
        <f t="shared" si="41"/>
        <v>5.3435714714623002E-2</v>
      </c>
      <c r="F57" s="240">
        <f t="shared" si="41"/>
        <v>7.8494945289437096E-2</v>
      </c>
      <c r="G57" s="240">
        <f t="shared" si="41"/>
        <v>8.6837353991340557E-2</v>
      </c>
      <c r="H57" s="240">
        <f t="shared" si="41"/>
        <v>7.5404546808414047E-2</v>
      </c>
      <c r="I57" s="240">
        <f t="shared" si="41"/>
        <v>4.6891298359607828E-2</v>
      </c>
      <c r="J57" s="240">
        <f t="shared" si="41"/>
        <v>5.8581121752401134E-2</v>
      </c>
      <c r="K57" s="240">
        <f t="shared" si="41"/>
        <v>0.15961947215304559</v>
      </c>
      <c r="L57" s="240">
        <f t="shared" si="41"/>
        <v>0.13490691397076726</v>
      </c>
      <c r="M57" s="240">
        <f t="shared" si="41"/>
        <v>0.1411194634643487</v>
      </c>
      <c r="N57" s="240">
        <f t="shared" si="41"/>
        <v>0.10006244923471119</v>
      </c>
      <c r="O57" s="241">
        <f>SUM(C57:N57)</f>
        <v>0.99999998950260138</v>
      </c>
      <c r="P57" s="194"/>
      <c r="S57" s="163"/>
    </row>
    <row r="58" spans="1:19" ht="12.6" customHeight="1">
      <c r="A58" s="743" t="s">
        <v>436</v>
      </c>
      <c r="B58" s="161" t="s">
        <v>14</v>
      </c>
      <c r="C58" s="197">
        <v>1785273</v>
      </c>
      <c r="D58" s="197">
        <v>2593591</v>
      </c>
      <c r="E58" s="197">
        <v>5934319</v>
      </c>
      <c r="F58" s="197">
        <v>6304001</v>
      </c>
      <c r="G58" s="197">
        <v>7018501</v>
      </c>
      <c r="H58" s="197">
        <v>4886637</v>
      </c>
      <c r="I58" s="197">
        <v>3157909</v>
      </c>
      <c r="J58" s="197">
        <v>3369273</v>
      </c>
      <c r="K58" s="197">
        <v>5559683</v>
      </c>
      <c r="L58" s="197">
        <v>4733364</v>
      </c>
      <c r="M58" s="197">
        <v>5427273</v>
      </c>
      <c r="N58" s="206">
        <v>3371728</v>
      </c>
      <c r="O58" s="204">
        <f>SUM(C58:N58)</f>
        <v>54141552</v>
      </c>
      <c r="P58" s="216">
        <f>O58/$O$67</f>
        <v>8.1248664393308967E-2</v>
      </c>
      <c r="R58" s="594"/>
    </row>
    <row r="59" spans="1:19" ht="12.6" customHeight="1">
      <c r="A59" s="744"/>
      <c r="B59" s="162" t="s">
        <v>6</v>
      </c>
      <c r="C59" s="197">
        <v>2501182</v>
      </c>
      <c r="D59" s="197">
        <v>3111637</v>
      </c>
      <c r="E59" s="197">
        <v>8937019</v>
      </c>
      <c r="F59" s="197">
        <v>9428165</v>
      </c>
      <c r="G59" s="197">
        <v>6445600</v>
      </c>
      <c r="H59" s="197">
        <v>7382091</v>
      </c>
      <c r="I59" s="197">
        <v>4622818</v>
      </c>
      <c r="J59" s="197">
        <v>3799545</v>
      </c>
      <c r="K59" s="197">
        <v>7097636</v>
      </c>
      <c r="L59" s="197">
        <v>7775363</v>
      </c>
      <c r="M59" s="197">
        <v>8626118</v>
      </c>
      <c r="N59" s="207">
        <v>6014091</v>
      </c>
      <c r="O59" s="204">
        <f t="shared" ref="O59:O66" si="42">SUM(C59:N59)</f>
        <v>75741265</v>
      </c>
      <c r="P59" s="216">
        <f t="shared" ref="P59:P66" si="43">O59/$O$67</f>
        <v>0.11366273025770814</v>
      </c>
      <c r="R59" s="594"/>
      <c r="S59" s="594"/>
    </row>
    <row r="60" spans="1:19" ht="12.6" customHeight="1">
      <c r="A60" s="744"/>
      <c r="B60" s="162" t="s">
        <v>7</v>
      </c>
      <c r="C60" s="197">
        <v>1652364</v>
      </c>
      <c r="D60" s="197">
        <v>745636</v>
      </c>
      <c r="E60" s="197">
        <v>18219367</v>
      </c>
      <c r="F60" s="197">
        <v>15355275</v>
      </c>
      <c r="G60" s="197">
        <v>15213819</v>
      </c>
      <c r="H60" s="197">
        <v>12036544</v>
      </c>
      <c r="I60" s="197">
        <v>4245454</v>
      </c>
      <c r="J60" s="197">
        <v>1363182</v>
      </c>
      <c r="K60" s="197">
        <v>13517089</v>
      </c>
      <c r="L60" s="197">
        <v>11027817</v>
      </c>
      <c r="M60" s="197">
        <v>11099272</v>
      </c>
      <c r="N60" s="207">
        <v>6546636</v>
      </c>
      <c r="O60" s="204">
        <f t="shared" si="42"/>
        <v>111022455</v>
      </c>
      <c r="P60" s="216">
        <f t="shared" si="43"/>
        <v>0.16660819376615296</v>
      </c>
      <c r="R60" s="163"/>
    </row>
    <row r="61" spans="1:19" ht="12.6" customHeight="1">
      <c r="A61" s="744"/>
      <c r="B61" s="162" t="s">
        <v>8</v>
      </c>
      <c r="C61" s="197">
        <v>199818</v>
      </c>
      <c r="D61" s="197">
        <v>231364</v>
      </c>
      <c r="E61" s="197">
        <v>2726028</v>
      </c>
      <c r="F61" s="197">
        <v>2440046</v>
      </c>
      <c r="G61" s="197">
        <v>1872737</v>
      </c>
      <c r="H61" s="197">
        <v>1380909</v>
      </c>
      <c r="I61" s="197">
        <v>340455</v>
      </c>
      <c r="J61" s="197">
        <v>392818</v>
      </c>
      <c r="K61" s="197">
        <v>580182</v>
      </c>
      <c r="L61" s="197">
        <v>474818</v>
      </c>
      <c r="M61" s="197">
        <v>424364</v>
      </c>
      <c r="N61" s="207">
        <v>398455</v>
      </c>
      <c r="O61" s="204">
        <f t="shared" si="42"/>
        <v>11461994</v>
      </c>
      <c r="P61" s="216">
        <f t="shared" si="43"/>
        <v>1.7200683567107959E-2</v>
      </c>
    </row>
    <row r="62" spans="1:19" ht="12.6" customHeight="1">
      <c r="A62" s="744"/>
      <c r="B62" s="162" t="s">
        <v>9</v>
      </c>
      <c r="C62" s="197">
        <v>2919182</v>
      </c>
      <c r="D62" s="197">
        <v>4189818</v>
      </c>
      <c r="E62" s="197">
        <v>10623819</v>
      </c>
      <c r="F62" s="197">
        <v>9212183</v>
      </c>
      <c r="G62" s="197">
        <v>7761364</v>
      </c>
      <c r="H62" s="197">
        <v>6432727</v>
      </c>
      <c r="I62" s="197">
        <v>4185454</v>
      </c>
      <c r="J62" s="197">
        <v>4341418</v>
      </c>
      <c r="K62" s="197">
        <v>7167000</v>
      </c>
      <c r="L62" s="197">
        <v>5668818</v>
      </c>
      <c r="M62" s="197">
        <v>8308918</v>
      </c>
      <c r="N62" s="207">
        <v>4252182</v>
      </c>
      <c r="O62" s="204">
        <f t="shared" si="42"/>
        <v>75062883</v>
      </c>
      <c r="P62" s="216">
        <f t="shared" si="43"/>
        <v>0.11264470197051642</v>
      </c>
    </row>
    <row r="63" spans="1:19" ht="12.6" customHeight="1">
      <c r="A63" s="744"/>
      <c r="B63" s="162" t="s">
        <v>10</v>
      </c>
      <c r="C63" s="197">
        <v>1086364</v>
      </c>
      <c r="D63" s="197">
        <v>1437909</v>
      </c>
      <c r="E63" s="197">
        <v>3016910</v>
      </c>
      <c r="F63" s="197">
        <v>2276728</v>
      </c>
      <c r="G63" s="197">
        <v>2338636</v>
      </c>
      <c r="H63" s="197">
        <v>2046092</v>
      </c>
      <c r="I63" s="197">
        <v>1884546</v>
      </c>
      <c r="J63" s="197">
        <v>1774910</v>
      </c>
      <c r="K63" s="197">
        <v>3231728</v>
      </c>
      <c r="L63" s="197">
        <v>2655910</v>
      </c>
      <c r="M63" s="197">
        <v>2957818</v>
      </c>
      <c r="N63" s="207">
        <v>1918000</v>
      </c>
      <c r="O63" s="204">
        <f t="shared" si="42"/>
        <v>26625551</v>
      </c>
      <c r="P63" s="216">
        <f t="shared" si="43"/>
        <v>3.9956195889728686E-2</v>
      </c>
    </row>
    <row r="64" spans="1:19" ht="12.6" customHeight="1">
      <c r="A64" s="744"/>
      <c r="B64" s="162" t="s">
        <v>11</v>
      </c>
      <c r="C64" s="197">
        <v>2310636</v>
      </c>
      <c r="D64" s="197">
        <v>2158636</v>
      </c>
      <c r="E64" s="197">
        <v>10557184</v>
      </c>
      <c r="F64" s="197">
        <v>8718729</v>
      </c>
      <c r="G64" s="197">
        <v>7002182</v>
      </c>
      <c r="H64" s="197">
        <v>6525272</v>
      </c>
      <c r="I64" s="197">
        <v>3238091</v>
      </c>
      <c r="J64" s="197">
        <v>3128818</v>
      </c>
      <c r="K64" s="197">
        <v>8110635</v>
      </c>
      <c r="L64" s="197">
        <v>7300090</v>
      </c>
      <c r="M64" s="197">
        <v>7603636</v>
      </c>
      <c r="N64" s="207">
        <v>5518727</v>
      </c>
      <c r="O64" s="204">
        <f t="shared" si="42"/>
        <v>72172636</v>
      </c>
      <c r="P64" s="216">
        <f t="shared" si="43"/>
        <v>0.10830739171910789</v>
      </c>
    </row>
    <row r="65" spans="1:19" ht="12.6" customHeight="1">
      <c r="A65" s="744"/>
      <c r="B65" s="162" t="s">
        <v>12</v>
      </c>
      <c r="C65" s="197">
        <v>3464300</v>
      </c>
      <c r="D65" s="197">
        <v>4955637</v>
      </c>
      <c r="E65" s="197">
        <v>20854530</v>
      </c>
      <c r="F65" s="197">
        <v>18412046</v>
      </c>
      <c r="G65" s="197">
        <v>18512181</v>
      </c>
      <c r="H65" s="197">
        <v>14103909</v>
      </c>
      <c r="I65" s="197">
        <v>5452273</v>
      </c>
      <c r="J65" s="197">
        <v>5596909</v>
      </c>
      <c r="K65" s="197">
        <v>19369908</v>
      </c>
      <c r="L65" s="197">
        <v>19469872</v>
      </c>
      <c r="M65" s="197">
        <v>20211636</v>
      </c>
      <c r="N65" s="207">
        <v>13433391</v>
      </c>
      <c r="O65" s="204">
        <f t="shared" si="42"/>
        <v>163836592</v>
      </c>
      <c r="P65" s="216">
        <f t="shared" si="43"/>
        <v>0.24586484478227533</v>
      </c>
    </row>
    <row r="66" spans="1:19" ht="12.6" customHeight="1" thickBot="1">
      <c r="A66" s="744"/>
      <c r="B66" s="165" t="s">
        <v>13</v>
      </c>
      <c r="C66" s="197">
        <v>2762455</v>
      </c>
      <c r="D66" s="197">
        <v>3814182</v>
      </c>
      <c r="E66" s="197">
        <v>9140363</v>
      </c>
      <c r="F66" s="197">
        <v>8446454</v>
      </c>
      <c r="G66" s="197">
        <v>8263000</v>
      </c>
      <c r="H66" s="197">
        <v>6152091</v>
      </c>
      <c r="I66" s="197">
        <v>5234182</v>
      </c>
      <c r="J66" s="197">
        <v>4674182</v>
      </c>
      <c r="K66" s="197">
        <v>8455181</v>
      </c>
      <c r="L66" s="197">
        <v>6970454</v>
      </c>
      <c r="M66" s="197">
        <v>7335909</v>
      </c>
      <c r="N66" s="207">
        <v>5055136</v>
      </c>
      <c r="O66" s="204">
        <f t="shared" si="42"/>
        <v>76303589</v>
      </c>
      <c r="P66" s="216">
        <f t="shared" si="43"/>
        <v>0.11450659365409366</v>
      </c>
    </row>
    <row r="67" spans="1:19" ht="12.6" customHeight="1">
      <c r="A67" s="741"/>
      <c r="B67" s="187" t="s">
        <v>174</v>
      </c>
      <c r="C67" s="188">
        <f>SUM(C58:C66)</f>
        <v>18681574</v>
      </c>
      <c r="D67" s="189">
        <f t="shared" ref="D67" si="44">SUM(D58:D66)</f>
        <v>23238410</v>
      </c>
      <c r="E67" s="189">
        <f t="shared" ref="E67" si="45">SUM(E58:E66)</f>
        <v>90009539</v>
      </c>
      <c r="F67" s="189">
        <f t="shared" ref="F67" si="46">SUM(F58:F66)</f>
        <v>80593627</v>
      </c>
      <c r="G67" s="189">
        <f t="shared" ref="G67" si="47">SUM(G58:G66)</f>
        <v>74428020</v>
      </c>
      <c r="H67" s="189">
        <f t="shared" ref="H67" si="48">SUM(H58:H66)</f>
        <v>60946272</v>
      </c>
      <c r="I67" s="189">
        <f t="shared" ref="I67" si="49">SUM(I58:I66)</f>
        <v>32361182</v>
      </c>
      <c r="J67" s="189">
        <f t="shared" ref="J67" si="50">SUM(J58:J66)</f>
        <v>28441055</v>
      </c>
      <c r="K67" s="189">
        <f t="shared" ref="K67" si="51">SUM(K58:K66)</f>
        <v>73089042</v>
      </c>
      <c r="L67" s="189">
        <f t="shared" ref="L67" si="52">SUM(L58:L66)</f>
        <v>66076506</v>
      </c>
      <c r="M67" s="189">
        <f t="shared" ref="M67" si="53">SUM(M58:M66)</f>
        <v>71994944</v>
      </c>
      <c r="N67" s="190">
        <f>SUM(N58:N66)</f>
        <v>46508346</v>
      </c>
      <c r="O67" s="239">
        <f>SUM(O58:O66)</f>
        <v>666368517</v>
      </c>
      <c r="P67" s="237">
        <f>SUM(P58:P66)</f>
        <v>0.99999999999999989</v>
      </c>
      <c r="S67" s="175"/>
    </row>
    <row r="68" spans="1:19" ht="12" customHeight="1" thickBot="1">
      <c r="A68" s="742"/>
      <c r="B68" s="192" t="s">
        <v>180</v>
      </c>
      <c r="C68" s="240">
        <f>C67/$O$67</f>
        <v>2.8034898893640258E-2</v>
      </c>
      <c r="D68" s="240">
        <f t="shared" ref="D68:N68" si="54">D67/$O$67</f>
        <v>3.4873211154421928E-2</v>
      </c>
      <c r="E68" s="240">
        <f t="shared" si="54"/>
        <v>0.13507471722287265</v>
      </c>
      <c r="F68" s="240">
        <f t="shared" si="54"/>
        <v>0.12094452985689298</v>
      </c>
      <c r="G68" s="240">
        <f t="shared" si="54"/>
        <v>0.11169198139053139</v>
      </c>
      <c r="H68" s="240">
        <f t="shared" si="54"/>
        <v>9.1460311291987409E-2</v>
      </c>
      <c r="I68" s="240">
        <f t="shared" si="54"/>
        <v>4.8563491783331053E-2</v>
      </c>
      <c r="J68" s="240">
        <f t="shared" si="54"/>
        <v>4.268067034145312E-2</v>
      </c>
      <c r="K68" s="240">
        <f t="shared" si="54"/>
        <v>0.10968261575298882</v>
      </c>
      <c r="L68" s="240">
        <f t="shared" si="54"/>
        <v>9.9159105381324608E-2</v>
      </c>
      <c r="M68" s="240">
        <f t="shared" si="54"/>
        <v>0.10804073446345006</v>
      </c>
      <c r="N68" s="240">
        <f t="shared" si="54"/>
        <v>6.979373246710574E-2</v>
      </c>
      <c r="O68" s="241">
        <f>SUM(C68:N68)</f>
        <v>1</v>
      </c>
      <c r="P68" s="194"/>
      <c r="S68" s="163"/>
    </row>
    <row r="69" spans="1:19">
      <c r="B69" s="195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5"/>
      <c r="N69" s="195"/>
      <c r="O69" s="195"/>
    </row>
    <row r="70" spans="1:19">
      <c r="B70" s="167"/>
    </row>
    <row r="71" spans="1:19">
      <c r="B71" s="243"/>
      <c r="C71" s="244" t="s">
        <v>182</v>
      </c>
      <c r="D71" s="244" t="s">
        <v>16</v>
      </c>
      <c r="E71" s="244" t="s">
        <v>17</v>
      </c>
      <c r="F71" s="244" t="s">
        <v>18</v>
      </c>
      <c r="G71" s="244" t="s">
        <v>19</v>
      </c>
      <c r="H71" s="244" t="s">
        <v>20</v>
      </c>
      <c r="I71" s="244" t="s">
        <v>21</v>
      </c>
      <c r="J71" s="244" t="s">
        <v>22</v>
      </c>
      <c r="K71" s="244" t="s">
        <v>23</v>
      </c>
      <c r="L71" s="244" t="s">
        <v>24</v>
      </c>
      <c r="M71" s="244" t="s">
        <v>25</v>
      </c>
      <c r="N71" s="244" t="s">
        <v>26</v>
      </c>
      <c r="O71" s="245"/>
    </row>
    <row r="72" spans="1:19">
      <c r="B72" s="246" t="s">
        <v>183</v>
      </c>
      <c r="C72" s="247">
        <f>AVERAGE(C13,C24,C35,C46,C57,C68)</f>
        <v>4.5609689813472555E-2</v>
      </c>
      <c r="D72" s="247">
        <f t="shared" ref="D72:N72" si="55">AVERAGE(D13,D24,D35,D46,D57,D68)</f>
        <v>4.3811600568583388E-2</v>
      </c>
      <c r="E72" s="247">
        <f t="shared" si="55"/>
        <v>9.6199140637638528E-2</v>
      </c>
      <c r="F72" s="247">
        <f t="shared" si="55"/>
        <v>0.10602037833922562</v>
      </c>
      <c r="G72" s="247">
        <f t="shared" si="55"/>
        <v>9.4659524589304114E-2</v>
      </c>
      <c r="H72" s="247">
        <f t="shared" si="55"/>
        <v>9.120495029685477E-2</v>
      </c>
      <c r="I72" s="247">
        <f t="shared" si="55"/>
        <v>5.5150644914165749E-2</v>
      </c>
      <c r="J72" s="247">
        <f t="shared" si="55"/>
        <v>5.5899608700242326E-2</v>
      </c>
      <c r="K72" s="247">
        <f t="shared" si="55"/>
        <v>0.10655059443562072</v>
      </c>
      <c r="L72" s="247">
        <f t="shared" si="55"/>
        <v>0.10971731835793604</v>
      </c>
      <c r="M72" s="247">
        <f t="shared" si="55"/>
        <v>0.1101931394443687</v>
      </c>
      <c r="N72" s="247">
        <f t="shared" si="55"/>
        <v>8.498340807618826E-2</v>
      </c>
      <c r="O72" s="251">
        <f>SUM(C72:N72)</f>
        <v>0.99999999817360097</v>
      </c>
      <c r="P72" s="242"/>
    </row>
    <row r="73" spans="1:19">
      <c r="B73" s="250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67"/>
      <c r="P73" s="242"/>
    </row>
    <row r="74" spans="1:19">
      <c r="B74" s="250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2"/>
    </row>
    <row r="75" spans="1:19">
      <c r="C75" s="256"/>
      <c r="O75" s="243"/>
      <c r="P75" s="249" t="s">
        <v>184</v>
      </c>
    </row>
    <row r="76" spans="1:19">
      <c r="C76" s="256"/>
      <c r="O76" s="166" t="s">
        <v>189</v>
      </c>
      <c r="P76" s="247">
        <f>AVERAGE(P3,P14,P25,P36,P47,P58)</f>
        <v>6.9887468080638129E-2</v>
      </c>
    </row>
    <row r="77" spans="1:19">
      <c r="C77" s="256"/>
      <c r="O77" s="166" t="s">
        <v>188</v>
      </c>
      <c r="P77" s="247">
        <f t="shared" ref="P77:P84" si="56">AVERAGE(P4,P15,P26,P37,P48,P59)</f>
        <v>0.1264890524886825</v>
      </c>
    </row>
    <row r="78" spans="1:19">
      <c r="C78" s="256"/>
      <c r="O78" s="166" t="s">
        <v>187</v>
      </c>
      <c r="P78" s="247">
        <f t="shared" si="56"/>
        <v>0.1176648973936153</v>
      </c>
    </row>
    <row r="79" spans="1:19">
      <c r="C79" s="256"/>
      <c r="O79" s="166" t="s">
        <v>186</v>
      </c>
      <c r="P79" s="247">
        <f t="shared" si="56"/>
        <v>1.3271070381310595E-2</v>
      </c>
    </row>
    <row r="80" spans="1:19">
      <c r="E80" s="277"/>
      <c r="O80" s="166" t="s">
        <v>185</v>
      </c>
      <c r="P80" s="247">
        <f t="shared" si="56"/>
        <v>0.1533604293977015</v>
      </c>
    </row>
    <row r="81" spans="5:16">
      <c r="E81" s="278"/>
      <c r="O81" s="166" t="s">
        <v>190</v>
      </c>
      <c r="P81" s="247">
        <f t="shared" si="56"/>
        <v>5.5173627675282139E-2</v>
      </c>
    </row>
    <row r="82" spans="5:16">
      <c r="E82" s="278"/>
      <c r="O82" s="166" t="s">
        <v>191</v>
      </c>
      <c r="P82" s="247">
        <f t="shared" si="56"/>
        <v>0.11277936555911762</v>
      </c>
    </row>
    <row r="83" spans="5:16">
      <c r="O83" s="166" t="s">
        <v>192</v>
      </c>
      <c r="P83" s="247">
        <f t="shared" si="56"/>
        <v>0.21239599263979472</v>
      </c>
    </row>
    <row r="84" spans="5:16">
      <c r="O84" s="166" t="s">
        <v>193</v>
      </c>
      <c r="P84" s="247">
        <f t="shared" si="56"/>
        <v>0.13897809638385747</v>
      </c>
    </row>
    <row r="85" spans="5:16">
      <c r="O85" s="243"/>
      <c r="P85" s="247">
        <f>AVERAGE(P12,P23,P34,P45,P67)</f>
        <v>1</v>
      </c>
    </row>
  </sheetData>
  <mergeCells count="6">
    <mergeCell ref="A3:A13"/>
    <mergeCell ref="A14:A24"/>
    <mergeCell ref="A25:A35"/>
    <mergeCell ref="A36:A46"/>
    <mergeCell ref="A58:A68"/>
    <mergeCell ref="A47:A5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zoomScaleNormal="100" workbookViewId="0">
      <selection activeCell="K47" sqref="K47"/>
    </sheetView>
  </sheetViews>
  <sheetFormatPr defaultRowHeight="16.5"/>
  <cols>
    <col min="1" max="5" width="9" style="236"/>
    <col min="6" max="6" width="14.875" style="236" bestFit="1" customWidth="1"/>
    <col min="7" max="7" width="12.75" style="236" bestFit="1" customWidth="1"/>
    <col min="8" max="16384" width="9" style="236"/>
  </cols>
  <sheetData>
    <row r="1" spans="1:7" ht="17.25">
      <c r="A1" s="763" t="s">
        <v>794</v>
      </c>
      <c r="B1" s="763"/>
      <c r="C1" s="763"/>
      <c r="D1" s="763"/>
      <c r="E1" s="763"/>
      <c r="F1" s="763"/>
    </row>
    <row r="2" spans="1:7" ht="17.25">
      <c r="A2" s="507"/>
      <c r="B2" s="507"/>
      <c r="C2" s="507"/>
      <c r="D2" s="507"/>
      <c r="E2" s="507"/>
      <c r="F2" s="507"/>
    </row>
    <row r="3" spans="1:7" ht="17.25" thickBot="1">
      <c r="A3" s="766" t="s">
        <v>793</v>
      </c>
      <c r="B3" s="766"/>
      <c r="C3" s="766"/>
      <c r="D3" s="766"/>
      <c r="E3" s="766"/>
      <c r="F3" s="766"/>
      <c r="G3" s="766"/>
    </row>
    <row r="4" spans="1:7" ht="17.25" thickBot="1">
      <c r="A4" s="761" t="s">
        <v>792</v>
      </c>
      <c r="B4" s="762"/>
      <c r="C4" s="762"/>
      <c r="D4" s="762"/>
      <c r="E4" s="762"/>
      <c r="F4" s="506" t="s">
        <v>791</v>
      </c>
      <c r="G4" s="505" t="s">
        <v>790</v>
      </c>
    </row>
    <row r="5" spans="1:7">
      <c r="A5" s="764" t="s">
        <v>259</v>
      </c>
      <c r="B5" s="765"/>
      <c r="C5" s="765"/>
      <c r="D5" s="765"/>
      <c r="E5" s="765"/>
      <c r="F5" s="504">
        <v>422643407</v>
      </c>
      <c r="G5" s="503">
        <f t="shared" ref="G5:G10" si="0">F5/$F$11</f>
        <v>0.63365313803084844</v>
      </c>
    </row>
    <row r="6" spans="1:7">
      <c r="A6" s="759" t="s">
        <v>789</v>
      </c>
      <c r="B6" s="760"/>
      <c r="C6" s="760"/>
      <c r="D6" s="760"/>
      <c r="E6" s="760"/>
      <c r="F6" s="502">
        <v>146115979</v>
      </c>
      <c r="G6" s="501">
        <f t="shared" si="0"/>
        <v>0.21906611359916364</v>
      </c>
    </row>
    <row r="7" spans="1:7">
      <c r="A7" s="759" t="s">
        <v>788</v>
      </c>
      <c r="B7" s="760"/>
      <c r="C7" s="760"/>
      <c r="D7" s="760"/>
      <c r="E7" s="760"/>
      <c r="F7" s="502">
        <v>54824201</v>
      </c>
      <c r="G7" s="501">
        <f t="shared" si="0"/>
        <v>8.2195833244558286E-2</v>
      </c>
    </row>
    <row r="8" spans="1:7">
      <c r="A8" s="759" t="s">
        <v>787</v>
      </c>
      <c r="B8" s="760"/>
      <c r="C8" s="760"/>
      <c r="D8" s="760"/>
      <c r="E8" s="760"/>
      <c r="F8" s="502">
        <v>32724630</v>
      </c>
      <c r="G8" s="501">
        <f t="shared" si="0"/>
        <v>4.9062789450773199E-2</v>
      </c>
    </row>
    <row r="9" spans="1:7">
      <c r="A9" s="759" t="s">
        <v>786</v>
      </c>
      <c r="B9" s="760"/>
      <c r="C9" s="760"/>
      <c r="D9" s="760"/>
      <c r="E9" s="760"/>
      <c r="F9" s="502">
        <v>3683457</v>
      </c>
      <c r="G9" s="501">
        <f t="shared" si="0"/>
        <v>5.5224665715693866E-3</v>
      </c>
    </row>
    <row r="10" spans="1:7" ht="17.25" thickBot="1">
      <c r="A10" s="753" t="s">
        <v>785</v>
      </c>
      <c r="B10" s="754"/>
      <c r="C10" s="754"/>
      <c r="D10" s="754"/>
      <c r="E10" s="754"/>
      <c r="F10" s="500">
        <v>7003219</v>
      </c>
      <c r="G10" s="499">
        <f t="shared" si="0"/>
        <v>1.0499659103087016E-2</v>
      </c>
    </row>
    <row r="11" spans="1:7" ht="17.25" thickBot="1">
      <c r="A11" s="755" t="s">
        <v>784</v>
      </c>
      <c r="B11" s="756"/>
      <c r="C11" s="756"/>
      <c r="D11" s="756"/>
      <c r="E11" s="756"/>
      <c r="F11" s="498">
        <f>SUM(F5:F10)</f>
        <v>666994893</v>
      </c>
      <c r="G11" s="497">
        <f>SUM(G5:G10)</f>
        <v>1</v>
      </c>
    </row>
    <row r="12" spans="1:7">
      <c r="A12" s="494"/>
      <c r="B12" s="494"/>
      <c r="C12" s="494"/>
      <c r="D12" s="494"/>
      <c r="E12" s="494"/>
      <c r="F12" s="496"/>
      <c r="G12" s="495"/>
    </row>
    <row r="13" spans="1:7">
      <c r="A13" s="750" t="s">
        <v>783</v>
      </c>
      <c r="B13" s="750"/>
      <c r="C13" s="750"/>
      <c r="D13" s="750"/>
      <c r="E13" s="750"/>
      <c r="F13" s="750"/>
      <c r="G13" s="750"/>
    </row>
    <row r="14" spans="1:7" ht="17.25" thickBot="1">
      <c r="A14" s="494" t="s">
        <v>782</v>
      </c>
      <c r="B14" s="493"/>
      <c r="C14" s="493"/>
      <c r="D14" s="493"/>
      <c r="E14" s="493"/>
      <c r="F14" s="493"/>
      <c r="G14" s="493"/>
    </row>
    <row r="15" spans="1:7" ht="17.25" thickBot="1">
      <c r="A15" s="487" t="s">
        <v>772</v>
      </c>
      <c r="B15" s="749" t="s">
        <v>778</v>
      </c>
      <c r="C15" s="749"/>
      <c r="D15" s="486" t="s">
        <v>777</v>
      </c>
      <c r="E15" s="486" t="s">
        <v>776</v>
      </c>
      <c r="F15" s="486" t="s">
        <v>775</v>
      </c>
      <c r="G15" s="485" t="s">
        <v>774</v>
      </c>
    </row>
    <row r="16" spans="1:7">
      <c r="A16" s="462">
        <v>1</v>
      </c>
      <c r="B16" s="757" t="s">
        <v>781</v>
      </c>
      <c r="C16" s="758"/>
      <c r="D16" s="459">
        <v>3000</v>
      </c>
      <c r="E16" s="459">
        <v>60115</v>
      </c>
      <c r="F16" s="458">
        <v>159638290</v>
      </c>
      <c r="G16" s="492">
        <v>0.23933959866166471</v>
      </c>
    </row>
    <row r="17" spans="1:7">
      <c r="A17" s="455">
        <v>2</v>
      </c>
      <c r="B17" s="745" t="s">
        <v>711</v>
      </c>
      <c r="C17" s="746"/>
      <c r="D17" s="146">
        <v>2700</v>
      </c>
      <c r="E17" s="146">
        <v>18244</v>
      </c>
      <c r="F17" s="452">
        <v>43817403</v>
      </c>
      <c r="G17" s="451">
        <v>6.5693760866621806E-2</v>
      </c>
    </row>
    <row r="18" spans="1:7">
      <c r="A18" s="455">
        <v>3</v>
      </c>
      <c r="B18" s="745" t="s">
        <v>709</v>
      </c>
      <c r="C18" s="746"/>
      <c r="D18" s="146">
        <v>3700</v>
      </c>
      <c r="E18" s="146">
        <v>12336</v>
      </c>
      <c r="F18" s="452">
        <v>40994052</v>
      </c>
      <c r="G18" s="451">
        <v>6.1460818411393746E-2</v>
      </c>
    </row>
    <row r="19" spans="1:7">
      <c r="A19" s="455">
        <v>5</v>
      </c>
      <c r="B19" s="745" t="s">
        <v>263</v>
      </c>
      <c r="C19" s="746"/>
      <c r="D19" s="146">
        <v>3300</v>
      </c>
      <c r="E19" s="146">
        <v>9788</v>
      </c>
      <c r="F19" s="452">
        <v>28142457</v>
      </c>
      <c r="G19" s="451">
        <v>4.2192912262673049E-2</v>
      </c>
    </row>
    <row r="20" spans="1:7" ht="17.25" thickBot="1">
      <c r="A20" s="450">
        <v>6</v>
      </c>
      <c r="B20" s="747" t="s">
        <v>707</v>
      </c>
      <c r="C20" s="748"/>
      <c r="D20" s="447">
        <v>3000</v>
      </c>
      <c r="E20" s="447">
        <v>10384</v>
      </c>
      <c r="F20" s="446">
        <v>27251712</v>
      </c>
      <c r="G20" s="445">
        <v>4.0857452262381862E-2</v>
      </c>
    </row>
    <row r="21" spans="1:7" ht="17.25" thickBot="1">
      <c r="A21" s="491" t="s">
        <v>780</v>
      </c>
      <c r="B21" s="490"/>
      <c r="C21" s="490"/>
      <c r="D21" s="489"/>
      <c r="E21" s="489"/>
      <c r="F21" s="489"/>
      <c r="G21" s="488"/>
    </row>
    <row r="22" spans="1:7" ht="17.25" thickBot="1">
      <c r="A22" s="487" t="s">
        <v>772</v>
      </c>
      <c r="B22" s="749" t="s">
        <v>778</v>
      </c>
      <c r="C22" s="749"/>
      <c r="D22" s="486" t="s">
        <v>777</v>
      </c>
      <c r="E22" s="486" t="s">
        <v>776</v>
      </c>
      <c r="F22" s="486" t="s">
        <v>775</v>
      </c>
      <c r="G22" s="485" t="s">
        <v>774</v>
      </c>
    </row>
    <row r="23" spans="1:7">
      <c r="A23" s="484">
        <v>4</v>
      </c>
      <c r="B23" s="751" t="s">
        <v>708</v>
      </c>
      <c r="C23" s="752"/>
      <c r="D23" s="483">
        <v>3000</v>
      </c>
      <c r="E23" s="483">
        <v>12369</v>
      </c>
      <c r="F23" s="482">
        <v>32866203</v>
      </c>
      <c r="G23" s="481">
        <v>4.9275044449253375E-2</v>
      </c>
    </row>
    <row r="24" spans="1:7">
      <c r="A24" s="455">
        <v>10</v>
      </c>
      <c r="B24" s="745" t="s">
        <v>704</v>
      </c>
      <c r="C24" s="746"/>
      <c r="D24" s="146">
        <v>2500</v>
      </c>
      <c r="E24" s="146">
        <v>4619</v>
      </c>
      <c r="F24" s="452">
        <v>10406827</v>
      </c>
      <c r="G24" s="451">
        <v>1.5602558744029243E-2</v>
      </c>
    </row>
    <row r="25" spans="1:7">
      <c r="A25" s="455">
        <v>16</v>
      </c>
      <c r="B25" s="745" t="s">
        <v>699</v>
      </c>
      <c r="C25" s="746"/>
      <c r="D25" s="146">
        <v>3500</v>
      </c>
      <c r="E25" s="146">
        <v>2062</v>
      </c>
      <c r="F25" s="452">
        <v>6461936</v>
      </c>
      <c r="G25" s="451">
        <v>9.6881341488772085E-3</v>
      </c>
    </row>
    <row r="26" spans="1:7">
      <c r="A26" s="455">
        <v>19</v>
      </c>
      <c r="B26" s="745" t="s">
        <v>696</v>
      </c>
      <c r="C26" s="746"/>
      <c r="D26" s="146">
        <v>3500</v>
      </c>
      <c r="E26" s="146">
        <v>1599</v>
      </c>
      <c r="F26" s="452">
        <v>4915727</v>
      </c>
      <c r="G26" s="451">
        <v>7.3699619766054193E-3</v>
      </c>
    </row>
    <row r="27" spans="1:7" ht="17.25" thickBot="1">
      <c r="A27" s="450">
        <v>23</v>
      </c>
      <c r="B27" s="747" t="s">
        <v>692</v>
      </c>
      <c r="C27" s="748"/>
      <c r="D27" s="447">
        <v>4000</v>
      </c>
      <c r="E27" s="447">
        <v>1180</v>
      </c>
      <c r="F27" s="446">
        <v>3996268</v>
      </c>
      <c r="G27" s="445">
        <v>5.9914521714336429E-3</v>
      </c>
    </row>
    <row r="28" spans="1:7" ht="17.25" thickBot="1">
      <c r="A28" s="491" t="s">
        <v>779</v>
      </c>
      <c r="B28" s="490"/>
      <c r="C28" s="490"/>
      <c r="D28" s="489"/>
      <c r="E28" s="489"/>
      <c r="F28" s="489"/>
      <c r="G28" s="488"/>
    </row>
    <row r="29" spans="1:7" ht="17.25" thickBot="1">
      <c r="A29" s="487" t="s">
        <v>772</v>
      </c>
      <c r="B29" s="749" t="s">
        <v>778</v>
      </c>
      <c r="C29" s="749"/>
      <c r="D29" s="486" t="s">
        <v>777</v>
      </c>
      <c r="E29" s="486" t="s">
        <v>776</v>
      </c>
      <c r="F29" s="486" t="s">
        <v>775</v>
      </c>
      <c r="G29" s="485" t="s">
        <v>774</v>
      </c>
    </row>
    <row r="30" spans="1:7">
      <c r="A30" s="484">
        <v>20</v>
      </c>
      <c r="B30" s="751" t="s">
        <v>695</v>
      </c>
      <c r="C30" s="752"/>
      <c r="D30" s="483">
        <v>3800</v>
      </c>
      <c r="E30" s="483">
        <v>1511</v>
      </c>
      <c r="F30" s="482">
        <v>4827731</v>
      </c>
      <c r="G30" s="481">
        <v>7.2380329304860208E-3</v>
      </c>
    </row>
    <row r="31" spans="1:7">
      <c r="A31" s="455">
        <v>21</v>
      </c>
      <c r="B31" s="745" t="s">
        <v>694</v>
      </c>
      <c r="C31" s="746"/>
      <c r="D31" s="146">
        <v>3500</v>
      </c>
      <c r="E31" s="146">
        <v>1582</v>
      </c>
      <c r="F31" s="452">
        <v>4801972</v>
      </c>
      <c r="G31" s="451">
        <v>7.1994134443844988E-3</v>
      </c>
    </row>
    <row r="32" spans="1:7">
      <c r="A32" s="455">
        <v>24</v>
      </c>
      <c r="B32" s="745" t="s">
        <v>691</v>
      </c>
      <c r="C32" s="746"/>
      <c r="D32" s="146">
        <v>3500</v>
      </c>
      <c r="E32" s="146">
        <v>1310</v>
      </c>
      <c r="F32" s="452">
        <v>3965185</v>
      </c>
      <c r="G32" s="451">
        <v>5.944850615220528E-3</v>
      </c>
    </row>
    <row r="33" spans="1:7">
      <c r="A33" s="455">
        <v>29</v>
      </c>
      <c r="B33" s="745" t="s">
        <v>686</v>
      </c>
      <c r="C33" s="746"/>
      <c r="D33" s="146">
        <v>4000</v>
      </c>
      <c r="E33" s="146">
        <v>1055</v>
      </c>
      <c r="F33" s="452">
        <v>3374360</v>
      </c>
      <c r="G33" s="451">
        <v>5.0590492302315122E-3</v>
      </c>
    </row>
    <row r="34" spans="1:7" ht="17.25" thickBot="1">
      <c r="A34" s="450">
        <v>34</v>
      </c>
      <c r="B34" s="747" t="s">
        <v>681</v>
      </c>
      <c r="C34" s="748"/>
      <c r="D34" s="447">
        <v>3800</v>
      </c>
      <c r="E34" s="447">
        <v>892</v>
      </c>
      <c r="F34" s="446">
        <v>2950711</v>
      </c>
      <c r="G34" s="445">
        <v>4.4238884449749449E-3</v>
      </c>
    </row>
    <row r="35" spans="1:7" ht="17.25" thickBot="1">
      <c r="A35" s="491" t="s">
        <v>773</v>
      </c>
      <c r="B35" s="490"/>
      <c r="C35" s="490"/>
      <c r="D35" s="489"/>
      <c r="E35" s="489"/>
      <c r="F35" s="489"/>
      <c r="G35" s="488"/>
    </row>
    <row r="36" spans="1:7" ht="17.25" thickBot="1">
      <c r="A36" s="487" t="s">
        <v>772</v>
      </c>
      <c r="B36" s="749" t="s">
        <v>756</v>
      </c>
      <c r="C36" s="749"/>
      <c r="D36" s="486" t="s">
        <v>767</v>
      </c>
      <c r="E36" s="486" t="s">
        <v>754</v>
      </c>
      <c r="F36" s="486" t="s">
        <v>766</v>
      </c>
      <c r="G36" s="485" t="s">
        <v>765</v>
      </c>
    </row>
    <row r="37" spans="1:7">
      <c r="A37" s="484">
        <v>11</v>
      </c>
      <c r="B37" s="751" t="s">
        <v>703</v>
      </c>
      <c r="C37" s="752"/>
      <c r="D37" s="483">
        <v>2800</v>
      </c>
      <c r="E37" s="483">
        <v>3494</v>
      </c>
      <c r="F37" s="482">
        <v>8770875</v>
      </c>
      <c r="G37" s="481">
        <v>1.3149838315178825E-2</v>
      </c>
    </row>
    <row r="38" spans="1:7">
      <c r="A38" s="455">
        <v>13</v>
      </c>
      <c r="B38" s="745" t="s">
        <v>702</v>
      </c>
      <c r="C38" s="746"/>
      <c r="D38" s="146">
        <v>2700</v>
      </c>
      <c r="E38" s="146">
        <v>3135</v>
      </c>
      <c r="F38" s="452">
        <v>7557887</v>
      </c>
      <c r="G38" s="451">
        <v>1.1331251677214866E-2</v>
      </c>
    </row>
    <row r="39" spans="1:7">
      <c r="A39" s="455">
        <v>27</v>
      </c>
      <c r="B39" s="745" t="s">
        <v>688</v>
      </c>
      <c r="C39" s="746"/>
      <c r="D39" s="146">
        <v>1800</v>
      </c>
      <c r="E39" s="146">
        <v>2235</v>
      </c>
      <c r="F39" s="452">
        <v>3573282</v>
      </c>
      <c r="G39" s="451">
        <v>5.3572853967863892E-3</v>
      </c>
    </row>
    <row r="40" spans="1:7">
      <c r="A40" s="455">
        <v>31</v>
      </c>
      <c r="B40" s="745" t="s">
        <v>684</v>
      </c>
      <c r="C40" s="746"/>
      <c r="D40" s="146">
        <v>2800</v>
      </c>
      <c r="E40" s="146">
        <v>1312</v>
      </c>
      <c r="F40" s="452">
        <v>3328537</v>
      </c>
      <c r="G40" s="451">
        <v>4.9903485542879562E-3</v>
      </c>
    </row>
    <row r="41" spans="1:7" ht="17.25" thickBot="1">
      <c r="A41" s="450">
        <v>73</v>
      </c>
      <c r="B41" s="747" t="s">
        <v>645</v>
      </c>
      <c r="C41" s="748"/>
      <c r="D41" s="447">
        <v>2700</v>
      </c>
      <c r="E41" s="447">
        <v>538</v>
      </c>
      <c r="F41" s="446">
        <v>1300470</v>
      </c>
      <c r="G41" s="445">
        <v>1.9497450634903136E-3</v>
      </c>
    </row>
    <row r="42" spans="1:7" ht="17.25" thickBot="1">
      <c r="A42" s="491" t="s">
        <v>771</v>
      </c>
      <c r="B42" s="490"/>
      <c r="C42" s="490"/>
      <c r="D42" s="489"/>
      <c r="E42" s="489"/>
      <c r="F42" s="489"/>
      <c r="G42" s="488"/>
    </row>
    <row r="43" spans="1:7" ht="17.25" thickBot="1">
      <c r="A43" s="487" t="s">
        <v>769</v>
      </c>
      <c r="B43" s="749" t="s">
        <v>756</v>
      </c>
      <c r="C43" s="749"/>
      <c r="D43" s="486" t="s">
        <v>767</v>
      </c>
      <c r="E43" s="486" t="s">
        <v>754</v>
      </c>
      <c r="F43" s="486" t="s">
        <v>766</v>
      </c>
      <c r="G43" s="485" t="s">
        <v>765</v>
      </c>
    </row>
    <row r="44" spans="1:7">
      <c r="A44" s="484">
        <v>78</v>
      </c>
      <c r="B44" s="751" t="s">
        <v>642</v>
      </c>
      <c r="C44" s="752"/>
      <c r="D44" s="483">
        <v>1200</v>
      </c>
      <c r="E44" s="483">
        <v>1085</v>
      </c>
      <c r="F44" s="482">
        <v>1182547</v>
      </c>
      <c r="G44" s="481">
        <v>1.7729476078612195E-3</v>
      </c>
    </row>
    <row r="45" spans="1:7">
      <c r="A45" s="455">
        <v>113</v>
      </c>
      <c r="B45" s="745" t="s">
        <v>236</v>
      </c>
      <c r="C45" s="746"/>
      <c r="D45" s="146">
        <v>3500</v>
      </c>
      <c r="E45" s="146">
        <v>228</v>
      </c>
      <c r="F45" s="452">
        <v>725455</v>
      </c>
      <c r="G45" s="451">
        <v>1.0876470084157002E-3</v>
      </c>
    </row>
    <row r="46" spans="1:7">
      <c r="A46" s="455">
        <v>117</v>
      </c>
      <c r="B46" s="745" t="s">
        <v>614</v>
      </c>
      <c r="C46" s="746"/>
      <c r="D46" s="146">
        <v>3500</v>
      </c>
      <c r="E46" s="146">
        <v>222</v>
      </c>
      <c r="F46" s="452">
        <v>706364</v>
      </c>
      <c r="G46" s="451">
        <v>1.0590246003577722E-3</v>
      </c>
    </row>
    <row r="47" spans="1:7">
      <c r="A47" s="455">
        <v>127</v>
      </c>
      <c r="B47" s="745" t="s">
        <v>604</v>
      </c>
      <c r="C47" s="746"/>
      <c r="D47" s="146">
        <v>3500</v>
      </c>
      <c r="E47" s="146">
        <v>208</v>
      </c>
      <c r="F47" s="452">
        <v>626817</v>
      </c>
      <c r="G47" s="451">
        <v>9.3976281764424248E-4</v>
      </c>
    </row>
    <row r="48" spans="1:7" ht="17.25" thickBot="1">
      <c r="A48" s="450">
        <v>157</v>
      </c>
      <c r="B48" s="747" t="s">
        <v>235</v>
      </c>
      <c r="C48" s="748"/>
      <c r="D48" s="447">
        <v>3500</v>
      </c>
      <c r="E48" s="447">
        <v>139</v>
      </c>
      <c r="F48" s="446">
        <v>442274</v>
      </c>
      <c r="G48" s="445">
        <v>6.6308453729045267E-4</v>
      </c>
    </row>
    <row r="49" spans="1:7" ht="17.25" thickBot="1">
      <c r="A49" s="491" t="s">
        <v>770</v>
      </c>
      <c r="B49" s="490"/>
      <c r="C49" s="490"/>
      <c r="D49" s="489"/>
      <c r="E49" s="489"/>
      <c r="F49" s="489"/>
      <c r="G49" s="488"/>
    </row>
    <row r="50" spans="1:7" ht="17.25" thickBot="1">
      <c r="A50" s="487" t="s">
        <v>769</v>
      </c>
      <c r="B50" s="749" t="s">
        <v>768</v>
      </c>
      <c r="C50" s="749"/>
      <c r="D50" s="486" t="s">
        <v>767</v>
      </c>
      <c r="E50" s="486" t="s">
        <v>754</v>
      </c>
      <c r="F50" s="486" t="s">
        <v>766</v>
      </c>
      <c r="G50" s="485" t="s">
        <v>765</v>
      </c>
    </row>
    <row r="51" spans="1:7">
      <c r="A51" s="484">
        <v>18</v>
      </c>
      <c r="B51" s="751" t="s">
        <v>697</v>
      </c>
      <c r="C51" s="752"/>
      <c r="D51" s="483">
        <v>500</v>
      </c>
      <c r="E51" s="483">
        <v>12393</v>
      </c>
      <c r="F51" s="482">
        <v>5566705</v>
      </c>
      <c r="G51" s="481">
        <v>8.3459484599082232E-3</v>
      </c>
    </row>
    <row r="52" spans="1:7">
      <c r="A52" s="455">
        <v>67</v>
      </c>
      <c r="B52" s="745" t="s">
        <v>651</v>
      </c>
      <c r="C52" s="746"/>
      <c r="D52" s="146">
        <v>0</v>
      </c>
      <c r="E52" s="146">
        <v>50</v>
      </c>
      <c r="F52" s="452">
        <v>1454636</v>
      </c>
      <c r="G52" s="451">
        <v>2.1808802665000313E-3</v>
      </c>
    </row>
    <row r="53" spans="1:7">
      <c r="A53" s="455">
        <v>93</v>
      </c>
      <c r="B53" s="745" t="s">
        <v>632</v>
      </c>
      <c r="C53" s="746"/>
      <c r="D53" s="146">
        <v>7500</v>
      </c>
      <c r="E53" s="146">
        <v>139</v>
      </c>
      <c r="F53" s="452">
        <v>947727</v>
      </c>
      <c r="G53" s="451">
        <v>1.4208909392654076E-3</v>
      </c>
    </row>
    <row r="54" spans="1:7">
      <c r="A54" s="455">
        <v>103</v>
      </c>
      <c r="B54" s="745" t="s">
        <v>623</v>
      </c>
      <c r="C54" s="746"/>
      <c r="D54" s="146">
        <v>500</v>
      </c>
      <c r="E54" s="146">
        <v>1832</v>
      </c>
      <c r="F54" s="452">
        <v>820075</v>
      </c>
      <c r="G54" s="451">
        <v>1.2295071650571094E-3</v>
      </c>
    </row>
    <row r="55" spans="1:7" ht="17.25" thickBot="1">
      <c r="A55" s="450">
        <v>179</v>
      </c>
      <c r="B55" s="747" t="s">
        <v>764</v>
      </c>
      <c r="C55" s="748"/>
      <c r="D55" s="447">
        <v>350000</v>
      </c>
      <c r="E55" s="447">
        <v>1</v>
      </c>
      <c r="F55" s="446">
        <v>318182</v>
      </c>
      <c r="G55" s="445">
        <v>4.7703813528299384E-4</v>
      </c>
    </row>
  </sheetData>
  <mergeCells count="47">
    <mergeCell ref="A9:E9"/>
    <mergeCell ref="A4:E4"/>
    <mergeCell ref="A1:F1"/>
    <mergeCell ref="A5:E5"/>
    <mergeCell ref="A6:E6"/>
    <mergeCell ref="A7:E7"/>
    <mergeCell ref="A8:E8"/>
    <mergeCell ref="A3:G3"/>
    <mergeCell ref="A10:E10"/>
    <mergeCell ref="A11:E11"/>
    <mergeCell ref="B37:C37"/>
    <mergeCell ref="B38:C38"/>
    <mergeCell ref="B39:C39"/>
    <mergeCell ref="B24:C24"/>
    <mergeCell ref="B25:C25"/>
    <mergeCell ref="B26:C26"/>
    <mergeCell ref="B27:C27"/>
    <mergeCell ref="B30:C30"/>
    <mergeCell ref="B31:C31"/>
    <mergeCell ref="B20:C20"/>
    <mergeCell ref="B16:C16"/>
    <mergeCell ref="B17:C17"/>
    <mergeCell ref="B18:C18"/>
    <mergeCell ref="B23:C23"/>
    <mergeCell ref="B51:C51"/>
    <mergeCell ref="B52:C52"/>
    <mergeCell ref="B40:C40"/>
    <mergeCell ref="B41:C41"/>
    <mergeCell ref="B44:C44"/>
    <mergeCell ref="B45:C45"/>
    <mergeCell ref="B46:C46"/>
    <mergeCell ref="B53:C53"/>
    <mergeCell ref="B54:C54"/>
    <mergeCell ref="B55:C55"/>
    <mergeCell ref="B50:C50"/>
    <mergeCell ref="A13:G13"/>
    <mergeCell ref="B15:C15"/>
    <mergeCell ref="B22:C22"/>
    <mergeCell ref="B29:C29"/>
    <mergeCell ref="B36:C36"/>
    <mergeCell ref="B32:C32"/>
    <mergeCell ref="B33:C33"/>
    <mergeCell ref="B34:C34"/>
    <mergeCell ref="B19:C19"/>
    <mergeCell ref="B47:C47"/>
    <mergeCell ref="B43:C43"/>
    <mergeCell ref="B48:C48"/>
  </mergeCells>
  <phoneticPr fontId="1" type="noConversion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"/>
  <sheetViews>
    <sheetView topLeftCell="A221" workbookViewId="0">
      <selection activeCell="M235" sqref="M235:M238"/>
    </sheetView>
  </sheetViews>
  <sheetFormatPr defaultRowHeight="16.5"/>
  <cols>
    <col min="1" max="1" width="5.25" style="134" bestFit="1" customWidth="1"/>
    <col min="2" max="2" width="9" style="134"/>
    <col min="3" max="3" width="27" style="440" bestFit="1" customWidth="1"/>
    <col min="4" max="4" width="9.375" style="2" bestFit="1" customWidth="1"/>
    <col min="5" max="5" width="9.125" style="2" bestFit="1" customWidth="1"/>
    <col min="6" max="6" width="15.375" style="2" customWidth="1"/>
    <col min="7" max="8" width="9" style="2"/>
    <col min="9" max="9" width="10.875" style="2" bestFit="1" customWidth="1"/>
    <col min="10" max="10" width="11.875" style="2" bestFit="1" customWidth="1"/>
    <col min="11" max="12" width="9" style="2"/>
    <col min="13" max="13" width="9.5" style="2" bestFit="1" customWidth="1"/>
    <col min="14" max="16384" width="9" style="2"/>
  </cols>
  <sheetData>
    <row r="1" spans="1:9" ht="17.25">
      <c r="A1" s="763" t="s">
        <v>720</v>
      </c>
      <c r="B1" s="763"/>
      <c r="C1" s="763"/>
      <c r="D1" s="763"/>
      <c r="E1" s="763"/>
      <c r="F1" s="763"/>
    </row>
    <row r="2" spans="1:9" ht="17.25" thickBot="1"/>
    <row r="3" spans="1:9" ht="17.25" thickBot="1">
      <c r="A3" s="468" t="s">
        <v>719</v>
      </c>
      <c r="B3" s="467" t="s">
        <v>718</v>
      </c>
      <c r="C3" s="466" t="s">
        <v>717</v>
      </c>
      <c r="D3" s="465" t="s">
        <v>716</v>
      </c>
      <c r="E3" s="465" t="s">
        <v>715</v>
      </c>
      <c r="F3" s="464" t="s">
        <v>714</v>
      </c>
      <c r="G3" s="463" t="s">
        <v>713</v>
      </c>
    </row>
    <row r="4" spans="1:9" ht="17.25" thickTop="1">
      <c r="A4" s="462">
        <v>1</v>
      </c>
      <c r="B4" s="461" t="s">
        <v>572</v>
      </c>
      <c r="C4" s="556" t="s">
        <v>863</v>
      </c>
      <c r="D4" s="459">
        <v>3000</v>
      </c>
      <c r="E4" s="459">
        <v>60115</v>
      </c>
      <c r="F4" s="458">
        <v>159638290</v>
      </c>
      <c r="G4" s="620">
        <f t="shared" ref="G4:G67" si="0">F4/$F$276</f>
        <v>0.23933959866166471</v>
      </c>
    </row>
    <row r="5" spans="1:9">
      <c r="A5" s="455">
        <v>2</v>
      </c>
      <c r="B5" s="454" t="s">
        <v>572</v>
      </c>
      <c r="C5" s="555" t="s">
        <v>862</v>
      </c>
      <c r="D5" s="146">
        <v>2700</v>
      </c>
      <c r="E5" s="146">
        <v>18244</v>
      </c>
      <c r="F5" s="452">
        <v>43817403</v>
      </c>
      <c r="G5" s="621">
        <f t="shared" si="0"/>
        <v>6.5693760866621806E-2</v>
      </c>
      <c r="H5" s="456"/>
      <c r="I5" s="456" t="s">
        <v>710</v>
      </c>
    </row>
    <row r="6" spans="1:9">
      <c r="A6" s="455">
        <v>3</v>
      </c>
      <c r="B6" s="454" t="s">
        <v>572</v>
      </c>
      <c r="C6" s="558" t="s">
        <v>864</v>
      </c>
      <c r="D6" s="146">
        <v>3700</v>
      </c>
      <c r="E6" s="146">
        <v>12336</v>
      </c>
      <c r="F6" s="452">
        <v>40994052</v>
      </c>
      <c r="G6" s="621">
        <f t="shared" si="0"/>
        <v>6.1460818411393746E-2</v>
      </c>
    </row>
    <row r="7" spans="1:9">
      <c r="A7" s="455">
        <v>4</v>
      </c>
      <c r="B7" s="454" t="s">
        <v>582</v>
      </c>
      <c r="C7" s="557" t="s">
        <v>708</v>
      </c>
      <c r="D7" s="146">
        <v>3000</v>
      </c>
      <c r="E7" s="146">
        <v>12369</v>
      </c>
      <c r="F7" s="452">
        <v>32866203</v>
      </c>
      <c r="G7" s="621">
        <f t="shared" si="0"/>
        <v>4.9275044449253375E-2</v>
      </c>
      <c r="I7" s="561" t="s">
        <v>866</v>
      </c>
    </row>
    <row r="8" spans="1:9">
      <c r="A8" s="455">
        <v>5</v>
      </c>
      <c r="B8" s="454" t="s">
        <v>572</v>
      </c>
      <c r="C8" s="557" t="s">
        <v>263</v>
      </c>
      <c r="D8" s="146">
        <v>3300</v>
      </c>
      <c r="E8" s="146">
        <v>9788</v>
      </c>
      <c r="F8" s="452">
        <v>28142457</v>
      </c>
      <c r="G8" s="621">
        <f t="shared" si="0"/>
        <v>4.2192912262673049E-2</v>
      </c>
      <c r="I8" s="562" t="s">
        <v>867</v>
      </c>
    </row>
    <row r="9" spans="1:9">
      <c r="A9" s="455">
        <v>6</v>
      </c>
      <c r="B9" s="454" t="s">
        <v>478</v>
      </c>
      <c r="C9" s="557" t="s">
        <v>707</v>
      </c>
      <c r="D9" s="146">
        <v>3000</v>
      </c>
      <c r="E9" s="146">
        <v>10384</v>
      </c>
      <c r="F9" s="452">
        <v>27251712</v>
      </c>
      <c r="G9" s="621">
        <f t="shared" si="0"/>
        <v>4.0857452262381862E-2</v>
      </c>
      <c r="I9" s="563" t="s">
        <v>868</v>
      </c>
    </row>
    <row r="10" spans="1:9">
      <c r="A10" s="455">
        <v>7</v>
      </c>
      <c r="B10" s="454" t="s">
        <v>572</v>
      </c>
      <c r="C10" s="557" t="s">
        <v>706</v>
      </c>
      <c r="D10" s="146">
        <v>3500</v>
      </c>
      <c r="E10" s="146">
        <v>7378</v>
      </c>
      <c r="F10" s="452">
        <v>22269469</v>
      </c>
      <c r="G10" s="621">
        <f t="shared" si="0"/>
        <v>3.3387765384284583E-2</v>
      </c>
      <c r="I10" s="564" t="s">
        <v>865</v>
      </c>
    </row>
    <row r="11" spans="1:9">
      <c r="A11" s="455">
        <v>8</v>
      </c>
      <c r="B11" s="454" t="s">
        <v>572</v>
      </c>
      <c r="C11" s="557" t="s">
        <v>264</v>
      </c>
      <c r="D11" s="146">
        <v>3300</v>
      </c>
      <c r="E11" s="146">
        <v>5595</v>
      </c>
      <c r="F11" s="452">
        <v>15763063</v>
      </c>
      <c r="G11" s="621">
        <f t="shared" si="0"/>
        <v>2.3632959060752509E-2</v>
      </c>
    </row>
    <row r="12" spans="1:9">
      <c r="A12" s="455">
        <v>9</v>
      </c>
      <c r="B12" s="454" t="s">
        <v>572</v>
      </c>
      <c r="C12" s="555" t="s">
        <v>705</v>
      </c>
      <c r="D12" s="146">
        <v>2500</v>
      </c>
      <c r="E12" s="146">
        <v>6310</v>
      </c>
      <c r="F12" s="452">
        <v>13923948</v>
      </c>
      <c r="G12" s="621">
        <f t="shared" si="0"/>
        <v>2.0875644095823685E-2</v>
      </c>
      <c r="I12" s="524"/>
    </row>
    <row r="13" spans="1:9">
      <c r="A13" s="455">
        <v>10</v>
      </c>
      <c r="B13" s="454" t="s">
        <v>461</v>
      </c>
      <c r="C13" s="555" t="s">
        <v>704</v>
      </c>
      <c r="D13" s="146">
        <v>2500</v>
      </c>
      <c r="E13" s="146">
        <v>4619</v>
      </c>
      <c r="F13" s="452">
        <v>10406827</v>
      </c>
      <c r="G13" s="621">
        <f t="shared" si="0"/>
        <v>1.5602558744029243E-2</v>
      </c>
    </row>
    <row r="14" spans="1:9">
      <c r="A14" s="455">
        <v>11</v>
      </c>
      <c r="B14" s="454" t="s">
        <v>569</v>
      </c>
      <c r="C14" s="559" t="s">
        <v>703</v>
      </c>
      <c r="D14" s="146">
        <v>2800</v>
      </c>
      <c r="E14" s="146">
        <v>3494</v>
      </c>
      <c r="F14" s="452">
        <v>8770875</v>
      </c>
      <c r="G14" s="621">
        <f t="shared" si="0"/>
        <v>1.3149838315178825E-2</v>
      </c>
    </row>
    <row r="15" spans="1:9">
      <c r="A15" s="455">
        <v>12</v>
      </c>
      <c r="B15" s="454" t="s">
        <v>572</v>
      </c>
      <c r="C15" s="555" t="s">
        <v>265</v>
      </c>
      <c r="D15" s="146">
        <v>3000</v>
      </c>
      <c r="E15" s="146">
        <v>2959</v>
      </c>
      <c r="F15" s="452">
        <v>7846266</v>
      </c>
      <c r="G15" s="621">
        <f t="shared" si="0"/>
        <v>1.176360731145808E-2</v>
      </c>
    </row>
    <row r="16" spans="1:9">
      <c r="A16" s="455">
        <v>13</v>
      </c>
      <c r="B16" s="454" t="s">
        <v>569</v>
      </c>
      <c r="C16" s="559" t="s">
        <v>702</v>
      </c>
      <c r="D16" s="146">
        <v>2700</v>
      </c>
      <c r="E16" s="146">
        <v>3135</v>
      </c>
      <c r="F16" s="452">
        <v>7557887</v>
      </c>
      <c r="G16" s="621">
        <f t="shared" si="0"/>
        <v>1.1331251677214866E-2</v>
      </c>
    </row>
    <row r="17" spans="1:10">
      <c r="A17" s="455">
        <v>14</v>
      </c>
      <c r="B17" s="454" t="s">
        <v>478</v>
      </c>
      <c r="C17" s="557" t="s">
        <v>701</v>
      </c>
      <c r="D17" s="146">
        <v>3500</v>
      </c>
      <c r="E17" s="146">
        <v>2498</v>
      </c>
      <c r="F17" s="452">
        <v>7400777</v>
      </c>
      <c r="G17" s="621">
        <f t="shared" si="0"/>
        <v>1.1095702647306476E-2</v>
      </c>
    </row>
    <row r="18" spans="1:10">
      <c r="A18" s="455">
        <v>15</v>
      </c>
      <c r="B18" s="454" t="s">
        <v>478</v>
      </c>
      <c r="C18" s="555" t="s">
        <v>700</v>
      </c>
      <c r="D18" s="146">
        <v>2800</v>
      </c>
      <c r="E18" s="146">
        <v>2962</v>
      </c>
      <c r="F18" s="452">
        <v>7310536</v>
      </c>
      <c r="G18" s="621">
        <f t="shared" si="0"/>
        <v>1.0960407758324471E-2</v>
      </c>
    </row>
    <row r="19" spans="1:10">
      <c r="A19" s="455">
        <v>16</v>
      </c>
      <c r="B19" s="454" t="s">
        <v>461</v>
      </c>
      <c r="C19" s="558" t="s">
        <v>699</v>
      </c>
      <c r="D19" s="146">
        <v>3500</v>
      </c>
      <c r="E19" s="146">
        <v>2062</v>
      </c>
      <c r="F19" s="452">
        <v>6461936</v>
      </c>
      <c r="G19" s="621">
        <f t="shared" si="0"/>
        <v>9.6881341488772085E-3</v>
      </c>
    </row>
    <row r="20" spans="1:10">
      <c r="A20" s="455">
        <v>17</v>
      </c>
      <c r="B20" s="454" t="s">
        <v>572</v>
      </c>
      <c r="C20" s="555" t="s">
        <v>698</v>
      </c>
      <c r="D20" s="146">
        <v>3200</v>
      </c>
      <c r="E20" s="146">
        <v>2204</v>
      </c>
      <c r="F20" s="452">
        <v>6239543</v>
      </c>
      <c r="G20" s="621">
        <f t="shared" si="0"/>
        <v>9.354708807343147E-3</v>
      </c>
      <c r="I20" s="524"/>
      <c r="J20" s="524"/>
    </row>
    <row r="21" spans="1:10">
      <c r="A21" s="455">
        <v>18</v>
      </c>
      <c r="B21" s="454" t="s">
        <v>624</v>
      </c>
      <c r="C21" s="559" t="s">
        <v>697</v>
      </c>
      <c r="D21" s="146">
        <v>500</v>
      </c>
      <c r="E21" s="146">
        <v>12393</v>
      </c>
      <c r="F21" s="452">
        <v>5566705</v>
      </c>
      <c r="G21" s="621">
        <f t="shared" si="0"/>
        <v>8.3459484599082232E-3</v>
      </c>
    </row>
    <row r="22" spans="1:10">
      <c r="A22" s="455">
        <v>19</v>
      </c>
      <c r="B22" s="454" t="s">
        <v>461</v>
      </c>
      <c r="C22" s="557" t="s">
        <v>696</v>
      </c>
      <c r="D22" s="146">
        <v>3500</v>
      </c>
      <c r="E22" s="146">
        <v>1599</v>
      </c>
      <c r="F22" s="452">
        <v>4915727</v>
      </c>
      <c r="G22" s="621">
        <f t="shared" si="0"/>
        <v>7.3699619766054193E-3</v>
      </c>
    </row>
    <row r="23" spans="1:10">
      <c r="A23" s="455">
        <v>20</v>
      </c>
      <c r="B23" s="454" t="s">
        <v>579</v>
      </c>
      <c r="C23" s="557" t="s">
        <v>695</v>
      </c>
      <c r="D23" s="146">
        <v>3800</v>
      </c>
      <c r="E23" s="146">
        <v>1511</v>
      </c>
      <c r="F23" s="452">
        <v>4827731</v>
      </c>
      <c r="G23" s="621">
        <f t="shared" si="0"/>
        <v>7.2380329304860208E-3</v>
      </c>
    </row>
    <row r="24" spans="1:10">
      <c r="A24" s="455">
        <v>21</v>
      </c>
      <c r="B24" s="454" t="s">
        <v>463</v>
      </c>
      <c r="C24" s="557" t="s">
        <v>694</v>
      </c>
      <c r="D24" s="146">
        <v>3500</v>
      </c>
      <c r="E24" s="146">
        <v>1582</v>
      </c>
      <c r="F24" s="452">
        <v>4801972</v>
      </c>
      <c r="G24" s="621">
        <f t="shared" si="0"/>
        <v>7.1994134443844988E-3</v>
      </c>
    </row>
    <row r="25" spans="1:10">
      <c r="A25" s="455">
        <v>22</v>
      </c>
      <c r="B25" s="454" t="s">
        <v>572</v>
      </c>
      <c r="C25" s="557" t="s">
        <v>693</v>
      </c>
      <c r="D25" s="146">
        <v>3500</v>
      </c>
      <c r="E25" s="146">
        <v>1411</v>
      </c>
      <c r="F25" s="452">
        <v>4254549</v>
      </c>
      <c r="G25" s="621">
        <f t="shared" si="0"/>
        <v>6.378683022390098E-3</v>
      </c>
    </row>
    <row r="26" spans="1:10">
      <c r="A26" s="455">
        <v>23</v>
      </c>
      <c r="B26" s="454" t="s">
        <v>582</v>
      </c>
      <c r="C26" s="557" t="s">
        <v>692</v>
      </c>
      <c r="D26" s="146">
        <v>4000</v>
      </c>
      <c r="E26" s="146">
        <v>1180</v>
      </c>
      <c r="F26" s="452">
        <v>3996268</v>
      </c>
      <c r="G26" s="621">
        <f t="shared" si="0"/>
        <v>5.9914521714336429E-3</v>
      </c>
    </row>
    <row r="27" spans="1:10">
      <c r="A27" s="455">
        <v>24</v>
      </c>
      <c r="B27" s="454" t="s">
        <v>579</v>
      </c>
      <c r="C27" s="557" t="s">
        <v>691</v>
      </c>
      <c r="D27" s="146">
        <v>3500</v>
      </c>
      <c r="E27" s="146">
        <v>1310</v>
      </c>
      <c r="F27" s="452">
        <v>3965185</v>
      </c>
      <c r="G27" s="621">
        <f t="shared" si="0"/>
        <v>5.944850615220528E-3</v>
      </c>
    </row>
    <row r="28" spans="1:10">
      <c r="A28" s="455">
        <v>25</v>
      </c>
      <c r="B28" s="454" t="s">
        <v>582</v>
      </c>
      <c r="C28" s="557" t="s">
        <v>690</v>
      </c>
      <c r="D28" s="146">
        <v>3500</v>
      </c>
      <c r="E28" s="146">
        <v>1215</v>
      </c>
      <c r="F28" s="452">
        <v>3706821</v>
      </c>
      <c r="G28" s="621">
        <f t="shared" si="0"/>
        <v>5.5574953255301766E-3</v>
      </c>
    </row>
    <row r="29" spans="1:10">
      <c r="A29" s="455">
        <v>26</v>
      </c>
      <c r="B29" s="454" t="s">
        <v>478</v>
      </c>
      <c r="C29" s="558" t="s">
        <v>689</v>
      </c>
      <c r="D29" s="146">
        <v>4200</v>
      </c>
      <c r="E29" s="146">
        <v>968</v>
      </c>
      <c r="F29" s="452">
        <v>3646998</v>
      </c>
      <c r="G29" s="621">
        <f t="shared" si="0"/>
        <v>5.4678049836282628E-3</v>
      </c>
    </row>
    <row r="30" spans="1:10">
      <c r="A30" s="455">
        <v>27</v>
      </c>
      <c r="B30" s="454" t="s">
        <v>569</v>
      </c>
      <c r="C30" s="559" t="s">
        <v>688</v>
      </c>
      <c r="D30" s="146">
        <v>1800</v>
      </c>
      <c r="E30" s="146">
        <v>2235</v>
      </c>
      <c r="F30" s="452">
        <v>3573282</v>
      </c>
      <c r="G30" s="621">
        <f t="shared" si="0"/>
        <v>5.3572853967863892E-3</v>
      </c>
    </row>
    <row r="31" spans="1:10">
      <c r="A31" s="455">
        <v>28</v>
      </c>
      <c r="B31" s="454" t="s">
        <v>461</v>
      </c>
      <c r="C31" s="557" t="s">
        <v>687</v>
      </c>
      <c r="D31" s="146">
        <v>3800</v>
      </c>
      <c r="E31" s="146">
        <v>1091</v>
      </c>
      <c r="F31" s="452">
        <v>3492551</v>
      </c>
      <c r="G31" s="621">
        <f t="shared" si="0"/>
        <v>5.2362484880375242E-3</v>
      </c>
    </row>
    <row r="32" spans="1:10">
      <c r="A32" s="455">
        <v>29</v>
      </c>
      <c r="B32" s="454" t="s">
        <v>579</v>
      </c>
      <c r="C32" s="557" t="s">
        <v>686</v>
      </c>
      <c r="D32" s="146">
        <v>4000</v>
      </c>
      <c r="E32" s="146">
        <v>1055</v>
      </c>
      <c r="F32" s="452">
        <v>3374360</v>
      </c>
      <c r="G32" s="621">
        <f t="shared" si="0"/>
        <v>5.0590492302315122E-3</v>
      </c>
    </row>
    <row r="33" spans="1:7">
      <c r="A33" s="455">
        <v>30</v>
      </c>
      <c r="B33" s="454" t="s">
        <v>572</v>
      </c>
      <c r="C33" s="557" t="s">
        <v>685</v>
      </c>
      <c r="D33" s="146">
        <v>3500</v>
      </c>
      <c r="E33" s="146">
        <v>1133</v>
      </c>
      <c r="F33" s="452">
        <v>3347276</v>
      </c>
      <c r="G33" s="621">
        <f t="shared" si="0"/>
        <v>5.0184432221732165E-3</v>
      </c>
    </row>
    <row r="34" spans="1:7">
      <c r="A34" s="455">
        <v>31</v>
      </c>
      <c r="B34" s="454" t="s">
        <v>569</v>
      </c>
      <c r="C34" s="559" t="s">
        <v>684</v>
      </c>
      <c r="D34" s="146">
        <v>2800</v>
      </c>
      <c r="E34" s="146">
        <v>1312</v>
      </c>
      <c r="F34" s="452">
        <v>3328537</v>
      </c>
      <c r="G34" s="621">
        <f t="shared" si="0"/>
        <v>4.9903485542879562E-3</v>
      </c>
    </row>
    <row r="35" spans="1:7">
      <c r="A35" s="455">
        <v>32</v>
      </c>
      <c r="B35" s="454" t="s">
        <v>572</v>
      </c>
      <c r="C35" s="557" t="s">
        <v>683</v>
      </c>
      <c r="D35" s="146">
        <v>3500</v>
      </c>
      <c r="E35" s="146">
        <v>1125</v>
      </c>
      <c r="F35" s="452">
        <v>3301365</v>
      </c>
      <c r="G35" s="621">
        <f t="shared" si="0"/>
        <v>4.9496106111864939E-3</v>
      </c>
    </row>
    <row r="36" spans="1:7">
      <c r="A36" s="455">
        <v>33</v>
      </c>
      <c r="B36" s="454" t="s">
        <v>572</v>
      </c>
      <c r="C36" s="558" t="s">
        <v>682</v>
      </c>
      <c r="D36" s="146">
        <v>4000</v>
      </c>
      <c r="E36" s="146">
        <v>921</v>
      </c>
      <c r="F36" s="452">
        <v>3279548</v>
      </c>
      <c r="G36" s="621">
        <f t="shared" si="0"/>
        <v>4.9169012153141029E-3</v>
      </c>
    </row>
    <row r="37" spans="1:7">
      <c r="A37" s="455">
        <v>34</v>
      </c>
      <c r="B37" s="454" t="s">
        <v>579</v>
      </c>
      <c r="C37" s="557" t="s">
        <v>681</v>
      </c>
      <c r="D37" s="146">
        <v>3800</v>
      </c>
      <c r="E37" s="146">
        <v>892</v>
      </c>
      <c r="F37" s="452">
        <v>2950711</v>
      </c>
      <c r="G37" s="621">
        <f t="shared" si="0"/>
        <v>4.4238884449749449E-3</v>
      </c>
    </row>
    <row r="38" spans="1:7">
      <c r="A38" s="455">
        <v>35</v>
      </c>
      <c r="B38" s="454" t="s">
        <v>572</v>
      </c>
      <c r="C38" s="555" t="s">
        <v>680</v>
      </c>
      <c r="D38" s="146">
        <v>3000</v>
      </c>
      <c r="E38" s="146">
        <v>1051</v>
      </c>
      <c r="F38" s="452">
        <v>2767271</v>
      </c>
      <c r="G38" s="621">
        <f t="shared" si="0"/>
        <v>4.1488638504463028E-3</v>
      </c>
    </row>
    <row r="39" spans="1:7">
      <c r="A39" s="455">
        <v>36</v>
      </c>
      <c r="B39" s="454" t="s">
        <v>572</v>
      </c>
      <c r="C39" s="557" t="s">
        <v>679</v>
      </c>
      <c r="D39" s="146">
        <v>3300</v>
      </c>
      <c r="E39" s="146">
        <v>947</v>
      </c>
      <c r="F39" s="452">
        <v>2732100</v>
      </c>
      <c r="G39" s="621">
        <f t="shared" si="0"/>
        <v>4.0961333117733485E-3</v>
      </c>
    </row>
    <row r="40" spans="1:7">
      <c r="A40" s="455">
        <v>37</v>
      </c>
      <c r="B40" s="454" t="s">
        <v>461</v>
      </c>
      <c r="C40" s="557" t="s">
        <v>678</v>
      </c>
      <c r="D40" s="146">
        <v>3500</v>
      </c>
      <c r="E40" s="146">
        <v>869</v>
      </c>
      <c r="F40" s="452">
        <v>2627865</v>
      </c>
      <c r="G40" s="621">
        <f t="shared" si="0"/>
        <v>3.9398577524041101E-3</v>
      </c>
    </row>
    <row r="41" spans="1:7">
      <c r="A41" s="455">
        <v>38</v>
      </c>
      <c r="B41" s="454" t="s">
        <v>582</v>
      </c>
      <c r="C41" s="557" t="s">
        <v>677</v>
      </c>
      <c r="D41" s="146">
        <v>3500</v>
      </c>
      <c r="E41" s="146">
        <v>824</v>
      </c>
      <c r="F41" s="452">
        <v>2543003</v>
      </c>
      <c r="G41" s="621">
        <f t="shared" si="0"/>
        <v>3.8126273929356756E-3</v>
      </c>
    </row>
    <row r="42" spans="1:7">
      <c r="A42" s="455">
        <v>39</v>
      </c>
      <c r="B42" s="454" t="s">
        <v>582</v>
      </c>
      <c r="C42" s="557" t="s">
        <v>676</v>
      </c>
      <c r="D42" s="146">
        <v>3500</v>
      </c>
      <c r="E42" s="146">
        <v>835</v>
      </c>
      <c r="F42" s="452">
        <v>2535456</v>
      </c>
      <c r="G42" s="621">
        <f t="shared" si="0"/>
        <v>3.801312463722267E-3</v>
      </c>
    </row>
    <row r="43" spans="1:7">
      <c r="A43" s="455">
        <v>40</v>
      </c>
      <c r="B43" s="454" t="s">
        <v>478</v>
      </c>
      <c r="C43" s="557" t="s">
        <v>675</v>
      </c>
      <c r="D43" s="146">
        <v>3500</v>
      </c>
      <c r="E43" s="146">
        <v>850</v>
      </c>
      <c r="F43" s="452">
        <v>2512451</v>
      </c>
      <c r="G43" s="621">
        <f t="shared" si="0"/>
        <v>3.7668219447671244E-3</v>
      </c>
    </row>
    <row r="44" spans="1:7">
      <c r="A44" s="455">
        <v>41</v>
      </c>
      <c r="B44" s="454" t="s">
        <v>579</v>
      </c>
      <c r="C44" s="555" t="s">
        <v>249</v>
      </c>
      <c r="D44" s="146">
        <v>3000</v>
      </c>
      <c r="E44" s="146">
        <v>900</v>
      </c>
      <c r="F44" s="452">
        <v>2416360</v>
      </c>
      <c r="G44" s="621">
        <f t="shared" si="0"/>
        <v>3.6227563739382332E-3</v>
      </c>
    </row>
    <row r="45" spans="1:7">
      <c r="A45" s="455">
        <v>42</v>
      </c>
      <c r="B45" s="454" t="s">
        <v>579</v>
      </c>
      <c r="C45" s="557" t="s">
        <v>674</v>
      </c>
      <c r="D45" s="146">
        <v>4000</v>
      </c>
      <c r="E45" s="146">
        <v>723</v>
      </c>
      <c r="F45" s="452">
        <v>2277270</v>
      </c>
      <c r="G45" s="621">
        <f t="shared" si="0"/>
        <v>3.4142240426419577E-3</v>
      </c>
    </row>
    <row r="46" spans="1:7">
      <c r="A46" s="455">
        <v>43</v>
      </c>
      <c r="B46" s="454" t="s">
        <v>579</v>
      </c>
      <c r="C46" s="557" t="s">
        <v>673</v>
      </c>
      <c r="D46" s="146">
        <v>3500</v>
      </c>
      <c r="E46" s="146">
        <v>747</v>
      </c>
      <c r="F46" s="452">
        <v>2264546</v>
      </c>
      <c r="G46" s="621">
        <f t="shared" si="0"/>
        <v>3.3951474348095194E-3</v>
      </c>
    </row>
    <row r="47" spans="1:7">
      <c r="A47" s="455">
        <v>44</v>
      </c>
      <c r="B47" s="454" t="s">
        <v>579</v>
      </c>
      <c r="C47" s="557" t="s">
        <v>672</v>
      </c>
      <c r="D47" s="146">
        <v>4300</v>
      </c>
      <c r="E47" s="146">
        <v>677</v>
      </c>
      <c r="F47" s="452">
        <v>2241545</v>
      </c>
      <c r="G47" s="621">
        <f t="shared" si="0"/>
        <v>3.3606629129017936E-3</v>
      </c>
    </row>
    <row r="48" spans="1:7">
      <c r="A48" s="455">
        <v>45</v>
      </c>
      <c r="B48" s="454" t="s">
        <v>463</v>
      </c>
      <c r="C48" s="557" t="s">
        <v>671</v>
      </c>
      <c r="D48" s="146">
        <v>4000</v>
      </c>
      <c r="E48" s="146">
        <v>676</v>
      </c>
      <c r="F48" s="452">
        <v>2199999</v>
      </c>
      <c r="G48" s="621">
        <f t="shared" si="0"/>
        <v>3.2983745799085151E-3</v>
      </c>
    </row>
    <row r="49" spans="1:7">
      <c r="A49" s="455">
        <v>46</v>
      </c>
      <c r="B49" s="454" t="s">
        <v>461</v>
      </c>
      <c r="C49" s="557" t="s">
        <v>670</v>
      </c>
      <c r="D49" s="146">
        <v>3500</v>
      </c>
      <c r="E49" s="146">
        <v>700</v>
      </c>
      <c r="F49" s="452">
        <v>2164819</v>
      </c>
      <c r="G49" s="621">
        <f t="shared" si="0"/>
        <v>3.2456305478788727E-3</v>
      </c>
    </row>
    <row r="50" spans="1:7">
      <c r="A50" s="455">
        <v>47</v>
      </c>
      <c r="B50" s="454" t="s">
        <v>461</v>
      </c>
      <c r="C50" s="557" t="s">
        <v>669</v>
      </c>
      <c r="D50" s="146">
        <v>3500</v>
      </c>
      <c r="E50" s="146">
        <v>715</v>
      </c>
      <c r="F50" s="452">
        <v>2156820</v>
      </c>
      <c r="G50" s="621">
        <f t="shared" si="0"/>
        <v>3.2336379523073798E-3</v>
      </c>
    </row>
    <row r="51" spans="1:7">
      <c r="A51" s="455">
        <v>48</v>
      </c>
      <c r="B51" s="454" t="s">
        <v>582</v>
      </c>
      <c r="C51" s="557" t="s">
        <v>668</v>
      </c>
      <c r="D51" s="146">
        <v>3500</v>
      </c>
      <c r="E51" s="146">
        <v>703</v>
      </c>
      <c r="F51" s="452">
        <v>2150911</v>
      </c>
      <c r="G51" s="621">
        <f t="shared" si="0"/>
        <v>3.2247788140110992E-3</v>
      </c>
    </row>
    <row r="52" spans="1:7">
      <c r="A52" s="455">
        <v>49</v>
      </c>
      <c r="B52" s="454" t="s">
        <v>461</v>
      </c>
      <c r="C52" s="557" t="s">
        <v>667</v>
      </c>
      <c r="D52" s="146">
        <v>3500</v>
      </c>
      <c r="E52" s="146">
        <v>698</v>
      </c>
      <c r="F52" s="452">
        <v>2106366</v>
      </c>
      <c r="G52" s="621">
        <f t="shared" si="0"/>
        <v>3.1579941947171702E-3</v>
      </c>
    </row>
    <row r="53" spans="1:7">
      <c r="A53" s="455">
        <v>50</v>
      </c>
      <c r="B53" s="454" t="s">
        <v>582</v>
      </c>
      <c r="C53" s="557" t="s">
        <v>666</v>
      </c>
      <c r="D53" s="146">
        <v>3500</v>
      </c>
      <c r="E53" s="146">
        <v>695</v>
      </c>
      <c r="F53" s="452">
        <v>2085911</v>
      </c>
      <c r="G53" s="621">
        <f t="shared" si="0"/>
        <v>3.1273267934901565E-3</v>
      </c>
    </row>
    <row r="54" spans="1:7">
      <c r="A54" s="455">
        <v>51</v>
      </c>
      <c r="B54" s="454" t="s">
        <v>461</v>
      </c>
      <c r="C54" s="557" t="s">
        <v>665</v>
      </c>
      <c r="D54" s="146">
        <v>4000</v>
      </c>
      <c r="E54" s="146">
        <v>603</v>
      </c>
      <c r="F54" s="452">
        <v>2045548</v>
      </c>
      <c r="G54" s="621">
        <f t="shared" si="0"/>
        <v>3.0668120872703593E-3</v>
      </c>
    </row>
    <row r="55" spans="1:7">
      <c r="A55" s="455">
        <v>52</v>
      </c>
      <c r="B55" s="454" t="s">
        <v>461</v>
      </c>
      <c r="C55" s="557" t="s">
        <v>664</v>
      </c>
      <c r="D55" s="146">
        <v>3500</v>
      </c>
      <c r="E55" s="146">
        <v>646</v>
      </c>
      <c r="F55" s="452">
        <v>1979093</v>
      </c>
      <c r="G55" s="621">
        <f t="shared" si="0"/>
        <v>2.9671786407516015E-3</v>
      </c>
    </row>
    <row r="56" spans="1:7">
      <c r="A56" s="455">
        <v>53</v>
      </c>
      <c r="B56" s="454" t="s">
        <v>582</v>
      </c>
      <c r="C56" s="557" t="s">
        <v>663</v>
      </c>
      <c r="D56" s="146">
        <v>3500</v>
      </c>
      <c r="E56" s="146">
        <v>658</v>
      </c>
      <c r="F56" s="452">
        <v>1975911</v>
      </c>
      <c r="G56" s="621">
        <f t="shared" si="0"/>
        <v>2.9624079895316379E-3</v>
      </c>
    </row>
    <row r="57" spans="1:7">
      <c r="A57" s="455">
        <v>54</v>
      </c>
      <c r="B57" s="454" t="s">
        <v>579</v>
      </c>
      <c r="C57" s="557" t="s">
        <v>662</v>
      </c>
      <c r="D57" s="146">
        <v>4000</v>
      </c>
      <c r="E57" s="146">
        <v>588</v>
      </c>
      <c r="F57" s="452">
        <v>1956362</v>
      </c>
      <c r="G57" s="621">
        <f t="shared" si="0"/>
        <v>2.9330989195445007E-3</v>
      </c>
    </row>
    <row r="58" spans="1:7">
      <c r="A58" s="455">
        <v>55</v>
      </c>
      <c r="B58" s="454" t="s">
        <v>582</v>
      </c>
      <c r="C58" s="557" t="s">
        <v>661</v>
      </c>
      <c r="D58" s="146">
        <v>3500</v>
      </c>
      <c r="E58" s="146">
        <v>611</v>
      </c>
      <c r="F58" s="452">
        <v>1861850</v>
      </c>
      <c r="G58" s="621">
        <f t="shared" si="0"/>
        <v>2.7914006831833418E-3</v>
      </c>
    </row>
    <row r="59" spans="1:7">
      <c r="A59" s="455">
        <v>56</v>
      </c>
      <c r="B59" s="454" t="s">
        <v>478</v>
      </c>
      <c r="C59" s="557" t="s">
        <v>660</v>
      </c>
      <c r="D59" s="146">
        <v>3500</v>
      </c>
      <c r="E59" s="146">
        <v>611</v>
      </c>
      <c r="F59" s="452">
        <v>1855002</v>
      </c>
      <c r="G59" s="621">
        <f t="shared" si="0"/>
        <v>2.7811337380059969E-3</v>
      </c>
    </row>
    <row r="60" spans="1:7">
      <c r="A60" s="455">
        <v>57</v>
      </c>
      <c r="B60" s="454" t="s">
        <v>582</v>
      </c>
      <c r="C60" s="555" t="s">
        <v>659</v>
      </c>
      <c r="D60" s="146">
        <v>3000</v>
      </c>
      <c r="E60" s="146">
        <v>679</v>
      </c>
      <c r="F60" s="452">
        <v>1815452</v>
      </c>
      <c r="G60" s="621">
        <f t="shared" si="0"/>
        <v>2.7218379316736388E-3</v>
      </c>
    </row>
    <row r="61" spans="1:7">
      <c r="A61" s="455">
        <v>58</v>
      </c>
      <c r="B61" s="454" t="s">
        <v>579</v>
      </c>
      <c r="C61" s="555" t="s">
        <v>244</v>
      </c>
      <c r="D61" s="146">
        <v>3000</v>
      </c>
      <c r="E61" s="146">
        <v>670</v>
      </c>
      <c r="F61" s="452">
        <v>1808179</v>
      </c>
      <c r="G61" s="621">
        <f t="shared" si="0"/>
        <v>2.7109338002082725E-3</v>
      </c>
    </row>
    <row r="62" spans="1:7">
      <c r="A62" s="455">
        <v>59</v>
      </c>
      <c r="B62" s="454" t="s">
        <v>582</v>
      </c>
      <c r="C62" s="557" t="s">
        <v>658</v>
      </c>
      <c r="D62" s="146">
        <v>3500</v>
      </c>
      <c r="E62" s="146">
        <v>571</v>
      </c>
      <c r="F62" s="452">
        <v>1737364</v>
      </c>
      <c r="G62" s="621">
        <f t="shared" si="0"/>
        <v>2.6047635720053406E-3</v>
      </c>
    </row>
    <row r="63" spans="1:7">
      <c r="A63" s="455">
        <v>60</v>
      </c>
      <c r="B63" s="454" t="s">
        <v>582</v>
      </c>
      <c r="C63" s="557" t="s">
        <v>657</v>
      </c>
      <c r="D63" s="146">
        <v>4200</v>
      </c>
      <c r="E63" s="146">
        <v>574</v>
      </c>
      <c r="F63" s="452">
        <v>1734910</v>
      </c>
      <c r="G63" s="621">
        <f t="shared" si="0"/>
        <v>2.6010843834152115E-3</v>
      </c>
    </row>
    <row r="64" spans="1:7">
      <c r="A64" s="455">
        <v>61</v>
      </c>
      <c r="B64" s="454" t="s">
        <v>582</v>
      </c>
      <c r="C64" s="557" t="s">
        <v>656</v>
      </c>
      <c r="D64" s="146">
        <v>4000</v>
      </c>
      <c r="E64" s="146">
        <v>508</v>
      </c>
      <c r="F64" s="452">
        <v>1715998</v>
      </c>
      <c r="G64" s="621">
        <f t="shared" si="0"/>
        <v>2.5727303432291795E-3</v>
      </c>
    </row>
    <row r="65" spans="1:7">
      <c r="A65" s="455">
        <v>62</v>
      </c>
      <c r="B65" s="454" t="s">
        <v>582</v>
      </c>
      <c r="C65" s="555" t="s">
        <v>655</v>
      </c>
      <c r="D65" s="146">
        <v>3200</v>
      </c>
      <c r="E65" s="146">
        <v>560</v>
      </c>
      <c r="F65" s="452">
        <v>1599999</v>
      </c>
      <c r="G65" s="621">
        <f t="shared" si="0"/>
        <v>2.3988174674075052E-3</v>
      </c>
    </row>
    <row r="66" spans="1:7">
      <c r="A66" s="455">
        <v>63</v>
      </c>
      <c r="B66" s="454" t="s">
        <v>579</v>
      </c>
      <c r="C66" s="555" t="s">
        <v>247</v>
      </c>
      <c r="D66" s="146">
        <v>3500</v>
      </c>
      <c r="E66" s="146">
        <v>511</v>
      </c>
      <c r="F66" s="452">
        <v>1594090</v>
      </c>
      <c r="G66" s="621">
        <f t="shared" si="0"/>
        <v>2.3899583291112246E-3</v>
      </c>
    </row>
    <row r="67" spans="1:7">
      <c r="A67" s="455">
        <v>64</v>
      </c>
      <c r="B67" s="454" t="s">
        <v>461</v>
      </c>
      <c r="C67" s="557" t="s">
        <v>654</v>
      </c>
      <c r="D67" s="146">
        <v>3800</v>
      </c>
      <c r="E67" s="146">
        <v>474</v>
      </c>
      <c r="F67" s="452">
        <v>1585636</v>
      </c>
      <c r="G67" s="621">
        <f t="shared" si="0"/>
        <v>2.3772835693960854E-3</v>
      </c>
    </row>
    <row r="68" spans="1:7">
      <c r="A68" s="455">
        <v>65</v>
      </c>
      <c r="B68" s="454" t="s">
        <v>579</v>
      </c>
      <c r="C68" s="557" t="s">
        <v>653</v>
      </c>
      <c r="D68" s="146">
        <v>4300</v>
      </c>
      <c r="E68" s="146">
        <v>507</v>
      </c>
      <c r="F68" s="452">
        <v>1560117</v>
      </c>
      <c r="G68" s="621">
        <f t="shared" ref="G68:G131" si="1">F68/$F$276</f>
        <v>2.3390239061395631E-3</v>
      </c>
    </row>
    <row r="69" spans="1:7">
      <c r="A69" s="455">
        <v>66</v>
      </c>
      <c r="B69" s="454" t="s">
        <v>461</v>
      </c>
      <c r="C69" s="557" t="s">
        <v>652</v>
      </c>
      <c r="D69" s="146">
        <v>3500</v>
      </c>
      <c r="E69" s="146">
        <v>499</v>
      </c>
      <c r="F69" s="452">
        <v>1495455</v>
      </c>
      <c r="G69" s="621">
        <f t="shared" si="1"/>
        <v>2.2420786361253293E-3</v>
      </c>
    </row>
    <row r="70" spans="1:7">
      <c r="A70" s="455">
        <v>67</v>
      </c>
      <c r="B70" s="454" t="s">
        <v>624</v>
      </c>
      <c r="C70" s="559" t="s">
        <v>651</v>
      </c>
      <c r="D70" s="146">
        <v>0</v>
      </c>
      <c r="E70" s="146">
        <v>50</v>
      </c>
      <c r="F70" s="452">
        <v>1454636</v>
      </c>
      <c r="G70" s="621">
        <f t="shared" si="1"/>
        <v>2.1808802665000313E-3</v>
      </c>
    </row>
    <row r="71" spans="1:7">
      <c r="A71" s="455">
        <v>68</v>
      </c>
      <c r="B71" s="454" t="s">
        <v>463</v>
      </c>
      <c r="C71" s="557" t="s">
        <v>650</v>
      </c>
      <c r="D71" s="146">
        <v>4000</v>
      </c>
      <c r="E71" s="146">
        <v>442</v>
      </c>
      <c r="F71" s="452">
        <v>1432726</v>
      </c>
      <c r="G71" s="621">
        <f t="shared" si="1"/>
        <v>2.1480314392752029E-3</v>
      </c>
    </row>
    <row r="72" spans="1:7">
      <c r="A72" s="455">
        <v>69</v>
      </c>
      <c r="B72" s="454" t="s">
        <v>572</v>
      </c>
      <c r="C72" s="557" t="s">
        <v>649</v>
      </c>
      <c r="D72" s="146">
        <v>3500</v>
      </c>
      <c r="E72" s="146">
        <v>479</v>
      </c>
      <c r="F72" s="452">
        <v>1425457</v>
      </c>
      <c r="G72" s="621">
        <f t="shared" si="1"/>
        <v>2.1371333048572534E-3</v>
      </c>
    </row>
    <row r="73" spans="1:7">
      <c r="A73" s="455">
        <v>70</v>
      </c>
      <c r="B73" s="454" t="s">
        <v>572</v>
      </c>
      <c r="C73" s="555" t="s">
        <v>648</v>
      </c>
      <c r="D73" s="146">
        <v>3200</v>
      </c>
      <c r="E73" s="146">
        <v>489</v>
      </c>
      <c r="F73" s="452">
        <v>1381818</v>
      </c>
      <c r="G73" s="621">
        <f t="shared" si="1"/>
        <v>2.0717070168032006E-3</v>
      </c>
    </row>
    <row r="74" spans="1:7">
      <c r="A74" s="455">
        <v>71</v>
      </c>
      <c r="B74" s="454" t="s">
        <v>582</v>
      </c>
      <c r="C74" s="557" t="s">
        <v>647</v>
      </c>
      <c r="D74" s="146">
        <v>3500</v>
      </c>
      <c r="E74" s="146">
        <v>456</v>
      </c>
      <c r="F74" s="452">
        <v>1345911</v>
      </c>
      <c r="G74" s="621">
        <f t="shared" si="1"/>
        <v>2.0178730214055777E-3</v>
      </c>
    </row>
    <row r="75" spans="1:7">
      <c r="A75" s="455">
        <v>72</v>
      </c>
      <c r="B75" s="454" t="s">
        <v>582</v>
      </c>
      <c r="C75" s="557" t="s">
        <v>646</v>
      </c>
      <c r="D75" s="146">
        <v>3500</v>
      </c>
      <c r="E75" s="146">
        <v>429</v>
      </c>
      <c r="F75" s="452">
        <v>1335455</v>
      </c>
      <c r="G75" s="621">
        <f t="shared" si="1"/>
        <v>2.0021967394583933E-3</v>
      </c>
    </row>
    <row r="76" spans="1:7">
      <c r="A76" s="455">
        <v>73</v>
      </c>
      <c r="B76" s="454" t="s">
        <v>474</v>
      </c>
      <c r="C76" s="559" t="s">
        <v>645</v>
      </c>
      <c r="D76" s="146">
        <v>2700</v>
      </c>
      <c r="E76" s="146">
        <v>538</v>
      </c>
      <c r="F76" s="452">
        <v>1300470</v>
      </c>
      <c r="G76" s="621">
        <f t="shared" si="1"/>
        <v>1.9497450634903136E-3</v>
      </c>
    </row>
    <row r="77" spans="1:7">
      <c r="A77" s="455">
        <v>74</v>
      </c>
      <c r="B77" s="454" t="s">
        <v>579</v>
      </c>
      <c r="C77" s="557" t="s">
        <v>644</v>
      </c>
      <c r="D77" s="146">
        <v>3800</v>
      </c>
      <c r="E77" s="146">
        <v>401</v>
      </c>
      <c r="F77" s="452">
        <v>1285092</v>
      </c>
      <c r="G77" s="621">
        <f t="shared" si="1"/>
        <v>1.9266894146969128E-3</v>
      </c>
    </row>
    <row r="78" spans="1:7">
      <c r="A78" s="455">
        <v>75</v>
      </c>
      <c r="B78" s="454" t="s">
        <v>582</v>
      </c>
      <c r="C78" s="557" t="s">
        <v>643</v>
      </c>
      <c r="D78" s="146">
        <v>3500</v>
      </c>
      <c r="E78" s="146">
        <v>420</v>
      </c>
      <c r="F78" s="452">
        <v>1260003</v>
      </c>
      <c r="G78" s="621">
        <f t="shared" si="1"/>
        <v>1.8890744340376831E-3</v>
      </c>
    </row>
    <row r="79" spans="1:7">
      <c r="A79" s="455">
        <v>76</v>
      </c>
      <c r="B79" s="454" t="s">
        <v>461</v>
      </c>
      <c r="C79" s="555" t="s">
        <v>254</v>
      </c>
      <c r="D79" s="146">
        <v>3000</v>
      </c>
      <c r="E79" s="146">
        <v>467</v>
      </c>
      <c r="F79" s="452">
        <v>1251819</v>
      </c>
      <c r="G79" s="621">
        <f t="shared" si="1"/>
        <v>1.8768044750231694E-3</v>
      </c>
    </row>
    <row r="80" spans="1:7">
      <c r="A80" s="455">
        <v>77</v>
      </c>
      <c r="B80" s="454" t="s">
        <v>582</v>
      </c>
      <c r="C80" s="555" t="s">
        <v>255</v>
      </c>
      <c r="D80" s="146">
        <v>3500</v>
      </c>
      <c r="E80" s="146">
        <v>404</v>
      </c>
      <c r="F80" s="452">
        <v>1234545</v>
      </c>
      <c r="G80" s="621">
        <f t="shared" si="1"/>
        <v>1.8509062257542654E-3</v>
      </c>
    </row>
    <row r="81" spans="1:7">
      <c r="A81" s="455">
        <v>78</v>
      </c>
      <c r="B81" s="454" t="s">
        <v>605</v>
      </c>
      <c r="C81" s="559" t="s">
        <v>642</v>
      </c>
      <c r="D81" s="146">
        <v>1200</v>
      </c>
      <c r="E81" s="146">
        <v>1085</v>
      </c>
      <c r="F81" s="452">
        <v>1182547</v>
      </c>
      <c r="G81" s="621">
        <f t="shared" si="1"/>
        <v>1.7729476078612195E-3</v>
      </c>
    </row>
    <row r="82" spans="1:7">
      <c r="A82" s="455">
        <v>79</v>
      </c>
      <c r="B82" s="454" t="s">
        <v>582</v>
      </c>
      <c r="C82" s="557" t="s">
        <v>641</v>
      </c>
      <c r="D82" s="146">
        <v>3500</v>
      </c>
      <c r="E82" s="146">
        <v>408</v>
      </c>
      <c r="F82" s="452">
        <v>1174092</v>
      </c>
      <c r="G82" s="621">
        <f t="shared" si="1"/>
        <v>1.7602713488842261E-3</v>
      </c>
    </row>
    <row r="83" spans="1:7">
      <c r="A83" s="455">
        <v>80</v>
      </c>
      <c r="B83" s="454" t="s">
        <v>582</v>
      </c>
      <c r="C83" s="555" t="s">
        <v>640</v>
      </c>
      <c r="D83" s="146">
        <v>3200</v>
      </c>
      <c r="E83" s="146">
        <v>399</v>
      </c>
      <c r="F83" s="452">
        <v>1131636</v>
      </c>
      <c r="G83" s="621">
        <f t="shared" si="1"/>
        <v>1.6966186876036546E-3</v>
      </c>
    </row>
    <row r="84" spans="1:7">
      <c r="A84" s="455">
        <v>81</v>
      </c>
      <c r="B84" s="454" t="s">
        <v>582</v>
      </c>
      <c r="C84" s="555" t="s">
        <v>242</v>
      </c>
      <c r="D84" s="146">
        <v>3000</v>
      </c>
      <c r="E84" s="146">
        <v>431</v>
      </c>
      <c r="F84" s="452">
        <v>1129091</v>
      </c>
      <c r="G84" s="621">
        <f t="shared" si="1"/>
        <v>1.692803066184796E-3</v>
      </c>
    </row>
    <row r="85" spans="1:7">
      <c r="A85" s="455">
        <v>82</v>
      </c>
      <c r="B85" s="454" t="s">
        <v>579</v>
      </c>
      <c r="C85" s="557" t="s">
        <v>639</v>
      </c>
      <c r="D85" s="146">
        <v>3800</v>
      </c>
      <c r="E85" s="146">
        <v>340</v>
      </c>
      <c r="F85" s="452">
        <v>1084728</v>
      </c>
      <c r="G85" s="621">
        <f t="shared" si="1"/>
        <v>1.6262913125483255E-3</v>
      </c>
    </row>
    <row r="86" spans="1:7">
      <c r="A86" s="455">
        <v>83</v>
      </c>
      <c r="B86" s="454" t="s">
        <v>582</v>
      </c>
      <c r="C86" s="555" t="s">
        <v>256</v>
      </c>
      <c r="D86" s="146">
        <v>3000</v>
      </c>
      <c r="E86" s="146">
        <v>402</v>
      </c>
      <c r="F86" s="452">
        <v>1060908</v>
      </c>
      <c r="G86" s="621">
        <f t="shared" si="1"/>
        <v>1.5905788951820355E-3</v>
      </c>
    </row>
    <row r="87" spans="1:7">
      <c r="A87" s="455">
        <v>84</v>
      </c>
      <c r="B87" s="454" t="s">
        <v>478</v>
      </c>
      <c r="C87" s="555" t="s">
        <v>638</v>
      </c>
      <c r="D87" s="146">
        <v>3200</v>
      </c>
      <c r="E87" s="146">
        <v>379</v>
      </c>
      <c r="F87" s="452">
        <v>1049891</v>
      </c>
      <c r="G87" s="621">
        <f t="shared" si="1"/>
        <v>1.5740615273346628E-3</v>
      </c>
    </row>
    <row r="88" spans="1:7">
      <c r="A88" s="455">
        <v>85</v>
      </c>
      <c r="B88" s="454" t="s">
        <v>572</v>
      </c>
      <c r="C88" s="555" t="s">
        <v>637</v>
      </c>
      <c r="D88" s="146">
        <v>3200</v>
      </c>
      <c r="E88" s="146">
        <v>374</v>
      </c>
      <c r="F88" s="452">
        <v>1044364</v>
      </c>
      <c r="G88" s="621">
        <f t="shared" si="1"/>
        <v>1.5657751070666743E-3</v>
      </c>
    </row>
    <row r="89" spans="1:7">
      <c r="A89" s="455">
        <v>86</v>
      </c>
      <c r="B89" s="454" t="s">
        <v>582</v>
      </c>
      <c r="C89" s="557" t="s">
        <v>636</v>
      </c>
      <c r="D89" s="146">
        <v>3500</v>
      </c>
      <c r="E89" s="146">
        <v>328</v>
      </c>
      <c r="F89" s="452">
        <v>1015000</v>
      </c>
      <c r="G89" s="621">
        <f t="shared" si="1"/>
        <v>1.5217507819808749E-3</v>
      </c>
    </row>
    <row r="90" spans="1:7">
      <c r="A90" s="455">
        <v>87</v>
      </c>
      <c r="B90" s="454" t="s">
        <v>461</v>
      </c>
      <c r="C90" s="555" t="s">
        <v>257</v>
      </c>
      <c r="D90" s="146">
        <v>3000</v>
      </c>
      <c r="E90" s="146">
        <v>378</v>
      </c>
      <c r="F90" s="452">
        <v>1011815</v>
      </c>
      <c r="G90" s="621">
        <f t="shared" si="1"/>
        <v>1.5169756329753488E-3</v>
      </c>
    </row>
    <row r="91" spans="1:7">
      <c r="A91" s="455">
        <v>88</v>
      </c>
      <c r="B91" s="454" t="s">
        <v>572</v>
      </c>
      <c r="C91" s="558" t="s">
        <v>635</v>
      </c>
      <c r="D91" s="146">
        <v>4200</v>
      </c>
      <c r="E91" s="146">
        <v>268</v>
      </c>
      <c r="F91" s="452">
        <v>1007616</v>
      </c>
      <c r="G91" s="621">
        <f t="shared" si="1"/>
        <v>1.5106802324496959E-3</v>
      </c>
    </row>
    <row r="92" spans="1:7">
      <c r="A92" s="455">
        <v>89</v>
      </c>
      <c r="B92" s="454" t="s">
        <v>572</v>
      </c>
      <c r="C92" s="555" t="s">
        <v>260</v>
      </c>
      <c r="D92" s="146">
        <v>2800</v>
      </c>
      <c r="E92" s="146">
        <v>401</v>
      </c>
      <c r="F92" s="452">
        <v>990179</v>
      </c>
      <c r="G92" s="621">
        <f t="shared" si="1"/>
        <v>1.4845376034985623E-3</v>
      </c>
    </row>
    <row r="93" spans="1:7">
      <c r="A93" s="455">
        <v>90</v>
      </c>
      <c r="B93" s="454" t="s">
        <v>572</v>
      </c>
      <c r="C93" s="557" t="s">
        <v>634</v>
      </c>
      <c r="D93" s="146">
        <v>3500</v>
      </c>
      <c r="E93" s="146">
        <v>334</v>
      </c>
      <c r="F93" s="452">
        <v>989546</v>
      </c>
      <c r="G93" s="621">
        <f t="shared" si="1"/>
        <v>1.4835885707448738E-3</v>
      </c>
    </row>
    <row r="94" spans="1:7">
      <c r="A94" s="455">
        <v>91</v>
      </c>
      <c r="B94" s="454" t="s">
        <v>579</v>
      </c>
      <c r="C94" s="555" t="s">
        <v>246</v>
      </c>
      <c r="D94" s="146">
        <v>3500</v>
      </c>
      <c r="E94" s="146">
        <v>310</v>
      </c>
      <c r="F94" s="452">
        <v>957729</v>
      </c>
      <c r="G94" s="621">
        <f t="shared" si="1"/>
        <v>1.4358865563307993E-3</v>
      </c>
    </row>
    <row r="95" spans="1:7">
      <c r="A95" s="455">
        <v>92</v>
      </c>
      <c r="B95" s="454" t="s">
        <v>582</v>
      </c>
      <c r="C95" s="557" t="s">
        <v>633</v>
      </c>
      <c r="D95" s="146">
        <v>3500</v>
      </c>
      <c r="E95" s="146">
        <v>311</v>
      </c>
      <c r="F95" s="452">
        <v>948184</v>
      </c>
      <c r="G95" s="621">
        <f t="shared" si="1"/>
        <v>1.4215761019327625E-3</v>
      </c>
    </row>
    <row r="96" spans="1:7">
      <c r="A96" s="455">
        <v>93</v>
      </c>
      <c r="B96" s="454" t="s">
        <v>624</v>
      </c>
      <c r="C96" s="559" t="s">
        <v>632</v>
      </c>
      <c r="D96" s="146">
        <v>7500</v>
      </c>
      <c r="E96" s="146">
        <v>139</v>
      </c>
      <c r="F96" s="452">
        <v>947727</v>
      </c>
      <c r="G96" s="621">
        <f t="shared" si="1"/>
        <v>1.4208909392654076E-3</v>
      </c>
    </row>
    <row r="97" spans="1:7">
      <c r="A97" s="455">
        <v>94</v>
      </c>
      <c r="B97" s="454" t="s">
        <v>582</v>
      </c>
      <c r="C97" s="557" t="s">
        <v>631</v>
      </c>
      <c r="D97" s="146">
        <v>3500</v>
      </c>
      <c r="E97" s="146">
        <v>331</v>
      </c>
      <c r="F97" s="452">
        <v>935728</v>
      </c>
      <c r="G97" s="621">
        <f t="shared" si="1"/>
        <v>1.4029012962772415E-3</v>
      </c>
    </row>
    <row r="98" spans="1:7">
      <c r="A98" s="455">
        <v>95</v>
      </c>
      <c r="B98" s="454" t="s">
        <v>582</v>
      </c>
      <c r="C98" s="557" t="s">
        <v>630</v>
      </c>
      <c r="D98" s="146">
        <v>3500</v>
      </c>
      <c r="E98" s="146">
        <v>304</v>
      </c>
      <c r="F98" s="452">
        <v>925910</v>
      </c>
      <c r="G98" s="621">
        <f t="shared" si="1"/>
        <v>1.3881815433930166E-3</v>
      </c>
    </row>
    <row r="99" spans="1:7">
      <c r="A99" s="455">
        <v>96</v>
      </c>
      <c r="B99" s="454" t="s">
        <v>461</v>
      </c>
      <c r="C99" s="555" t="s">
        <v>241</v>
      </c>
      <c r="D99" s="146">
        <v>3500</v>
      </c>
      <c r="E99" s="146">
        <v>302</v>
      </c>
      <c r="F99" s="452">
        <v>922728</v>
      </c>
      <c r="G99" s="621">
        <f t="shared" si="1"/>
        <v>1.3834108921730529E-3</v>
      </c>
    </row>
    <row r="100" spans="1:7">
      <c r="A100" s="455">
        <v>97</v>
      </c>
      <c r="B100" s="454" t="s">
        <v>463</v>
      </c>
      <c r="C100" s="555" t="s">
        <v>629</v>
      </c>
      <c r="D100" s="146">
        <v>3800</v>
      </c>
      <c r="E100" s="146">
        <v>269</v>
      </c>
      <c r="F100" s="452">
        <v>900910</v>
      </c>
      <c r="G100" s="621">
        <f t="shared" si="1"/>
        <v>1.350699997038808E-3</v>
      </c>
    </row>
    <row r="101" spans="1:7">
      <c r="A101" s="455">
        <v>98</v>
      </c>
      <c r="B101" s="454" t="s">
        <v>582</v>
      </c>
      <c r="C101" s="555" t="s">
        <v>628</v>
      </c>
      <c r="D101" s="146">
        <v>3200</v>
      </c>
      <c r="E101" s="146">
        <v>315</v>
      </c>
      <c r="F101" s="452">
        <v>896000</v>
      </c>
      <c r="G101" s="621">
        <f t="shared" si="1"/>
        <v>1.3433386213348413E-3</v>
      </c>
    </row>
    <row r="102" spans="1:7">
      <c r="A102" s="455">
        <v>99</v>
      </c>
      <c r="B102" s="454" t="s">
        <v>579</v>
      </c>
      <c r="C102" s="555" t="s">
        <v>627</v>
      </c>
      <c r="D102" s="146">
        <v>3000</v>
      </c>
      <c r="E102" s="146">
        <v>321</v>
      </c>
      <c r="F102" s="452">
        <v>861817</v>
      </c>
      <c r="G102" s="621">
        <f t="shared" si="1"/>
        <v>1.2920893533738046E-3</v>
      </c>
    </row>
    <row r="103" spans="1:7">
      <c r="A103" s="455">
        <v>100</v>
      </c>
      <c r="B103" s="454" t="s">
        <v>572</v>
      </c>
      <c r="C103" s="555" t="s">
        <v>261</v>
      </c>
      <c r="D103" s="146">
        <v>3000</v>
      </c>
      <c r="E103" s="146">
        <v>330</v>
      </c>
      <c r="F103" s="452">
        <v>842726</v>
      </c>
      <c r="G103" s="621">
        <f t="shared" si="1"/>
        <v>1.2634669453158766E-3</v>
      </c>
    </row>
    <row r="104" spans="1:7">
      <c r="A104" s="455">
        <v>101</v>
      </c>
      <c r="B104" s="454" t="s">
        <v>463</v>
      </c>
      <c r="C104" s="558" t="s">
        <v>626</v>
      </c>
      <c r="D104" s="146">
        <v>4000</v>
      </c>
      <c r="E104" s="146">
        <v>238</v>
      </c>
      <c r="F104" s="452">
        <v>837545</v>
      </c>
      <c r="G104" s="621">
        <f t="shared" si="1"/>
        <v>1.2556992696494305E-3</v>
      </c>
    </row>
    <row r="105" spans="1:7">
      <c r="A105" s="455">
        <v>102</v>
      </c>
      <c r="B105" s="454" t="s">
        <v>461</v>
      </c>
      <c r="C105" s="555" t="s">
        <v>625</v>
      </c>
      <c r="D105" s="146">
        <v>3200</v>
      </c>
      <c r="E105" s="146">
        <v>295</v>
      </c>
      <c r="F105" s="452">
        <v>820364</v>
      </c>
      <c r="G105" s="621">
        <f t="shared" si="1"/>
        <v>1.2299404517329641E-3</v>
      </c>
    </row>
    <row r="106" spans="1:7">
      <c r="A106" s="455">
        <v>103</v>
      </c>
      <c r="B106" s="454" t="s">
        <v>624</v>
      </c>
      <c r="C106" s="559" t="s">
        <v>623</v>
      </c>
      <c r="D106" s="146">
        <v>500</v>
      </c>
      <c r="E106" s="146">
        <v>1832</v>
      </c>
      <c r="F106" s="452">
        <v>820075</v>
      </c>
      <c r="G106" s="621">
        <f t="shared" si="1"/>
        <v>1.2295071650571094E-3</v>
      </c>
    </row>
    <row r="107" spans="1:7">
      <c r="A107" s="455">
        <v>104</v>
      </c>
      <c r="B107" s="454" t="s">
        <v>569</v>
      </c>
      <c r="C107" s="559" t="s">
        <v>622</v>
      </c>
      <c r="D107" s="146">
        <v>2800</v>
      </c>
      <c r="E107" s="146">
        <v>321</v>
      </c>
      <c r="F107" s="452">
        <v>809817</v>
      </c>
      <c r="G107" s="621">
        <f t="shared" si="1"/>
        <v>1.2141277369570505E-3</v>
      </c>
    </row>
    <row r="108" spans="1:7">
      <c r="A108" s="455">
        <v>105</v>
      </c>
      <c r="B108" s="454" t="s">
        <v>572</v>
      </c>
      <c r="C108" s="555" t="s">
        <v>262</v>
      </c>
      <c r="D108" s="146">
        <v>3000</v>
      </c>
      <c r="E108" s="146">
        <v>306</v>
      </c>
      <c r="F108" s="452">
        <v>809091</v>
      </c>
      <c r="G108" s="621">
        <f t="shared" si="1"/>
        <v>1.2130392728509243E-3</v>
      </c>
    </row>
    <row r="109" spans="1:7">
      <c r="A109" s="455">
        <v>106</v>
      </c>
      <c r="B109" s="454" t="s">
        <v>572</v>
      </c>
      <c r="C109" s="557" t="s">
        <v>621</v>
      </c>
      <c r="D109" s="146">
        <v>4000</v>
      </c>
      <c r="E109" s="146">
        <v>255</v>
      </c>
      <c r="F109" s="452">
        <v>789644</v>
      </c>
      <c r="G109" s="621">
        <f t="shared" si="1"/>
        <v>1.1838831275729122E-3</v>
      </c>
    </row>
    <row r="110" spans="1:7">
      <c r="A110" s="455">
        <v>107</v>
      </c>
      <c r="B110" s="454" t="s">
        <v>582</v>
      </c>
      <c r="C110" s="555" t="s">
        <v>258</v>
      </c>
      <c r="D110" s="146">
        <v>3000</v>
      </c>
      <c r="E110" s="146">
        <v>290</v>
      </c>
      <c r="F110" s="452">
        <v>777271</v>
      </c>
      <c r="G110" s="621">
        <f t="shared" si="1"/>
        <v>1.1653327606512872E-3</v>
      </c>
    </row>
    <row r="111" spans="1:7">
      <c r="A111" s="455">
        <v>108</v>
      </c>
      <c r="B111" s="454" t="s">
        <v>572</v>
      </c>
      <c r="C111" s="558" t="s">
        <v>620</v>
      </c>
      <c r="D111" s="146">
        <v>4200</v>
      </c>
      <c r="E111" s="146">
        <v>207</v>
      </c>
      <c r="F111" s="452">
        <v>771908</v>
      </c>
      <c r="G111" s="621">
        <f t="shared" si="1"/>
        <v>1.1572922193273825E-3</v>
      </c>
    </row>
    <row r="112" spans="1:7">
      <c r="A112" s="455">
        <v>109</v>
      </c>
      <c r="B112" s="454" t="s">
        <v>579</v>
      </c>
      <c r="C112" s="555" t="s">
        <v>243</v>
      </c>
      <c r="D112" s="146">
        <v>3500</v>
      </c>
      <c r="E112" s="146">
        <v>253</v>
      </c>
      <c r="F112" s="452">
        <v>766363</v>
      </c>
      <c r="G112" s="621">
        <f t="shared" si="1"/>
        <v>1.1489788123460189E-3</v>
      </c>
    </row>
    <row r="113" spans="1:7">
      <c r="A113" s="455">
        <v>110</v>
      </c>
      <c r="B113" s="454" t="s">
        <v>463</v>
      </c>
      <c r="C113" s="557" t="s">
        <v>619</v>
      </c>
      <c r="D113" s="146">
        <v>4300</v>
      </c>
      <c r="E113" s="146">
        <v>232</v>
      </c>
      <c r="F113" s="452">
        <v>735546</v>
      </c>
      <c r="G113" s="621">
        <f t="shared" si="1"/>
        <v>1.1027760597861129E-3</v>
      </c>
    </row>
    <row r="114" spans="1:7">
      <c r="A114" s="455">
        <v>111</v>
      </c>
      <c r="B114" s="454" t="s">
        <v>579</v>
      </c>
      <c r="C114" s="558" t="s">
        <v>618</v>
      </c>
      <c r="D114" s="146">
        <v>4500</v>
      </c>
      <c r="E114" s="146">
        <v>181</v>
      </c>
      <c r="F114" s="452">
        <v>726136</v>
      </c>
      <c r="G114" s="621">
        <f t="shared" si="1"/>
        <v>1.0886680057383888E-3</v>
      </c>
    </row>
    <row r="115" spans="1:7">
      <c r="A115" s="455">
        <v>112</v>
      </c>
      <c r="B115" s="454" t="s">
        <v>582</v>
      </c>
      <c r="C115" s="557" t="s">
        <v>617</v>
      </c>
      <c r="D115" s="146">
        <v>3500</v>
      </c>
      <c r="E115" s="146">
        <v>239</v>
      </c>
      <c r="F115" s="452">
        <v>725456</v>
      </c>
      <c r="G115" s="621">
        <f t="shared" si="1"/>
        <v>1.0876485076775544E-3</v>
      </c>
    </row>
    <row r="116" spans="1:7">
      <c r="A116" s="455">
        <v>113</v>
      </c>
      <c r="B116" s="454" t="s">
        <v>574</v>
      </c>
      <c r="C116" s="559" t="s">
        <v>236</v>
      </c>
      <c r="D116" s="146">
        <v>3500</v>
      </c>
      <c r="E116" s="146">
        <v>228</v>
      </c>
      <c r="F116" s="452">
        <v>725455</v>
      </c>
      <c r="G116" s="621">
        <f t="shared" si="1"/>
        <v>1.0876470084157002E-3</v>
      </c>
    </row>
    <row r="117" spans="1:7">
      <c r="A117" s="455">
        <v>114</v>
      </c>
      <c r="B117" s="454" t="s">
        <v>579</v>
      </c>
      <c r="C117" s="555" t="s">
        <v>245</v>
      </c>
      <c r="D117" s="146">
        <v>3500</v>
      </c>
      <c r="E117" s="146">
        <v>235</v>
      </c>
      <c r="F117" s="452">
        <v>715910</v>
      </c>
      <c r="G117" s="621">
        <f t="shared" si="1"/>
        <v>1.0733365540176632E-3</v>
      </c>
    </row>
    <row r="118" spans="1:7">
      <c r="A118" s="455">
        <v>115</v>
      </c>
      <c r="B118" s="454" t="s">
        <v>582</v>
      </c>
      <c r="C118" s="557" t="s">
        <v>616</v>
      </c>
      <c r="D118" s="146">
        <v>3800</v>
      </c>
      <c r="E118" s="146">
        <v>227</v>
      </c>
      <c r="F118" s="452">
        <v>715782</v>
      </c>
      <c r="G118" s="621">
        <f t="shared" si="1"/>
        <v>1.0731446485003297E-3</v>
      </c>
    </row>
    <row r="119" spans="1:7">
      <c r="A119" s="455">
        <v>116</v>
      </c>
      <c r="B119" s="454" t="s">
        <v>461</v>
      </c>
      <c r="C119" s="558" t="s">
        <v>615</v>
      </c>
      <c r="D119" s="146">
        <v>4200</v>
      </c>
      <c r="E119" s="146">
        <v>188</v>
      </c>
      <c r="F119" s="452">
        <v>714000</v>
      </c>
      <c r="G119" s="621">
        <f t="shared" si="1"/>
        <v>1.0704729638762018E-3</v>
      </c>
    </row>
    <row r="120" spans="1:7">
      <c r="A120" s="455">
        <v>117</v>
      </c>
      <c r="B120" s="454" t="s">
        <v>574</v>
      </c>
      <c r="C120" s="559" t="s">
        <v>614</v>
      </c>
      <c r="D120" s="146">
        <v>3500</v>
      </c>
      <c r="E120" s="146">
        <v>222</v>
      </c>
      <c r="F120" s="452">
        <v>706364</v>
      </c>
      <c r="G120" s="621">
        <f t="shared" si="1"/>
        <v>1.0590246003577722E-3</v>
      </c>
    </row>
    <row r="121" spans="1:7">
      <c r="A121" s="455">
        <v>118</v>
      </c>
      <c r="B121" s="454" t="s">
        <v>461</v>
      </c>
      <c r="C121" s="555" t="s">
        <v>613</v>
      </c>
      <c r="D121" s="146">
        <v>3200</v>
      </c>
      <c r="E121" s="146">
        <v>235</v>
      </c>
      <c r="F121" s="452">
        <v>677818</v>
      </c>
      <c r="G121" s="621">
        <f t="shared" si="1"/>
        <v>1.0162266714686824E-3</v>
      </c>
    </row>
    <row r="122" spans="1:7">
      <c r="A122" s="455">
        <v>119</v>
      </c>
      <c r="B122" s="454" t="s">
        <v>582</v>
      </c>
      <c r="C122" s="557" t="s">
        <v>612</v>
      </c>
      <c r="D122" s="146">
        <v>4000</v>
      </c>
      <c r="E122" s="146">
        <v>205</v>
      </c>
      <c r="F122" s="452">
        <v>673636</v>
      </c>
      <c r="G122" s="621">
        <f t="shared" si="1"/>
        <v>1.0099567583945505E-3</v>
      </c>
    </row>
    <row r="123" spans="1:7">
      <c r="A123" s="455">
        <v>120</v>
      </c>
      <c r="B123" s="454" t="s">
        <v>579</v>
      </c>
      <c r="C123" s="557" t="s">
        <v>611</v>
      </c>
      <c r="D123" s="146">
        <v>4000</v>
      </c>
      <c r="E123" s="146">
        <v>210</v>
      </c>
      <c r="F123" s="452">
        <v>669090</v>
      </c>
      <c r="G123" s="621">
        <f t="shared" si="1"/>
        <v>1.0031411140055011E-3</v>
      </c>
    </row>
    <row r="124" spans="1:7">
      <c r="A124" s="455">
        <v>121</v>
      </c>
      <c r="B124" s="454" t="s">
        <v>582</v>
      </c>
      <c r="C124" s="557" t="s">
        <v>610</v>
      </c>
      <c r="D124" s="146">
        <v>3500</v>
      </c>
      <c r="E124" s="146">
        <v>216</v>
      </c>
      <c r="F124" s="452">
        <v>658637</v>
      </c>
      <c r="G124" s="621">
        <f t="shared" si="1"/>
        <v>9.8746932984387936E-4</v>
      </c>
    </row>
    <row r="125" spans="1:7">
      <c r="A125" s="455">
        <v>122</v>
      </c>
      <c r="B125" s="454" t="s">
        <v>582</v>
      </c>
      <c r="C125" s="555" t="s">
        <v>609</v>
      </c>
      <c r="D125" s="146">
        <v>3200</v>
      </c>
      <c r="E125" s="146">
        <v>228</v>
      </c>
      <c r="F125" s="452">
        <v>654543</v>
      </c>
      <c r="G125" s="621">
        <f t="shared" si="1"/>
        <v>9.8133135181291409E-4</v>
      </c>
    </row>
    <row r="126" spans="1:7">
      <c r="A126" s="455">
        <v>123</v>
      </c>
      <c r="B126" s="454" t="s">
        <v>582</v>
      </c>
      <c r="C126" s="557" t="s">
        <v>608</v>
      </c>
      <c r="D126" s="146">
        <v>3500</v>
      </c>
      <c r="E126" s="146">
        <v>212</v>
      </c>
      <c r="F126" s="452">
        <v>649089</v>
      </c>
      <c r="G126" s="621">
        <f t="shared" si="1"/>
        <v>9.7315437766027995E-4</v>
      </c>
    </row>
    <row r="127" spans="1:7">
      <c r="A127" s="455">
        <v>124</v>
      </c>
      <c r="B127" s="454" t="s">
        <v>569</v>
      </c>
      <c r="C127" s="559" t="s">
        <v>607</v>
      </c>
      <c r="D127" s="146">
        <v>2800</v>
      </c>
      <c r="E127" s="146">
        <v>254</v>
      </c>
      <c r="F127" s="452">
        <v>646544</v>
      </c>
      <c r="G127" s="621">
        <f t="shared" si="1"/>
        <v>9.6933875624142152E-4</v>
      </c>
    </row>
    <row r="128" spans="1:7">
      <c r="A128" s="455">
        <v>125</v>
      </c>
      <c r="B128" s="454" t="s">
        <v>582</v>
      </c>
      <c r="C128" s="555" t="s">
        <v>237</v>
      </c>
      <c r="D128" s="146">
        <v>3000</v>
      </c>
      <c r="E128" s="146">
        <v>241</v>
      </c>
      <c r="F128" s="452">
        <v>643636</v>
      </c>
      <c r="G128" s="621">
        <f t="shared" si="1"/>
        <v>9.6497890276949991E-4</v>
      </c>
    </row>
    <row r="129" spans="1:7">
      <c r="A129" s="455">
        <v>126</v>
      </c>
      <c r="B129" s="454" t="s">
        <v>572</v>
      </c>
      <c r="C129" s="555" t="s">
        <v>606</v>
      </c>
      <c r="D129" s="146">
        <v>3000</v>
      </c>
      <c r="E129" s="146">
        <v>240</v>
      </c>
      <c r="F129" s="452">
        <v>638182</v>
      </c>
      <c r="G129" s="621">
        <f t="shared" si="1"/>
        <v>9.5680192861686577E-4</v>
      </c>
    </row>
    <row r="130" spans="1:7">
      <c r="A130" s="455">
        <v>127</v>
      </c>
      <c r="B130" s="454" t="s">
        <v>605</v>
      </c>
      <c r="C130" s="559" t="s">
        <v>604</v>
      </c>
      <c r="D130" s="146">
        <v>3500</v>
      </c>
      <c r="E130" s="146">
        <v>208</v>
      </c>
      <c r="F130" s="452">
        <v>626817</v>
      </c>
      <c r="G130" s="621">
        <f t="shared" si="1"/>
        <v>9.3976281764424248E-4</v>
      </c>
    </row>
    <row r="131" spans="1:7">
      <c r="A131" s="455">
        <v>128</v>
      </c>
      <c r="B131" s="454" t="s">
        <v>582</v>
      </c>
      <c r="C131" s="555" t="s">
        <v>603</v>
      </c>
      <c r="D131" s="146">
        <v>3000</v>
      </c>
      <c r="E131" s="146">
        <v>231</v>
      </c>
      <c r="F131" s="452">
        <v>621817</v>
      </c>
      <c r="G131" s="621">
        <f t="shared" si="1"/>
        <v>9.3226650837340073E-4</v>
      </c>
    </row>
    <row r="132" spans="1:7">
      <c r="A132" s="455">
        <v>129</v>
      </c>
      <c r="B132" s="454" t="s">
        <v>582</v>
      </c>
      <c r="C132" s="555" t="s">
        <v>251</v>
      </c>
      <c r="D132" s="146">
        <v>3500</v>
      </c>
      <c r="E132" s="146">
        <v>200</v>
      </c>
      <c r="F132" s="452">
        <v>614091</v>
      </c>
      <c r="G132" s="621">
        <f t="shared" ref="G132:G195" si="2">F132/$F$276</f>
        <v>9.2068321128809601E-4</v>
      </c>
    </row>
    <row r="133" spans="1:7">
      <c r="A133" s="455">
        <v>130</v>
      </c>
      <c r="B133" s="454" t="s">
        <v>582</v>
      </c>
      <c r="C133" s="558" t="s">
        <v>602</v>
      </c>
      <c r="D133" s="146">
        <v>4500</v>
      </c>
      <c r="E133" s="146">
        <v>158</v>
      </c>
      <c r="F133" s="452">
        <v>608591</v>
      </c>
      <c r="G133" s="621">
        <f t="shared" si="2"/>
        <v>9.1243727109017005E-4</v>
      </c>
    </row>
    <row r="134" spans="1:7">
      <c r="A134" s="455">
        <v>131</v>
      </c>
      <c r="B134" s="454" t="s">
        <v>463</v>
      </c>
      <c r="C134" s="558" t="s">
        <v>601</v>
      </c>
      <c r="D134" s="146">
        <v>4800</v>
      </c>
      <c r="E134" s="146">
        <v>152</v>
      </c>
      <c r="F134" s="452">
        <v>602617</v>
      </c>
      <c r="G134" s="621">
        <f t="shared" si="2"/>
        <v>9.0348068077336836E-4</v>
      </c>
    </row>
    <row r="135" spans="1:7">
      <c r="A135" s="455">
        <v>132</v>
      </c>
      <c r="B135" s="454" t="s">
        <v>478</v>
      </c>
      <c r="C135" s="558" t="s">
        <v>600</v>
      </c>
      <c r="D135" s="146">
        <v>4200</v>
      </c>
      <c r="E135" s="146">
        <v>167</v>
      </c>
      <c r="F135" s="452">
        <v>597636</v>
      </c>
      <c r="G135" s="621">
        <f t="shared" si="2"/>
        <v>8.9601285747775586E-4</v>
      </c>
    </row>
    <row r="136" spans="1:7">
      <c r="A136" s="455">
        <v>133</v>
      </c>
      <c r="B136" s="454" t="s">
        <v>461</v>
      </c>
      <c r="C136" s="555" t="s">
        <v>239</v>
      </c>
      <c r="D136" s="146">
        <v>3000</v>
      </c>
      <c r="E136" s="146">
        <v>222</v>
      </c>
      <c r="F136" s="452">
        <v>594544</v>
      </c>
      <c r="G136" s="621">
        <f t="shared" si="2"/>
        <v>8.9137713982466731E-4</v>
      </c>
    </row>
    <row r="137" spans="1:7">
      <c r="A137" s="455">
        <v>134</v>
      </c>
      <c r="B137" s="454" t="s">
        <v>474</v>
      </c>
      <c r="C137" s="559" t="s">
        <v>599</v>
      </c>
      <c r="D137" s="146">
        <v>2700</v>
      </c>
      <c r="E137" s="146">
        <v>241</v>
      </c>
      <c r="F137" s="452">
        <v>591104</v>
      </c>
      <c r="G137" s="621">
        <f t="shared" si="2"/>
        <v>8.8621967904632822E-4</v>
      </c>
    </row>
    <row r="138" spans="1:7">
      <c r="A138" s="455">
        <v>135</v>
      </c>
      <c r="B138" s="454" t="s">
        <v>461</v>
      </c>
      <c r="C138" s="555" t="s">
        <v>598</v>
      </c>
      <c r="D138" s="146">
        <v>3000</v>
      </c>
      <c r="E138" s="146">
        <v>222</v>
      </c>
      <c r="F138" s="452">
        <v>589093</v>
      </c>
      <c r="G138" s="621">
        <f t="shared" si="2"/>
        <v>8.8320466345759557E-4</v>
      </c>
    </row>
    <row r="139" spans="1:7">
      <c r="A139" s="455">
        <v>136</v>
      </c>
      <c r="B139" s="454" t="s">
        <v>582</v>
      </c>
      <c r="C139" s="558" t="s">
        <v>597</v>
      </c>
      <c r="D139" s="146">
        <v>4000</v>
      </c>
      <c r="E139" s="146">
        <v>160</v>
      </c>
      <c r="F139" s="452">
        <v>564544</v>
      </c>
      <c r="G139" s="621">
        <f t="shared" si="2"/>
        <v>8.4639928419961681E-4</v>
      </c>
    </row>
    <row r="140" spans="1:7">
      <c r="A140" s="455">
        <v>137</v>
      </c>
      <c r="B140" s="454" t="s">
        <v>461</v>
      </c>
      <c r="C140" s="557" t="s">
        <v>596</v>
      </c>
      <c r="D140" s="146">
        <v>3800</v>
      </c>
      <c r="E140" s="146">
        <v>177</v>
      </c>
      <c r="F140" s="452">
        <v>554456</v>
      </c>
      <c r="G140" s="621">
        <f t="shared" si="2"/>
        <v>8.312747306147665E-4</v>
      </c>
    </row>
    <row r="141" spans="1:7">
      <c r="A141" s="455">
        <v>138</v>
      </c>
      <c r="B141" s="454" t="s">
        <v>569</v>
      </c>
      <c r="C141" s="559" t="s">
        <v>595</v>
      </c>
      <c r="D141" s="146">
        <v>3200</v>
      </c>
      <c r="E141" s="146">
        <v>192</v>
      </c>
      <c r="F141" s="452">
        <v>546000</v>
      </c>
      <c r="G141" s="621">
        <f t="shared" si="2"/>
        <v>8.1859697237591893E-4</v>
      </c>
    </row>
    <row r="142" spans="1:7">
      <c r="A142" s="455">
        <v>139</v>
      </c>
      <c r="B142" s="454" t="s">
        <v>474</v>
      </c>
      <c r="C142" s="559" t="s">
        <v>594</v>
      </c>
      <c r="D142" s="146">
        <v>2800</v>
      </c>
      <c r="E142" s="146">
        <v>212</v>
      </c>
      <c r="F142" s="452">
        <v>539635</v>
      </c>
      <c r="G142" s="621">
        <f t="shared" si="2"/>
        <v>8.0905417067413739E-4</v>
      </c>
    </row>
    <row r="143" spans="1:7">
      <c r="A143" s="455">
        <v>140</v>
      </c>
      <c r="B143" s="454" t="s">
        <v>582</v>
      </c>
      <c r="C143" s="557" t="s">
        <v>593</v>
      </c>
      <c r="D143" s="146">
        <v>3500</v>
      </c>
      <c r="E143" s="146">
        <v>182</v>
      </c>
      <c r="F143" s="452">
        <v>537728</v>
      </c>
      <c r="G143" s="621">
        <f t="shared" si="2"/>
        <v>8.0619507831823829E-4</v>
      </c>
    </row>
    <row r="144" spans="1:7">
      <c r="A144" s="455">
        <v>141</v>
      </c>
      <c r="B144" s="454" t="s">
        <v>461</v>
      </c>
      <c r="C144" s="555" t="s">
        <v>592</v>
      </c>
      <c r="D144" s="146">
        <v>3500</v>
      </c>
      <c r="E144" s="146">
        <v>178</v>
      </c>
      <c r="F144" s="452">
        <v>534545</v>
      </c>
      <c r="G144" s="621">
        <f t="shared" si="2"/>
        <v>8.0142292783642053E-4</v>
      </c>
    </row>
    <row r="145" spans="1:7">
      <c r="A145" s="455">
        <v>142</v>
      </c>
      <c r="B145" s="454" t="s">
        <v>582</v>
      </c>
      <c r="C145" s="555" t="s">
        <v>240</v>
      </c>
      <c r="D145" s="146">
        <v>3000</v>
      </c>
      <c r="E145" s="146">
        <v>200</v>
      </c>
      <c r="F145" s="452">
        <v>531819</v>
      </c>
      <c r="G145" s="621">
        <f t="shared" si="2"/>
        <v>7.9733594002195755E-4</v>
      </c>
    </row>
    <row r="146" spans="1:7">
      <c r="A146" s="455">
        <v>143</v>
      </c>
      <c r="B146" s="454" t="s">
        <v>582</v>
      </c>
      <c r="C146" s="557" t="s">
        <v>591</v>
      </c>
      <c r="D146" s="146">
        <v>3500</v>
      </c>
      <c r="E146" s="146">
        <v>166</v>
      </c>
      <c r="F146" s="452">
        <v>510363</v>
      </c>
      <c r="G146" s="621">
        <f t="shared" si="2"/>
        <v>7.6516777767892145E-4</v>
      </c>
    </row>
    <row r="147" spans="1:7">
      <c r="A147" s="455">
        <v>144</v>
      </c>
      <c r="B147" s="454" t="s">
        <v>582</v>
      </c>
      <c r="C147" s="557" t="s">
        <v>590</v>
      </c>
      <c r="D147" s="146">
        <v>3500</v>
      </c>
      <c r="E147" s="146">
        <v>165</v>
      </c>
      <c r="F147" s="452">
        <v>493182</v>
      </c>
      <c r="G147" s="621">
        <f t="shared" si="2"/>
        <v>7.3940895976245505E-4</v>
      </c>
    </row>
    <row r="148" spans="1:7">
      <c r="A148" s="455">
        <v>145</v>
      </c>
      <c r="B148" s="454" t="s">
        <v>461</v>
      </c>
      <c r="C148" s="557" t="s">
        <v>589</v>
      </c>
      <c r="D148" s="146">
        <v>2500</v>
      </c>
      <c r="E148" s="146">
        <v>218</v>
      </c>
      <c r="F148" s="452">
        <v>493181</v>
      </c>
      <c r="G148" s="621">
        <f t="shared" si="2"/>
        <v>7.3940746050060084E-4</v>
      </c>
    </row>
    <row r="149" spans="1:7">
      <c r="A149" s="455">
        <v>146</v>
      </c>
      <c r="B149" s="454" t="s">
        <v>582</v>
      </c>
      <c r="C149" s="555" t="s">
        <v>588</v>
      </c>
      <c r="D149" s="146">
        <v>3000</v>
      </c>
      <c r="E149" s="146">
        <v>196</v>
      </c>
      <c r="F149" s="452">
        <v>485454</v>
      </c>
      <c r="G149" s="621">
        <f t="shared" si="2"/>
        <v>7.2782266415344203E-4</v>
      </c>
    </row>
    <row r="150" spans="1:7">
      <c r="A150" s="455">
        <v>147</v>
      </c>
      <c r="B150" s="454" t="s">
        <v>461</v>
      </c>
      <c r="C150" s="558" t="s">
        <v>587</v>
      </c>
      <c r="D150" s="146">
        <v>4200</v>
      </c>
      <c r="E150" s="146">
        <v>127</v>
      </c>
      <c r="F150" s="452">
        <v>481091</v>
      </c>
      <c r="G150" s="621">
        <f t="shared" si="2"/>
        <v>7.2128138468370551E-4</v>
      </c>
    </row>
    <row r="151" spans="1:7">
      <c r="A151" s="455">
        <v>148</v>
      </c>
      <c r="B151" s="454" t="s">
        <v>569</v>
      </c>
      <c r="C151" s="559" t="s">
        <v>586</v>
      </c>
      <c r="D151" s="146">
        <v>2700</v>
      </c>
      <c r="E151" s="146">
        <v>201</v>
      </c>
      <c r="F151" s="452">
        <v>480651</v>
      </c>
      <c r="G151" s="621">
        <f t="shared" si="2"/>
        <v>7.2062170946787145E-4</v>
      </c>
    </row>
    <row r="152" spans="1:7">
      <c r="A152" s="455">
        <v>149</v>
      </c>
      <c r="B152" s="454" t="s">
        <v>569</v>
      </c>
      <c r="C152" s="559" t="s">
        <v>585</v>
      </c>
      <c r="D152" s="146">
        <v>2700</v>
      </c>
      <c r="E152" s="146">
        <v>196</v>
      </c>
      <c r="F152" s="452">
        <v>476183</v>
      </c>
      <c r="G152" s="621">
        <f t="shared" si="2"/>
        <v>7.1392300750344729E-4</v>
      </c>
    </row>
    <row r="153" spans="1:7">
      <c r="A153" s="455">
        <v>150</v>
      </c>
      <c r="B153" s="454" t="s">
        <v>569</v>
      </c>
      <c r="C153" s="559" t="s">
        <v>584</v>
      </c>
      <c r="D153" s="146">
        <v>2800</v>
      </c>
      <c r="E153" s="146">
        <v>188</v>
      </c>
      <c r="F153" s="452">
        <v>475999</v>
      </c>
      <c r="G153" s="621">
        <f t="shared" si="2"/>
        <v>7.1364714332228024E-4</v>
      </c>
    </row>
    <row r="154" spans="1:7">
      <c r="A154" s="455">
        <v>151</v>
      </c>
      <c r="B154" s="454" t="s">
        <v>461</v>
      </c>
      <c r="C154" s="557" t="s">
        <v>583</v>
      </c>
      <c r="D154" s="146">
        <v>3500</v>
      </c>
      <c r="E154" s="146">
        <v>158</v>
      </c>
      <c r="F154" s="452">
        <v>471364</v>
      </c>
      <c r="G154" s="621">
        <f t="shared" si="2"/>
        <v>7.0669806462820997E-4</v>
      </c>
    </row>
    <row r="155" spans="1:7">
      <c r="A155" s="455">
        <v>152</v>
      </c>
      <c r="B155" s="454" t="s">
        <v>582</v>
      </c>
      <c r="C155" s="558" t="s">
        <v>581</v>
      </c>
      <c r="D155" s="146">
        <v>4200</v>
      </c>
      <c r="E155" s="146">
        <v>128</v>
      </c>
      <c r="F155" s="452">
        <v>469636</v>
      </c>
      <c r="G155" s="621">
        <f t="shared" si="2"/>
        <v>7.0410734014420711E-4</v>
      </c>
    </row>
    <row r="156" spans="1:7">
      <c r="A156" s="455">
        <v>153</v>
      </c>
      <c r="B156" s="454" t="s">
        <v>463</v>
      </c>
      <c r="C156" s="558" t="s">
        <v>580</v>
      </c>
      <c r="D156" s="146">
        <v>4500</v>
      </c>
      <c r="E156" s="146">
        <v>115</v>
      </c>
      <c r="F156" s="452">
        <v>459046</v>
      </c>
      <c r="G156" s="621">
        <f t="shared" si="2"/>
        <v>6.8823015710856429E-4</v>
      </c>
    </row>
    <row r="157" spans="1:7">
      <c r="A157" s="455">
        <v>154</v>
      </c>
      <c r="B157" s="454" t="s">
        <v>579</v>
      </c>
      <c r="C157" s="558" t="s">
        <v>578</v>
      </c>
      <c r="D157" s="146">
        <v>4000</v>
      </c>
      <c r="E157" s="146">
        <v>134</v>
      </c>
      <c r="F157" s="452">
        <v>458909</v>
      </c>
      <c r="G157" s="621">
        <f t="shared" si="2"/>
        <v>6.8802475823454316E-4</v>
      </c>
    </row>
    <row r="158" spans="1:7">
      <c r="A158" s="455">
        <v>155</v>
      </c>
      <c r="B158" s="454" t="s">
        <v>569</v>
      </c>
      <c r="C158" s="559" t="s">
        <v>577</v>
      </c>
      <c r="D158" s="146">
        <v>2700</v>
      </c>
      <c r="E158" s="146">
        <v>188</v>
      </c>
      <c r="F158" s="452">
        <v>456546</v>
      </c>
      <c r="G158" s="621">
        <f t="shared" si="2"/>
        <v>6.8448200247314336E-4</v>
      </c>
    </row>
    <row r="159" spans="1:7">
      <c r="A159" s="455">
        <v>156</v>
      </c>
      <c r="B159" s="454" t="s">
        <v>461</v>
      </c>
      <c r="C159" s="557" t="s">
        <v>576</v>
      </c>
      <c r="D159" s="146">
        <v>3500</v>
      </c>
      <c r="E159" s="146">
        <v>151</v>
      </c>
      <c r="F159" s="452">
        <v>455001</v>
      </c>
      <c r="G159" s="621">
        <f t="shared" si="2"/>
        <v>6.8216564290845324E-4</v>
      </c>
    </row>
    <row r="160" spans="1:7">
      <c r="A160" s="455">
        <v>157</v>
      </c>
      <c r="B160" s="454" t="s">
        <v>575</v>
      </c>
      <c r="C160" s="559" t="s">
        <v>235</v>
      </c>
      <c r="D160" s="146">
        <v>3500</v>
      </c>
      <c r="E160" s="146">
        <v>139</v>
      </c>
      <c r="F160" s="452">
        <v>442274</v>
      </c>
      <c r="G160" s="621">
        <f t="shared" si="2"/>
        <v>6.6308453729045267E-4</v>
      </c>
    </row>
    <row r="161" spans="1:7">
      <c r="A161" s="455">
        <v>158</v>
      </c>
      <c r="B161" s="454" t="s">
        <v>573</v>
      </c>
      <c r="C161" s="555" t="s">
        <v>252</v>
      </c>
      <c r="D161" s="146">
        <v>3500</v>
      </c>
      <c r="E161" s="146">
        <v>152</v>
      </c>
      <c r="F161" s="452">
        <v>442272</v>
      </c>
      <c r="G161" s="621">
        <f t="shared" si="2"/>
        <v>6.6308153876674437E-4</v>
      </c>
    </row>
    <row r="162" spans="1:7">
      <c r="A162" s="455">
        <v>159</v>
      </c>
      <c r="B162" s="454" t="s">
        <v>572</v>
      </c>
      <c r="C162" s="557" t="s">
        <v>571</v>
      </c>
      <c r="D162" s="146">
        <v>3500</v>
      </c>
      <c r="E162" s="146">
        <v>152</v>
      </c>
      <c r="F162" s="452">
        <v>439091</v>
      </c>
      <c r="G162" s="621">
        <f t="shared" si="2"/>
        <v>6.583123868086348E-4</v>
      </c>
    </row>
    <row r="163" spans="1:7">
      <c r="A163" s="455">
        <v>160</v>
      </c>
      <c r="B163" s="454" t="s">
        <v>484</v>
      </c>
      <c r="C163" s="558" t="s">
        <v>570</v>
      </c>
      <c r="D163" s="146">
        <v>4500</v>
      </c>
      <c r="E163" s="146">
        <v>107</v>
      </c>
      <c r="F163" s="452">
        <v>438136</v>
      </c>
      <c r="G163" s="621">
        <f t="shared" si="2"/>
        <v>6.568805917379041E-4</v>
      </c>
    </row>
    <row r="164" spans="1:7">
      <c r="A164" s="455">
        <v>161</v>
      </c>
      <c r="B164" s="454" t="s">
        <v>569</v>
      </c>
      <c r="C164" s="559" t="s">
        <v>568</v>
      </c>
      <c r="D164" s="146">
        <v>2800</v>
      </c>
      <c r="E164" s="146">
        <v>173</v>
      </c>
      <c r="F164" s="452">
        <v>435272</v>
      </c>
      <c r="G164" s="621">
        <f t="shared" si="2"/>
        <v>6.525867057875659E-4</v>
      </c>
    </row>
    <row r="165" spans="1:7">
      <c r="A165" s="455">
        <v>162</v>
      </c>
      <c r="B165" s="454" t="s">
        <v>461</v>
      </c>
      <c r="C165" s="558" t="s">
        <v>567</v>
      </c>
      <c r="D165" s="146">
        <v>4500</v>
      </c>
      <c r="E165" s="146">
        <v>107</v>
      </c>
      <c r="F165" s="452">
        <v>426817</v>
      </c>
      <c r="G165" s="621">
        <f t="shared" si="2"/>
        <v>6.3991044681057253E-4</v>
      </c>
    </row>
    <row r="166" spans="1:7">
      <c r="A166" s="455">
        <v>163</v>
      </c>
      <c r="B166" s="454" t="s">
        <v>463</v>
      </c>
      <c r="C166" s="558" t="s">
        <v>566</v>
      </c>
      <c r="D166" s="146">
        <v>4300</v>
      </c>
      <c r="E166" s="146">
        <v>113</v>
      </c>
      <c r="F166" s="452">
        <v>419508</v>
      </c>
      <c r="G166" s="621">
        <f t="shared" si="2"/>
        <v>6.2895234191845601E-4</v>
      </c>
    </row>
    <row r="167" spans="1:7">
      <c r="A167" s="455">
        <v>164</v>
      </c>
      <c r="B167" s="454" t="s">
        <v>463</v>
      </c>
      <c r="C167" s="555" t="s">
        <v>248</v>
      </c>
      <c r="D167" s="146">
        <v>3500</v>
      </c>
      <c r="E167" s="146">
        <v>133</v>
      </c>
      <c r="F167" s="452">
        <v>416818</v>
      </c>
      <c r="G167" s="621">
        <f t="shared" si="2"/>
        <v>6.2491932753074313E-4</v>
      </c>
    </row>
    <row r="168" spans="1:7">
      <c r="A168" s="455">
        <v>165</v>
      </c>
      <c r="B168" s="454" t="s">
        <v>461</v>
      </c>
      <c r="C168" s="555" t="s">
        <v>565</v>
      </c>
      <c r="D168" s="146">
        <v>3200</v>
      </c>
      <c r="E168" s="146">
        <v>149</v>
      </c>
      <c r="F168" s="452">
        <v>415999</v>
      </c>
      <c r="G168" s="621">
        <f t="shared" si="2"/>
        <v>6.2369143207217925E-4</v>
      </c>
    </row>
    <row r="169" spans="1:7">
      <c r="A169" s="455">
        <v>166</v>
      </c>
      <c r="B169" s="454" t="s">
        <v>463</v>
      </c>
      <c r="C169" s="557" t="s">
        <v>564</v>
      </c>
      <c r="D169" s="146">
        <v>4300</v>
      </c>
      <c r="E169" s="146">
        <v>127</v>
      </c>
      <c r="F169" s="452">
        <v>406545</v>
      </c>
      <c r="G169" s="621">
        <f t="shared" si="2"/>
        <v>6.0951741050287167E-4</v>
      </c>
    </row>
    <row r="170" spans="1:7">
      <c r="A170" s="455">
        <v>167</v>
      </c>
      <c r="B170" s="454" t="s">
        <v>461</v>
      </c>
      <c r="C170" s="558" t="s">
        <v>563</v>
      </c>
      <c r="D170" s="146">
        <v>4000</v>
      </c>
      <c r="E170" s="146">
        <v>112</v>
      </c>
      <c r="F170" s="452">
        <v>402909</v>
      </c>
      <c r="G170" s="621">
        <f t="shared" si="2"/>
        <v>6.0406609440111561E-4</v>
      </c>
    </row>
    <row r="171" spans="1:7">
      <c r="A171" s="455">
        <v>168</v>
      </c>
      <c r="B171" s="454" t="s">
        <v>461</v>
      </c>
      <c r="C171" s="558" t="s">
        <v>562</v>
      </c>
      <c r="D171" s="146">
        <v>3000</v>
      </c>
      <c r="E171" s="146">
        <v>145</v>
      </c>
      <c r="F171" s="452">
        <v>395454</v>
      </c>
      <c r="G171" s="621">
        <f t="shared" si="2"/>
        <v>5.9288909727829055E-4</v>
      </c>
    </row>
    <row r="172" spans="1:7">
      <c r="A172" s="455">
        <v>169</v>
      </c>
      <c r="B172" s="454" t="s">
        <v>478</v>
      </c>
      <c r="C172" s="453" t="s">
        <v>561</v>
      </c>
      <c r="D172" s="146">
        <v>2000</v>
      </c>
      <c r="E172" s="146">
        <v>200</v>
      </c>
      <c r="F172" s="452">
        <v>363636</v>
      </c>
      <c r="G172" s="621">
        <f t="shared" si="2"/>
        <v>5.4518558360236197E-4</v>
      </c>
    </row>
    <row r="173" spans="1:7">
      <c r="A173" s="455">
        <v>170</v>
      </c>
      <c r="B173" s="454" t="s">
        <v>474</v>
      </c>
      <c r="C173" s="559" t="s">
        <v>560</v>
      </c>
      <c r="D173" s="146">
        <v>2700</v>
      </c>
      <c r="E173" s="146">
        <v>146</v>
      </c>
      <c r="F173" s="452">
        <v>351000</v>
      </c>
      <c r="G173" s="621">
        <f t="shared" si="2"/>
        <v>5.2624091081309072E-4</v>
      </c>
    </row>
    <row r="174" spans="1:7">
      <c r="A174" s="455">
        <v>171</v>
      </c>
      <c r="B174" s="454" t="s">
        <v>463</v>
      </c>
      <c r="C174" s="558" t="s">
        <v>559</v>
      </c>
      <c r="D174" s="146">
        <v>4800</v>
      </c>
      <c r="E174" s="146">
        <v>86</v>
      </c>
      <c r="F174" s="452">
        <v>344728</v>
      </c>
      <c r="G174" s="621">
        <f t="shared" si="2"/>
        <v>5.1683754046374681E-4</v>
      </c>
    </row>
    <row r="175" spans="1:7">
      <c r="A175" s="455">
        <v>172</v>
      </c>
      <c r="B175" s="454" t="s">
        <v>463</v>
      </c>
      <c r="C175" s="558" t="s">
        <v>558</v>
      </c>
      <c r="D175" s="146">
        <v>4500</v>
      </c>
      <c r="E175" s="146">
        <v>89</v>
      </c>
      <c r="F175" s="452">
        <v>336364</v>
      </c>
      <c r="G175" s="621">
        <f t="shared" si="2"/>
        <v>5.0429771431548275E-4</v>
      </c>
    </row>
    <row r="176" spans="1:7">
      <c r="A176" s="455">
        <v>173</v>
      </c>
      <c r="B176" s="454" t="s">
        <v>461</v>
      </c>
      <c r="C176" s="555" t="s">
        <v>557</v>
      </c>
      <c r="D176" s="146">
        <v>3000</v>
      </c>
      <c r="E176" s="146">
        <v>124</v>
      </c>
      <c r="F176" s="452">
        <v>335454</v>
      </c>
      <c r="G176" s="621">
        <f t="shared" si="2"/>
        <v>5.0293338602818956E-4</v>
      </c>
    </row>
    <row r="177" spans="1:7">
      <c r="A177" s="455">
        <v>174</v>
      </c>
      <c r="B177" s="454" t="s">
        <v>461</v>
      </c>
      <c r="C177" s="555" t="s">
        <v>556</v>
      </c>
      <c r="D177" s="146">
        <v>3500</v>
      </c>
      <c r="E177" s="146">
        <v>112</v>
      </c>
      <c r="F177" s="452">
        <v>334093</v>
      </c>
      <c r="G177" s="621">
        <f t="shared" si="2"/>
        <v>5.0089289064466649E-4</v>
      </c>
    </row>
    <row r="178" spans="1:7">
      <c r="A178" s="455">
        <v>175</v>
      </c>
      <c r="B178" s="454" t="s">
        <v>461</v>
      </c>
      <c r="C178" s="558" t="s">
        <v>555</v>
      </c>
      <c r="D178" s="146">
        <v>4300</v>
      </c>
      <c r="E178" s="146">
        <v>87</v>
      </c>
      <c r="F178" s="452">
        <v>328363</v>
      </c>
      <c r="G178" s="621">
        <f t="shared" si="2"/>
        <v>4.9230212022028177E-4</v>
      </c>
    </row>
    <row r="179" spans="1:7">
      <c r="A179" s="455">
        <v>176</v>
      </c>
      <c r="B179" s="454" t="s">
        <v>474</v>
      </c>
      <c r="C179" s="559" t="s">
        <v>554</v>
      </c>
      <c r="D179" s="146">
        <v>2800</v>
      </c>
      <c r="E179" s="146">
        <v>129</v>
      </c>
      <c r="F179" s="452">
        <v>328363</v>
      </c>
      <c r="G179" s="621">
        <f t="shared" si="2"/>
        <v>4.9230212022028177E-4</v>
      </c>
    </row>
    <row r="180" spans="1:7">
      <c r="A180" s="455">
        <v>177</v>
      </c>
      <c r="B180" s="454" t="s">
        <v>461</v>
      </c>
      <c r="C180" s="558" t="s">
        <v>553</v>
      </c>
      <c r="D180" s="146">
        <v>4500</v>
      </c>
      <c r="E180" s="146">
        <v>84</v>
      </c>
      <c r="F180" s="452">
        <v>327728</v>
      </c>
      <c r="G180" s="621">
        <f t="shared" si="2"/>
        <v>4.9135008894288495E-4</v>
      </c>
    </row>
    <row r="181" spans="1:7">
      <c r="A181" s="455">
        <v>178</v>
      </c>
      <c r="B181" s="454" t="s">
        <v>463</v>
      </c>
      <c r="C181" s="558" t="s">
        <v>552</v>
      </c>
      <c r="D181" s="146">
        <v>4000</v>
      </c>
      <c r="E181" s="146">
        <v>93</v>
      </c>
      <c r="F181" s="452">
        <v>327637</v>
      </c>
      <c r="G181" s="621">
        <f t="shared" si="2"/>
        <v>4.9121365611415563E-4</v>
      </c>
    </row>
    <row r="182" spans="1:7">
      <c r="A182" s="455">
        <v>179</v>
      </c>
      <c r="B182" s="454" t="s">
        <v>452</v>
      </c>
      <c r="C182" s="559" t="s">
        <v>551</v>
      </c>
      <c r="D182" s="146">
        <v>350000</v>
      </c>
      <c r="E182" s="146">
        <v>1</v>
      </c>
      <c r="F182" s="452">
        <v>318182</v>
      </c>
      <c r="G182" s="621">
        <f t="shared" si="2"/>
        <v>4.7703813528299384E-4</v>
      </c>
    </row>
    <row r="183" spans="1:7">
      <c r="A183" s="455">
        <v>180</v>
      </c>
      <c r="B183" s="454" t="s">
        <v>461</v>
      </c>
      <c r="C183" s="558" t="s">
        <v>550</v>
      </c>
      <c r="D183" s="146">
        <v>4500</v>
      </c>
      <c r="E183" s="146">
        <v>74</v>
      </c>
      <c r="F183" s="452">
        <v>302728</v>
      </c>
      <c r="G183" s="621">
        <f t="shared" si="2"/>
        <v>4.5386854258867615E-4</v>
      </c>
    </row>
    <row r="184" spans="1:7">
      <c r="A184" s="455">
        <v>181</v>
      </c>
      <c r="B184" s="454" t="s">
        <v>463</v>
      </c>
      <c r="C184" s="558" t="s">
        <v>549</v>
      </c>
      <c r="D184" s="146">
        <v>4300</v>
      </c>
      <c r="E184" s="146">
        <v>73</v>
      </c>
      <c r="F184" s="452">
        <v>285365</v>
      </c>
      <c r="G184" s="621">
        <f t="shared" si="2"/>
        <v>4.2783685901475111E-4</v>
      </c>
    </row>
    <row r="185" spans="1:7">
      <c r="A185" s="455">
        <v>182</v>
      </c>
      <c r="B185" s="454" t="s">
        <v>463</v>
      </c>
      <c r="C185" s="555" t="s">
        <v>548</v>
      </c>
      <c r="D185" s="146">
        <v>3800</v>
      </c>
      <c r="E185" s="146">
        <v>88</v>
      </c>
      <c r="F185" s="452">
        <v>283274</v>
      </c>
      <c r="G185" s="621">
        <f t="shared" si="2"/>
        <v>4.2470190247768507E-4</v>
      </c>
    </row>
    <row r="186" spans="1:7">
      <c r="A186" s="455">
        <v>183</v>
      </c>
      <c r="B186" s="454" t="s">
        <v>461</v>
      </c>
      <c r="C186" s="558" t="s">
        <v>547</v>
      </c>
      <c r="D186" s="146">
        <v>4200</v>
      </c>
      <c r="E186" s="146">
        <v>75</v>
      </c>
      <c r="F186" s="452">
        <v>278727</v>
      </c>
      <c r="G186" s="621">
        <f t="shared" si="2"/>
        <v>4.1788475882678162E-4</v>
      </c>
    </row>
    <row r="187" spans="1:7">
      <c r="A187" s="455">
        <v>184</v>
      </c>
      <c r="B187" s="454" t="s">
        <v>461</v>
      </c>
      <c r="C187" s="555" t="s">
        <v>546</v>
      </c>
      <c r="D187" s="146">
        <v>3000</v>
      </c>
      <c r="E187" s="146">
        <v>103</v>
      </c>
      <c r="F187" s="452">
        <v>275453</v>
      </c>
      <c r="G187" s="621">
        <f t="shared" si="2"/>
        <v>4.1297617551623442E-4</v>
      </c>
    </row>
    <row r="188" spans="1:7">
      <c r="A188" s="455">
        <v>185</v>
      </c>
      <c r="B188" s="454" t="s">
        <v>461</v>
      </c>
      <c r="C188" s="558" t="s">
        <v>545</v>
      </c>
      <c r="D188" s="146">
        <v>4200</v>
      </c>
      <c r="E188" s="146">
        <v>71</v>
      </c>
      <c r="F188" s="452">
        <v>271090</v>
      </c>
      <c r="G188" s="621">
        <f t="shared" si="2"/>
        <v>4.0643489604649791E-4</v>
      </c>
    </row>
    <row r="189" spans="1:7">
      <c r="A189" s="455">
        <v>186</v>
      </c>
      <c r="B189" s="454" t="s">
        <v>478</v>
      </c>
      <c r="C189" s="555" t="s">
        <v>544</v>
      </c>
      <c r="D189" s="146">
        <v>3500</v>
      </c>
      <c r="E189" s="146">
        <v>90</v>
      </c>
      <c r="F189" s="452">
        <v>270455</v>
      </c>
      <c r="G189" s="621">
        <f t="shared" si="2"/>
        <v>4.0548286476910103E-4</v>
      </c>
    </row>
    <row r="190" spans="1:7">
      <c r="A190" s="455">
        <v>187</v>
      </c>
      <c r="B190" s="454" t="s">
        <v>474</v>
      </c>
      <c r="C190" s="559" t="s">
        <v>543</v>
      </c>
      <c r="D190" s="146">
        <v>2700</v>
      </c>
      <c r="E190" s="146">
        <v>111</v>
      </c>
      <c r="F190" s="452">
        <v>270000</v>
      </c>
      <c r="G190" s="621">
        <f t="shared" si="2"/>
        <v>4.0480070062545444E-4</v>
      </c>
    </row>
    <row r="191" spans="1:7">
      <c r="A191" s="455">
        <v>188</v>
      </c>
      <c r="B191" s="454" t="s">
        <v>474</v>
      </c>
      <c r="C191" s="559" t="s">
        <v>542</v>
      </c>
      <c r="D191" s="146">
        <v>2000</v>
      </c>
      <c r="E191" s="146">
        <v>109</v>
      </c>
      <c r="F191" s="452">
        <v>267999</v>
      </c>
      <c r="G191" s="621">
        <f t="shared" si="2"/>
        <v>4.0180067765526356E-4</v>
      </c>
    </row>
    <row r="192" spans="1:7">
      <c r="A192" s="455">
        <v>189</v>
      </c>
      <c r="B192" s="454" t="s">
        <v>461</v>
      </c>
      <c r="C192" s="555" t="s">
        <v>238</v>
      </c>
      <c r="D192" s="146">
        <v>3000</v>
      </c>
      <c r="E192" s="146">
        <v>97</v>
      </c>
      <c r="F192" s="452">
        <v>259092</v>
      </c>
      <c r="G192" s="621">
        <f t="shared" si="2"/>
        <v>3.8844675232018605E-4</v>
      </c>
    </row>
    <row r="193" spans="1:7">
      <c r="A193" s="455">
        <v>190</v>
      </c>
      <c r="B193" s="454" t="s">
        <v>474</v>
      </c>
      <c r="C193" s="559" t="s">
        <v>541</v>
      </c>
      <c r="D193" s="146">
        <v>2000</v>
      </c>
      <c r="E193" s="146">
        <v>108</v>
      </c>
      <c r="F193" s="452">
        <v>257818</v>
      </c>
      <c r="G193" s="621">
        <f t="shared" si="2"/>
        <v>3.8653669271797558E-4</v>
      </c>
    </row>
    <row r="194" spans="1:7">
      <c r="A194" s="455">
        <v>191</v>
      </c>
      <c r="B194" s="454" t="s">
        <v>461</v>
      </c>
      <c r="C194" s="558" t="s">
        <v>540</v>
      </c>
      <c r="D194" s="146">
        <v>4300</v>
      </c>
      <c r="E194" s="146">
        <v>69</v>
      </c>
      <c r="F194" s="452">
        <v>250091</v>
      </c>
      <c r="G194" s="621">
        <f t="shared" si="2"/>
        <v>3.7495189637081676E-4</v>
      </c>
    </row>
    <row r="195" spans="1:7">
      <c r="A195" s="455">
        <v>192</v>
      </c>
      <c r="B195" s="454" t="s">
        <v>474</v>
      </c>
      <c r="C195" s="559" t="s">
        <v>539</v>
      </c>
      <c r="D195" s="146">
        <v>2800</v>
      </c>
      <c r="E195" s="146">
        <v>91</v>
      </c>
      <c r="F195" s="452">
        <v>231636</v>
      </c>
      <c r="G195" s="621">
        <f t="shared" si="2"/>
        <v>3.4728301885213984E-4</v>
      </c>
    </row>
    <row r="196" spans="1:7">
      <c r="A196" s="455">
        <v>193</v>
      </c>
      <c r="B196" s="454" t="s">
        <v>474</v>
      </c>
      <c r="C196" s="559" t="s">
        <v>538</v>
      </c>
      <c r="D196" s="146">
        <v>2000</v>
      </c>
      <c r="E196" s="146">
        <v>91</v>
      </c>
      <c r="F196" s="452">
        <v>227272</v>
      </c>
      <c r="G196" s="621">
        <f t="shared" ref="G196:G259" si="3">F196/$F$276</f>
        <v>3.4074024012054917E-4</v>
      </c>
    </row>
    <row r="197" spans="1:7">
      <c r="A197" s="455">
        <v>194</v>
      </c>
      <c r="B197" s="454" t="s">
        <v>463</v>
      </c>
      <c r="C197" s="558" t="s">
        <v>537</v>
      </c>
      <c r="D197" s="146">
        <v>4500</v>
      </c>
      <c r="E197" s="146">
        <v>59</v>
      </c>
      <c r="F197" s="452">
        <v>225002</v>
      </c>
      <c r="G197" s="621">
        <f t="shared" si="3"/>
        <v>3.37336915711587E-4</v>
      </c>
    </row>
    <row r="198" spans="1:7">
      <c r="A198" s="455">
        <v>195</v>
      </c>
      <c r="B198" s="454" t="s">
        <v>461</v>
      </c>
      <c r="C198" s="558" t="s">
        <v>536</v>
      </c>
      <c r="D198" s="146">
        <v>4200</v>
      </c>
      <c r="E198" s="146">
        <v>53</v>
      </c>
      <c r="F198" s="452">
        <v>202364</v>
      </c>
      <c r="G198" s="621">
        <f t="shared" si="3"/>
        <v>3.033966258569239E-4</v>
      </c>
    </row>
    <row r="199" spans="1:7">
      <c r="A199" s="455">
        <v>196</v>
      </c>
      <c r="B199" s="454" t="s">
        <v>461</v>
      </c>
      <c r="C199" s="555" t="s">
        <v>535</v>
      </c>
      <c r="D199" s="146">
        <v>3000</v>
      </c>
      <c r="E199" s="146">
        <v>73</v>
      </c>
      <c r="F199" s="452">
        <v>199091</v>
      </c>
      <c r="G199" s="621">
        <f t="shared" si="3"/>
        <v>2.9848954180823091E-4</v>
      </c>
    </row>
    <row r="200" spans="1:7">
      <c r="A200" s="455">
        <v>197</v>
      </c>
      <c r="B200" s="454" t="s">
        <v>474</v>
      </c>
      <c r="C200" s="559" t="s">
        <v>534</v>
      </c>
      <c r="D200" s="146">
        <v>2800</v>
      </c>
      <c r="E200" s="146">
        <v>78</v>
      </c>
      <c r="F200" s="452">
        <v>198545</v>
      </c>
      <c r="G200" s="621">
        <f t="shared" si="3"/>
        <v>2.97670944835855E-4</v>
      </c>
    </row>
    <row r="201" spans="1:7">
      <c r="A201" s="455">
        <v>198</v>
      </c>
      <c r="B201" s="454" t="s">
        <v>474</v>
      </c>
      <c r="C201" s="559" t="s">
        <v>533</v>
      </c>
      <c r="D201" s="146">
        <v>2700</v>
      </c>
      <c r="E201" s="146">
        <v>80</v>
      </c>
      <c r="F201" s="452">
        <v>196364</v>
      </c>
      <c r="G201" s="621">
        <f t="shared" si="3"/>
        <v>2.9440105473191384E-4</v>
      </c>
    </row>
    <row r="202" spans="1:7">
      <c r="A202" s="455">
        <v>199</v>
      </c>
      <c r="B202" s="454" t="s">
        <v>478</v>
      </c>
      <c r="C202" s="557" t="s">
        <v>532</v>
      </c>
      <c r="D202" s="146">
        <v>4000</v>
      </c>
      <c r="E202" s="146">
        <v>69</v>
      </c>
      <c r="F202" s="452">
        <v>196362</v>
      </c>
      <c r="G202" s="621">
        <f t="shared" si="3"/>
        <v>2.9439805620820548E-4</v>
      </c>
    </row>
    <row r="203" spans="1:7">
      <c r="A203" s="455">
        <v>200</v>
      </c>
      <c r="B203" s="454" t="s">
        <v>461</v>
      </c>
      <c r="C203" s="555" t="s">
        <v>531</v>
      </c>
      <c r="D203" s="146">
        <v>3000</v>
      </c>
      <c r="E203" s="146">
        <v>77</v>
      </c>
      <c r="F203" s="452">
        <v>190910</v>
      </c>
      <c r="G203" s="621">
        <f t="shared" si="3"/>
        <v>2.8622408057927965E-4</v>
      </c>
    </row>
    <row r="204" spans="1:7">
      <c r="A204" s="455">
        <v>201</v>
      </c>
      <c r="B204" s="454" t="s">
        <v>452</v>
      </c>
      <c r="C204" s="559" t="s">
        <v>530</v>
      </c>
      <c r="D204" s="146">
        <v>15000</v>
      </c>
      <c r="E204" s="146">
        <v>13</v>
      </c>
      <c r="F204" s="452">
        <v>188182</v>
      </c>
      <c r="G204" s="621">
        <f t="shared" si="3"/>
        <v>2.8213409424110837E-4</v>
      </c>
    </row>
    <row r="205" spans="1:7">
      <c r="A205" s="455">
        <v>202</v>
      </c>
      <c r="B205" s="454" t="s">
        <v>461</v>
      </c>
      <c r="C205" s="555" t="s">
        <v>253</v>
      </c>
      <c r="D205" s="146">
        <v>3500</v>
      </c>
      <c r="E205" s="146">
        <v>64</v>
      </c>
      <c r="F205" s="452">
        <v>187728</v>
      </c>
      <c r="G205" s="621">
        <f t="shared" si="3"/>
        <v>2.8145342935931593E-4</v>
      </c>
    </row>
    <row r="206" spans="1:7">
      <c r="A206" s="455">
        <v>203</v>
      </c>
      <c r="B206" s="454" t="s">
        <v>461</v>
      </c>
      <c r="C206" s="555" t="s">
        <v>529</v>
      </c>
      <c r="D206" s="146">
        <v>3500</v>
      </c>
      <c r="E206" s="146">
        <v>58</v>
      </c>
      <c r="F206" s="452">
        <v>178181</v>
      </c>
      <c r="G206" s="621">
        <f t="shared" si="3"/>
        <v>2.6713997643757072E-4</v>
      </c>
    </row>
    <row r="207" spans="1:7">
      <c r="A207" s="455">
        <v>204</v>
      </c>
      <c r="B207" s="454" t="s">
        <v>452</v>
      </c>
      <c r="C207" s="559" t="s">
        <v>528</v>
      </c>
      <c r="D207" s="146">
        <v>500</v>
      </c>
      <c r="E207" s="146">
        <v>391</v>
      </c>
      <c r="F207" s="452">
        <v>175911</v>
      </c>
      <c r="G207" s="621">
        <f t="shared" si="3"/>
        <v>2.6373665202860855E-4</v>
      </c>
    </row>
    <row r="208" spans="1:7">
      <c r="A208" s="455">
        <v>205</v>
      </c>
      <c r="B208" s="454" t="s">
        <v>461</v>
      </c>
      <c r="C208" s="555" t="s">
        <v>527</v>
      </c>
      <c r="D208" s="146">
        <v>3000</v>
      </c>
      <c r="E208" s="146">
        <v>65</v>
      </c>
      <c r="F208" s="452">
        <v>171817</v>
      </c>
      <c r="G208" s="621">
        <f t="shared" si="3"/>
        <v>2.5759867399764334E-4</v>
      </c>
    </row>
    <row r="209" spans="1:7">
      <c r="A209" s="455">
        <v>206</v>
      </c>
      <c r="B209" s="454" t="s">
        <v>478</v>
      </c>
      <c r="C209" s="555" t="s">
        <v>526</v>
      </c>
      <c r="D209" s="146">
        <v>2500</v>
      </c>
      <c r="E209" s="146">
        <v>70</v>
      </c>
      <c r="F209" s="452">
        <v>156818</v>
      </c>
      <c r="G209" s="621">
        <f t="shared" si="3"/>
        <v>2.3511124544697227E-4</v>
      </c>
    </row>
    <row r="210" spans="1:7">
      <c r="A210" s="455">
        <v>207</v>
      </c>
      <c r="B210" s="454" t="s">
        <v>463</v>
      </c>
      <c r="C210" s="558" t="s">
        <v>525</v>
      </c>
      <c r="D210" s="146">
        <v>4500</v>
      </c>
      <c r="E210" s="146">
        <v>38</v>
      </c>
      <c r="F210" s="452">
        <v>147274</v>
      </c>
      <c r="G210" s="621">
        <f t="shared" si="3"/>
        <v>2.2080229031078952E-4</v>
      </c>
    </row>
    <row r="211" spans="1:7">
      <c r="A211" s="455">
        <v>208</v>
      </c>
      <c r="B211" s="454" t="s">
        <v>476</v>
      </c>
      <c r="C211" s="559" t="s">
        <v>524</v>
      </c>
      <c r="D211" s="146">
        <v>1800</v>
      </c>
      <c r="E211" s="146">
        <v>93</v>
      </c>
      <c r="F211" s="452">
        <v>147272</v>
      </c>
      <c r="G211" s="621">
        <f t="shared" si="3"/>
        <v>2.2079929178708119E-4</v>
      </c>
    </row>
    <row r="212" spans="1:7">
      <c r="A212" s="455">
        <v>209</v>
      </c>
      <c r="B212" s="454" t="s">
        <v>461</v>
      </c>
      <c r="C212" s="558" t="s">
        <v>523</v>
      </c>
      <c r="D212" s="146">
        <v>4000</v>
      </c>
      <c r="E212" s="146">
        <v>38</v>
      </c>
      <c r="F212" s="452">
        <v>135636</v>
      </c>
      <c r="G212" s="621">
        <f t="shared" si="3"/>
        <v>2.0335388085197827E-4</v>
      </c>
    </row>
    <row r="213" spans="1:7">
      <c r="A213" s="455">
        <v>210</v>
      </c>
      <c r="B213" s="454" t="s">
        <v>478</v>
      </c>
      <c r="C213" s="557" t="s">
        <v>522</v>
      </c>
      <c r="D213" s="146">
        <v>3000</v>
      </c>
      <c r="E213" s="146">
        <v>48</v>
      </c>
      <c r="F213" s="452">
        <v>130909</v>
      </c>
      <c r="G213" s="621">
        <f t="shared" si="3"/>
        <v>1.9626687006732448E-4</v>
      </c>
    </row>
    <row r="214" spans="1:7">
      <c r="A214" s="455">
        <v>211</v>
      </c>
      <c r="B214" s="454" t="s">
        <v>461</v>
      </c>
      <c r="C214" s="558" t="s">
        <v>521</v>
      </c>
      <c r="D214" s="146">
        <v>4300</v>
      </c>
      <c r="E214" s="146">
        <v>32</v>
      </c>
      <c r="F214" s="452">
        <v>125091</v>
      </c>
      <c r="G214" s="621">
        <f t="shared" si="3"/>
        <v>1.8754416459977304E-4</v>
      </c>
    </row>
    <row r="215" spans="1:7">
      <c r="A215" s="455">
        <v>212</v>
      </c>
      <c r="B215" s="454" t="s">
        <v>461</v>
      </c>
      <c r="C215" s="558" t="s">
        <v>520</v>
      </c>
      <c r="D215" s="146">
        <v>4000</v>
      </c>
      <c r="E215" s="146">
        <v>35</v>
      </c>
      <c r="F215" s="452">
        <v>123635</v>
      </c>
      <c r="G215" s="621">
        <f t="shared" si="3"/>
        <v>1.853612393401039E-4</v>
      </c>
    </row>
    <row r="216" spans="1:7">
      <c r="A216" s="455">
        <v>213</v>
      </c>
      <c r="B216" s="454" t="s">
        <v>452</v>
      </c>
      <c r="C216" s="559" t="s">
        <v>519</v>
      </c>
      <c r="D216" s="146">
        <v>1000</v>
      </c>
      <c r="E216" s="146">
        <v>222</v>
      </c>
      <c r="F216" s="452">
        <v>122727</v>
      </c>
      <c r="G216" s="621">
        <f t="shared" si="3"/>
        <v>1.8399990957651904E-4</v>
      </c>
    </row>
    <row r="217" spans="1:7">
      <c r="A217" s="455">
        <v>214</v>
      </c>
      <c r="B217" s="454" t="s">
        <v>478</v>
      </c>
      <c r="C217" s="555" t="s">
        <v>518</v>
      </c>
      <c r="D217" s="146">
        <v>3500</v>
      </c>
      <c r="E217" s="146">
        <v>37</v>
      </c>
      <c r="F217" s="452">
        <v>117727</v>
      </c>
      <c r="G217" s="621">
        <f t="shared" si="3"/>
        <v>1.7650360030567729E-4</v>
      </c>
    </row>
    <row r="218" spans="1:7">
      <c r="A218" s="455">
        <v>215</v>
      </c>
      <c r="B218" s="454" t="s">
        <v>479</v>
      </c>
      <c r="C218" s="558" t="s">
        <v>517</v>
      </c>
      <c r="D218" s="146">
        <v>4500</v>
      </c>
      <c r="E218" s="146">
        <v>32</v>
      </c>
      <c r="F218" s="452">
        <v>114546</v>
      </c>
      <c r="G218" s="621">
        <f t="shared" si="3"/>
        <v>1.7173444834756778E-4</v>
      </c>
    </row>
    <row r="219" spans="1:7">
      <c r="A219" s="455">
        <v>216</v>
      </c>
      <c r="B219" s="454" t="s">
        <v>461</v>
      </c>
      <c r="C219" s="558" t="s">
        <v>516</v>
      </c>
      <c r="D219" s="146">
        <v>4000</v>
      </c>
      <c r="E219" s="146">
        <v>30</v>
      </c>
      <c r="F219" s="452">
        <v>109090</v>
      </c>
      <c r="G219" s="621">
        <f t="shared" si="3"/>
        <v>1.6355447567122525E-4</v>
      </c>
    </row>
    <row r="220" spans="1:7">
      <c r="A220" s="455">
        <v>217</v>
      </c>
      <c r="B220" s="454" t="s">
        <v>461</v>
      </c>
      <c r="C220" s="453" t="s">
        <v>515</v>
      </c>
      <c r="D220" s="146">
        <v>2000</v>
      </c>
      <c r="E220" s="146">
        <v>59</v>
      </c>
      <c r="F220" s="452">
        <v>107273</v>
      </c>
      <c r="G220" s="621">
        <f t="shared" si="3"/>
        <v>1.6083031688220138E-4</v>
      </c>
    </row>
    <row r="221" spans="1:7">
      <c r="A221" s="455">
        <v>218</v>
      </c>
      <c r="B221" s="454" t="s">
        <v>463</v>
      </c>
      <c r="C221" s="558" t="s">
        <v>514</v>
      </c>
      <c r="D221" s="146">
        <v>4300</v>
      </c>
      <c r="E221" s="146">
        <v>27</v>
      </c>
      <c r="F221" s="452">
        <v>102416</v>
      </c>
      <c r="G221" s="621">
        <f t="shared" si="3"/>
        <v>1.535484020565057E-4</v>
      </c>
    </row>
    <row r="222" spans="1:7">
      <c r="A222" s="455">
        <v>219</v>
      </c>
      <c r="B222" s="454" t="s">
        <v>465</v>
      </c>
      <c r="C222" s="558" t="s">
        <v>513</v>
      </c>
      <c r="D222" s="146">
        <v>4000</v>
      </c>
      <c r="E222" s="146">
        <v>29</v>
      </c>
      <c r="F222" s="452">
        <v>102181</v>
      </c>
      <c r="G222" s="621">
        <f t="shared" si="3"/>
        <v>1.5319607552077613E-4</v>
      </c>
    </row>
    <row r="223" spans="1:7">
      <c r="A223" s="455">
        <v>220</v>
      </c>
      <c r="B223" s="454" t="s">
        <v>463</v>
      </c>
      <c r="C223" s="555" t="s">
        <v>512</v>
      </c>
      <c r="D223" s="146">
        <v>3000</v>
      </c>
      <c r="E223" s="146">
        <v>37</v>
      </c>
      <c r="F223" s="452">
        <v>100909</v>
      </c>
      <c r="G223" s="621">
        <f t="shared" si="3"/>
        <v>1.5128901444227399E-4</v>
      </c>
    </row>
    <row r="224" spans="1:7">
      <c r="A224" s="455">
        <v>221</v>
      </c>
      <c r="B224" s="454" t="s">
        <v>474</v>
      </c>
      <c r="C224" s="559" t="s">
        <v>511</v>
      </c>
      <c r="D224" s="146">
        <v>2800</v>
      </c>
      <c r="E224" s="146">
        <v>34</v>
      </c>
      <c r="F224" s="452">
        <v>86545</v>
      </c>
      <c r="G224" s="621">
        <f t="shared" si="3"/>
        <v>1.2975361716899983E-4</v>
      </c>
    </row>
    <row r="225" spans="1:13">
      <c r="A225" s="455">
        <v>222</v>
      </c>
      <c r="B225" s="454" t="s">
        <v>463</v>
      </c>
      <c r="C225" s="557" t="s">
        <v>510</v>
      </c>
      <c r="D225" s="146">
        <v>3500</v>
      </c>
      <c r="E225" s="146">
        <v>28</v>
      </c>
      <c r="F225" s="452">
        <v>82726</v>
      </c>
      <c r="G225" s="621">
        <f t="shared" si="3"/>
        <v>1.240279361479309E-4</v>
      </c>
    </row>
    <row r="226" spans="1:13">
      <c r="A226" s="455">
        <v>223</v>
      </c>
      <c r="B226" s="454" t="s">
        <v>463</v>
      </c>
      <c r="C226" s="558" t="s">
        <v>509</v>
      </c>
      <c r="D226" s="146">
        <v>4300</v>
      </c>
      <c r="E226" s="146">
        <v>24</v>
      </c>
      <c r="F226" s="452">
        <v>82090</v>
      </c>
      <c r="G226" s="621">
        <f t="shared" si="3"/>
        <v>1.2307440560867982E-4</v>
      </c>
    </row>
    <row r="227" spans="1:13">
      <c r="A227" s="455">
        <v>224</v>
      </c>
      <c r="B227" s="454" t="s">
        <v>465</v>
      </c>
      <c r="C227" s="558" t="s">
        <v>508</v>
      </c>
      <c r="D227" s="146">
        <v>4500</v>
      </c>
      <c r="E227" s="146">
        <v>22</v>
      </c>
      <c r="F227" s="452">
        <v>80001</v>
      </c>
      <c r="G227" s="621">
        <f t="shared" si="3"/>
        <v>1.1994244759532215E-4</v>
      </c>
    </row>
    <row r="228" spans="1:13">
      <c r="A228" s="455">
        <v>225</v>
      </c>
      <c r="B228" s="454" t="s">
        <v>465</v>
      </c>
      <c r="C228" s="558" t="s">
        <v>507</v>
      </c>
      <c r="D228" s="146">
        <v>4500</v>
      </c>
      <c r="E228" s="146">
        <v>21</v>
      </c>
      <c r="F228" s="452">
        <v>73638</v>
      </c>
      <c r="G228" s="621">
        <f t="shared" si="3"/>
        <v>1.1040264441724894E-4</v>
      </c>
    </row>
    <row r="229" spans="1:13">
      <c r="A229" s="455">
        <v>226</v>
      </c>
      <c r="B229" s="454" t="s">
        <v>463</v>
      </c>
      <c r="C229" s="558" t="s">
        <v>506</v>
      </c>
      <c r="D229" s="146">
        <v>4300</v>
      </c>
      <c r="E229" s="146">
        <v>17</v>
      </c>
      <c r="F229" s="452">
        <v>71000</v>
      </c>
      <c r="G229" s="621">
        <f t="shared" si="3"/>
        <v>1.0644759164595283E-4</v>
      </c>
    </row>
    <row r="230" spans="1:13">
      <c r="A230" s="455">
        <v>227</v>
      </c>
      <c r="B230" s="454" t="s">
        <v>476</v>
      </c>
      <c r="C230" s="559" t="s">
        <v>505</v>
      </c>
      <c r="D230" s="146">
        <v>2700</v>
      </c>
      <c r="E230" s="146">
        <v>29</v>
      </c>
      <c r="F230" s="452">
        <v>70741</v>
      </c>
      <c r="G230" s="621">
        <f t="shared" si="3"/>
        <v>1.0605928282572323E-4</v>
      </c>
    </row>
    <row r="231" spans="1:13">
      <c r="A231" s="455">
        <v>228</v>
      </c>
      <c r="B231" s="454" t="s">
        <v>478</v>
      </c>
      <c r="C231" s="453" t="s">
        <v>504</v>
      </c>
      <c r="D231" s="146">
        <v>2000</v>
      </c>
      <c r="E231" s="146">
        <v>39</v>
      </c>
      <c r="F231" s="452">
        <v>69091</v>
      </c>
      <c r="G231" s="621">
        <f t="shared" si="3"/>
        <v>1.0358550076634544E-4</v>
      </c>
    </row>
    <row r="232" spans="1:13">
      <c r="A232" s="455">
        <v>229</v>
      </c>
      <c r="B232" s="454" t="s">
        <v>452</v>
      </c>
      <c r="C232" s="559" t="s">
        <v>503</v>
      </c>
      <c r="D232" s="146">
        <v>70000</v>
      </c>
      <c r="E232" s="146">
        <v>1</v>
      </c>
      <c r="F232" s="452">
        <v>63636</v>
      </c>
      <c r="G232" s="621">
        <f t="shared" si="3"/>
        <v>9.5407027351857097E-5</v>
      </c>
    </row>
    <row r="233" spans="1:13">
      <c r="A233" s="455">
        <v>230</v>
      </c>
      <c r="B233" s="454" t="s">
        <v>479</v>
      </c>
      <c r="C233" s="557" t="s">
        <v>502</v>
      </c>
      <c r="D233" s="146">
        <v>3000</v>
      </c>
      <c r="E233" s="146">
        <v>21</v>
      </c>
      <c r="F233" s="452">
        <v>57818</v>
      </c>
      <c r="G233" s="621">
        <f t="shared" si="3"/>
        <v>8.668432188430564E-5</v>
      </c>
    </row>
    <row r="234" spans="1:13">
      <c r="A234" s="455">
        <v>231</v>
      </c>
      <c r="B234" s="454" t="s">
        <v>465</v>
      </c>
      <c r="C234" s="557" t="s">
        <v>501</v>
      </c>
      <c r="D234" s="146">
        <v>4700</v>
      </c>
      <c r="E234" s="146">
        <v>16</v>
      </c>
      <c r="F234" s="452">
        <v>55545</v>
      </c>
      <c r="G234" s="621">
        <f t="shared" si="3"/>
        <v>8.3276499689780988E-5</v>
      </c>
    </row>
    <row r="235" spans="1:13">
      <c r="A235" s="455">
        <v>232</v>
      </c>
      <c r="B235" s="454" t="s">
        <v>474</v>
      </c>
      <c r="C235" s="559" t="s">
        <v>500</v>
      </c>
      <c r="D235" s="146">
        <v>2300</v>
      </c>
      <c r="E235" s="146">
        <v>23</v>
      </c>
      <c r="F235" s="452">
        <v>48091</v>
      </c>
      <c r="G235" s="621">
        <f t="shared" si="3"/>
        <v>7.21010018288101E-5</v>
      </c>
    </row>
    <row r="236" spans="1:13">
      <c r="A236" s="455">
        <v>233</v>
      </c>
      <c r="B236" s="454" t="s">
        <v>452</v>
      </c>
      <c r="C236" s="559" t="s">
        <v>499</v>
      </c>
      <c r="D236" s="146">
        <v>10000</v>
      </c>
      <c r="E236" s="146">
        <v>5</v>
      </c>
      <c r="F236" s="452">
        <v>45455</v>
      </c>
      <c r="G236" s="621">
        <f t="shared" si="3"/>
        <v>6.8148947581222336E-5</v>
      </c>
    </row>
    <row r="237" spans="1:13">
      <c r="A237" s="455">
        <v>234</v>
      </c>
      <c r="B237" s="454" t="s">
        <v>461</v>
      </c>
      <c r="C237" s="558" t="s">
        <v>498</v>
      </c>
      <c r="D237" s="146">
        <v>4000</v>
      </c>
      <c r="E237" s="146">
        <v>11</v>
      </c>
      <c r="F237" s="452">
        <v>42273</v>
      </c>
      <c r="G237" s="621">
        <f t="shared" si="3"/>
        <v>6.3378296361258642E-5</v>
      </c>
    </row>
    <row r="238" spans="1:13">
      <c r="A238" s="455">
        <v>235</v>
      </c>
      <c r="B238" s="454" t="s">
        <v>461</v>
      </c>
      <c r="C238" s="558" t="s">
        <v>497</v>
      </c>
      <c r="D238" s="146">
        <v>4000</v>
      </c>
      <c r="E238" s="146">
        <v>10</v>
      </c>
      <c r="F238" s="452">
        <v>36363</v>
      </c>
      <c r="G238" s="621">
        <f t="shared" si="3"/>
        <v>5.4517658803123701E-5</v>
      </c>
      <c r="M238" s="624"/>
    </row>
    <row r="239" spans="1:13">
      <c r="A239" s="455">
        <v>236</v>
      </c>
      <c r="B239" s="454" t="s">
        <v>465</v>
      </c>
      <c r="C239" s="557" t="s">
        <v>496</v>
      </c>
      <c r="D239" s="146">
        <v>3500</v>
      </c>
      <c r="E239" s="146">
        <v>12</v>
      </c>
      <c r="F239" s="452">
        <v>35000</v>
      </c>
      <c r="G239" s="621">
        <f t="shared" si="3"/>
        <v>5.2474164895892242E-5</v>
      </c>
    </row>
    <row r="240" spans="1:13">
      <c r="A240" s="455">
        <v>237</v>
      </c>
      <c r="B240" s="454" t="s">
        <v>461</v>
      </c>
      <c r="C240" s="557" t="s">
        <v>495</v>
      </c>
      <c r="D240" s="146">
        <v>3500</v>
      </c>
      <c r="E240" s="146">
        <v>13</v>
      </c>
      <c r="F240" s="452">
        <v>35000</v>
      </c>
      <c r="G240" s="621">
        <f t="shared" si="3"/>
        <v>5.2474164895892242E-5</v>
      </c>
    </row>
    <row r="241" spans="1:7">
      <c r="A241" s="455">
        <v>238</v>
      </c>
      <c r="B241" s="454" t="s">
        <v>461</v>
      </c>
      <c r="C241" s="555" t="s">
        <v>250</v>
      </c>
      <c r="D241" s="146">
        <v>3000</v>
      </c>
      <c r="E241" s="146">
        <v>12</v>
      </c>
      <c r="F241" s="452">
        <v>32727</v>
      </c>
      <c r="G241" s="621">
        <f t="shared" si="3"/>
        <v>4.9066342701367583E-5</v>
      </c>
    </row>
    <row r="242" spans="1:7">
      <c r="A242" s="455">
        <v>239</v>
      </c>
      <c r="B242" s="454" t="s">
        <v>479</v>
      </c>
      <c r="C242" s="557" t="s">
        <v>494</v>
      </c>
      <c r="D242" s="146">
        <v>2500</v>
      </c>
      <c r="E242" s="146">
        <v>14</v>
      </c>
      <c r="F242" s="452">
        <v>31818</v>
      </c>
      <c r="G242" s="621">
        <f t="shared" si="3"/>
        <v>4.7703513675928548E-5</v>
      </c>
    </row>
    <row r="243" spans="1:7">
      <c r="A243" s="455">
        <v>240</v>
      </c>
      <c r="B243" s="454" t="s">
        <v>465</v>
      </c>
      <c r="C243" s="557" t="s">
        <v>493</v>
      </c>
      <c r="D243" s="146">
        <v>3500</v>
      </c>
      <c r="E243" s="146">
        <v>12</v>
      </c>
      <c r="F243" s="452">
        <v>31818</v>
      </c>
      <c r="G243" s="621">
        <f t="shared" si="3"/>
        <v>4.7703513675928548E-5</v>
      </c>
    </row>
    <row r="244" spans="1:7">
      <c r="A244" s="455">
        <v>241</v>
      </c>
      <c r="B244" s="454" t="s">
        <v>452</v>
      </c>
      <c r="C244" s="559" t="s">
        <v>492</v>
      </c>
      <c r="D244" s="146">
        <v>500</v>
      </c>
      <c r="E244" s="146">
        <v>62</v>
      </c>
      <c r="F244" s="452">
        <v>28182</v>
      </c>
      <c r="G244" s="621">
        <f t="shared" si="3"/>
        <v>4.225219757417243E-5</v>
      </c>
    </row>
    <row r="245" spans="1:7">
      <c r="A245" s="455">
        <v>242</v>
      </c>
      <c r="B245" s="454" t="s">
        <v>465</v>
      </c>
      <c r="C245" s="555" t="s">
        <v>491</v>
      </c>
      <c r="D245" s="146">
        <v>3000</v>
      </c>
      <c r="E245" s="146">
        <v>10</v>
      </c>
      <c r="F245" s="452">
        <v>27273</v>
      </c>
      <c r="G245" s="621">
        <f t="shared" si="3"/>
        <v>4.0889368548733403E-5</v>
      </c>
    </row>
    <row r="246" spans="1:7">
      <c r="A246" s="455">
        <v>243</v>
      </c>
      <c r="B246" s="454" t="s">
        <v>461</v>
      </c>
      <c r="C246" s="557" t="s">
        <v>490</v>
      </c>
      <c r="D246" s="146">
        <v>4700</v>
      </c>
      <c r="E246" s="146">
        <v>6</v>
      </c>
      <c r="F246" s="452">
        <v>25636</v>
      </c>
      <c r="G246" s="621">
        <f t="shared" si="3"/>
        <v>3.8435076893459814E-5</v>
      </c>
    </row>
    <row r="247" spans="1:7">
      <c r="A247" s="455">
        <v>244</v>
      </c>
      <c r="B247" s="454" t="s">
        <v>476</v>
      </c>
      <c r="C247" s="559" t="s">
        <v>489</v>
      </c>
      <c r="D247" s="146">
        <v>2800</v>
      </c>
      <c r="E247" s="146">
        <v>11</v>
      </c>
      <c r="F247" s="452">
        <v>25454</v>
      </c>
      <c r="G247" s="621">
        <f t="shared" si="3"/>
        <v>3.8162211236001176E-5</v>
      </c>
    </row>
    <row r="248" spans="1:7">
      <c r="A248" s="455">
        <v>245</v>
      </c>
      <c r="B248" s="454" t="s">
        <v>461</v>
      </c>
      <c r="C248" s="557" t="s">
        <v>488</v>
      </c>
      <c r="D248" s="146">
        <v>2000</v>
      </c>
      <c r="E248" s="146">
        <v>11</v>
      </c>
      <c r="F248" s="452">
        <v>24999</v>
      </c>
      <c r="G248" s="621">
        <f t="shared" si="3"/>
        <v>3.7480047092354573E-5</v>
      </c>
    </row>
    <row r="249" spans="1:7">
      <c r="A249" s="455">
        <v>246</v>
      </c>
      <c r="B249" s="454" t="s">
        <v>479</v>
      </c>
      <c r="C249" s="558" t="s">
        <v>487</v>
      </c>
      <c r="D249" s="146">
        <v>4500</v>
      </c>
      <c r="E249" s="146">
        <v>6</v>
      </c>
      <c r="F249" s="452">
        <v>24546</v>
      </c>
      <c r="G249" s="621">
        <f t="shared" si="3"/>
        <v>3.6800881472416312E-5</v>
      </c>
    </row>
    <row r="250" spans="1:7">
      <c r="A250" s="455">
        <v>247</v>
      </c>
      <c r="B250" s="454" t="s">
        <v>479</v>
      </c>
      <c r="C250" s="555" t="s">
        <v>486</v>
      </c>
      <c r="D250" s="146">
        <v>2700</v>
      </c>
      <c r="E250" s="146">
        <v>9</v>
      </c>
      <c r="F250" s="452">
        <v>22092</v>
      </c>
      <c r="G250" s="621">
        <f t="shared" si="3"/>
        <v>3.312169288228718E-5</v>
      </c>
    </row>
    <row r="251" spans="1:7">
      <c r="A251" s="455">
        <v>248</v>
      </c>
      <c r="B251" s="454" t="s">
        <v>461</v>
      </c>
      <c r="C251" s="557" t="s">
        <v>485</v>
      </c>
      <c r="D251" s="146">
        <v>3500</v>
      </c>
      <c r="E251" s="146">
        <v>7</v>
      </c>
      <c r="F251" s="452">
        <v>19091</v>
      </c>
      <c r="G251" s="621">
        <f t="shared" si="3"/>
        <v>2.8622408057927964E-5</v>
      </c>
    </row>
    <row r="252" spans="1:7">
      <c r="A252" s="455">
        <v>249</v>
      </c>
      <c r="B252" s="454" t="s">
        <v>484</v>
      </c>
      <c r="C252" s="558" t="s">
        <v>483</v>
      </c>
      <c r="D252" s="146">
        <v>4000</v>
      </c>
      <c r="E252" s="146">
        <v>5</v>
      </c>
      <c r="F252" s="452">
        <v>18182</v>
      </c>
      <c r="G252" s="621">
        <f t="shared" si="3"/>
        <v>2.7259579032488933E-5</v>
      </c>
    </row>
    <row r="253" spans="1:7">
      <c r="A253" s="455">
        <v>250</v>
      </c>
      <c r="B253" s="454" t="s">
        <v>454</v>
      </c>
      <c r="C253" s="559" t="s">
        <v>482</v>
      </c>
      <c r="D253" s="146">
        <v>2000</v>
      </c>
      <c r="E253" s="146">
        <v>7</v>
      </c>
      <c r="F253" s="452">
        <v>17727</v>
      </c>
      <c r="G253" s="621">
        <f t="shared" si="3"/>
        <v>2.6577414888842333E-5</v>
      </c>
    </row>
    <row r="254" spans="1:7">
      <c r="A254" s="455">
        <v>251</v>
      </c>
      <c r="B254" s="454" t="s">
        <v>452</v>
      </c>
      <c r="C254" s="559" t="s">
        <v>481</v>
      </c>
      <c r="D254" s="146">
        <v>500</v>
      </c>
      <c r="E254" s="146">
        <v>40</v>
      </c>
      <c r="F254" s="452">
        <v>17273</v>
      </c>
      <c r="G254" s="621">
        <f t="shared" si="3"/>
        <v>2.5896750007049905E-5</v>
      </c>
    </row>
    <row r="255" spans="1:7">
      <c r="A255" s="455">
        <v>252</v>
      </c>
      <c r="B255" s="454" t="s">
        <v>461</v>
      </c>
      <c r="C255" s="557" t="s">
        <v>480</v>
      </c>
      <c r="D255" s="146">
        <v>4700</v>
      </c>
      <c r="E255" s="146">
        <v>6</v>
      </c>
      <c r="F255" s="452">
        <v>17091</v>
      </c>
      <c r="G255" s="621">
        <f t="shared" si="3"/>
        <v>2.5623884349591263E-5</v>
      </c>
    </row>
    <row r="256" spans="1:7">
      <c r="A256" s="455">
        <v>253</v>
      </c>
      <c r="B256" s="454" t="s">
        <v>479</v>
      </c>
      <c r="C256" s="558" t="s">
        <v>477</v>
      </c>
      <c r="D256" s="146">
        <v>3000</v>
      </c>
      <c r="E256" s="146">
        <v>6</v>
      </c>
      <c r="F256" s="452">
        <v>16364</v>
      </c>
      <c r="G256" s="621">
        <f t="shared" si="3"/>
        <v>2.4533920981610874E-5</v>
      </c>
    </row>
    <row r="257" spans="1:7">
      <c r="A257" s="455">
        <v>254</v>
      </c>
      <c r="B257" s="454" t="s">
        <v>476</v>
      </c>
      <c r="C257" s="559" t="s">
        <v>475</v>
      </c>
      <c r="D257" s="146">
        <v>800</v>
      </c>
      <c r="E257" s="146">
        <v>22</v>
      </c>
      <c r="F257" s="452">
        <v>16001</v>
      </c>
      <c r="G257" s="621">
        <f t="shared" si="3"/>
        <v>2.3989688928547765E-5</v>
      </c>
    </row>
    <row r="258" spans="1:7">
      <c r="A258" s="455">
        <v>255</v>
      </c>
      <c r="B258" s="454" t="s">
        <v>474</v>
      </c>
      <c r="C258" s="559" t="s">
        <v>473</v>
      </c>
      <c r="D258" s="146">
        <v>2800</v>
      </c>
      <c r="E258" s="146">
        <v>5</v>
      </c>
      <c r="F258" s="452">
        <v>12727</v>
      </c>
      <c r="G258" s="621">
        <f t="shared" si="3"/>
        <v>1.9081105618000588E-5</v>
      </c>
    </row>
    <row r="259" spans="1:7">
      <c r="A259" s="455">
        <v>256</v>
      </c>
      <c r="B259" s="454" t="s">
        <v>465</v>
      </c>
      <c r="C259" s="558" t="s">
        <v>472</v>
      </c>
      <c r="D259" s="146">
        <v>4200</v>
      </c>
      <c r="E259" s="146">
        <v>3</v>
      </c>
      <c r="F259" s="452">
        <v>11455</v>
      </c>
      <c r="G259" s="621">
        <f t="shared" si="3"/>
        <v>1.7174044539498444E-5</v>
      </c>
    </row>
    <row r="260" spans="1:7">
      <c r="A260" s="455">
        <v>257</v>
      </c>
      <c r="B260" s="454" t="s">
        <v>465</v>
      </c>
      <c r="C260" s="557" t="s">
        <v>471</v>
      </c>
      <c r="D260" s="146">
        <v>2500</v>
      </c>
      <c r="E260" s="146">
        <v>4</v>
      </c>
      <c r="F260" s="452">
        <v>9091</v>
      </c>
      <c r="G260" s="621">
        <f t="shared" ref="G260:G275" si="4">F260/$F$276</f>
        <v>1.3629789516244466E-5</v>
      </c>
    </row>
    <row r="261" spans="1:7">
      <c r="A261" s="455">
        <v>258</v>
      </c>
      <c r="B261" s="454" t="s">
        <v>452</v>
      </c>
      <c r="C261" s="559" t="s">
        <v>470</v>
      </c>
      <c r="D261" s="146">
        <v>3000</v>
      </c>
      <c r="E261" s="146">
        <v>2</v>
      </c>
      <c r="F261" s="452">
        <v>7091</v>
      </c>
      <c r="G261" s="621">
        <f t="shared" si="4"/>
        <v>1.0631265807907767E-5</v>
      </c>
    </row>
    <row r="262" spans="1:7">
      <c r="A262" s="455">
        <v>259</v>
      </c>
      <c r="B262" s="454" t="s">
        <v>465</v>
      </c>
      <c r="C262" s="557" t="s">
        <v>469</v>
      </c>
      <c r="D262" s="146">
        <v>2500</v>
      </c>
      <c r="E262" s="146">
        <v>3</v>
      </c>
      <c r="F262" s="452">
        <v>6818</v>
      </c>
      <c r="G262" s="621">
        <f t="shared" si="4"/>
        <v>1.0221967321719808E-5</v>
      </c>
    </row>
    <row r="263" spans="1:7">
      <c r="A263" s="455">
        <v>260</v>
      </c>
      <c r="B263" s="454" t="s">
        <v>454</v>
      </c>
      <c r="C263" s="559" t="s">
        <v>468</v>
      </c>
      <c r="D263" s="146">
        <v>500</v>
      </c>
      <c r="E263" s="146">
        <v>15</v>
      </c>
      <c r="F263" s="452">
        <v>6818</v>
      </c>
      <c r="G263" s="621">
        <f t="shared" si="4"/>
        <v>1.0221967321719808E-5</v>
      </c>
    </row>
    <row r="264" spans="1:7">
      <c r="A264" s="455">
        <v>261</v>
      </c>
      <c r="B264" s="454" t="s">
        <v>454</v>
      </c>
      <c r="C264" s="559" t="s">
        <v>467</v>
      </c>
      <c r="D264" s="146">
        <v>900</v>
      </c>
      <c r="E264" s="146">
        <v>8</v>
      </c>
      <c r="F264" s="452">
        <v>6545</v>
      </c>
      <c r="G264" s="621">
        <f t="shared" si="4"/>
        <v>9.8126688355318484E-6</v>
      </c>
    </row>
    <row r="265" spans="1:7">
      <c r="A265" s="455">
        <v>262</v>
      </c>
      <c r="B265" s="454" t="s">
        <v>452</v>
      </c>
      <c r="C265" s="559" t="s">
        <v>466</v>
      </c>
      <c r="D265" s="146">
        <v>1000</v>
      </c>
      <c r="E265" s="146">
        <v>7</v>
      </c>
      <c r="F265" s="452">
        <v>6364</v>
      </c>
      <c r="G265" s="621">
        <f t="shared" si="4"/>
        <v>9.5413024399273779E-6</v>
      </c>
    </row>
    <row r="266" spans="1:7">
      <c r="A266" s="455">
        <v>263</v>
      </c>
      <c r="B266" s="454" t="s">
        <v>465</v>
      </c>
      <c r="C266" s="555" t="s">
        <v>464</v>
      </c>
      <c r="D266" s="146">
        <v>2000</v>
      </c>
      <c r="E266" s="146">
        <v>3</v>
      </c>
      <c r="F266" s="452">
        <v>5454</v>
      </c>
      <c r="G266" s="621">
        <f t="shared" si="4"/>
        <v>8.1769741526341787E-6</v>
      </c>
    </row>
    <row r="267" spans="1:7">
      <c r="A267" s="455">
        <v>264</v>
      </c>
      <c r="B267" s="454" t="s">
        <v>463</v>
      </c>
      <c r="C267" s="557" t="s">
        <v>462</v>
      </c>
      <c r="D267" s="146">
        <v>4000</v>
      </c>
      <c r="E267" s="146">
        <v>1</v>
      </c>
      <c r="F267" s="452">
        <v>3636</v>
      </c>
      <c r="G267" s="621">
        <f t="shared" si="4"/>
        <v>5.4513161017561197E-6</v>
      </c>
    </row>
    <row r="268" spans="1:7">
      <c r="A268" s="455">
        <v>265</v>
      </c>
      <c r="B268" s="454" t="s">
        <v>461</v>
      </c>
      <c r="C268" s="557" t="s">
        <v>460</v>
      </c>
      <c r="D268" s="146">
        <v>3500</v>
      </c>
      <c r="E268" s="146">
        <v>3</v>
      </c>
      <c r="F268" s="452">
        <v>3182</v>
      </c>
      <c r="G268" s="621">
        <f t="shared" si="4"/>
        <v>4.770651219963689E-6</v>
      </c>
    </row>
    <row r="269" spans="1:7">
      <c r="A269" s="455">
        <v>266</v>
      </c>
      <c r="B269" s="454" t="s">
        <v>452</v>
      </c>
      <c r="C269" s="559" t="s">
        <v>459</v>
      </c>
      <c r="D269" s="146">
        <v>500</v>
      </c>
      <c r="E269" s="146">
        <v>4</v>
      </c>
      <c r="F269" s="452">
        <v>1818</v>
      </c>
      <c r="G269" s="621">
        <f t="shared" si="4"/>
        <v>2.7256580508780599E-6</v>
      </c>
    </row>
    <row r="270" spans="1:7">
      <c r="A270" s="455">
        <v>267</v>
      </c>
      <c r="B270" s="454" t="s">
        <v>454</v>
      </c>
      <c r="C270" s="559" t="s">
        <v>458</v>
      </c>
      <c r="D270" s="146">
        <v>300</v>
      </c>
      <c r="E270" s="146">
        <v>4</v>
      </c>
      <c r="F270" s="452">
        <v>1091</v>
      </c>
      <c r="G270" s="621">
        <f t="shared" si="4"/>
        <v>1.6356946828976695E-6</v>
      </c>
    </row>
    <row r="271" spans="1:7">
      <c r="A271" s="455">
        <v>268</v>
      </c>
      <c r="B271" s="454" t="s">
        <v>454</v>
      </c>
      <c r="C271" s="559" t="s">
        <v>457</v>
      </c>
      <c r="D271" s="146">
        <v>300</v>
      </c>
      <c r="E271" s="146">
        <v>4</v>
      </c>
      <c r="F271" s="452">
        <v>1091</v>
      </c>
      <c r="G271" s="621">
        <f t="shared" si="4"/>
        <v>1.6356946828976695E-6</v>
      </c>
    </row>
    <row r="272" spans="1:7">
      <c r="A272" s="455">
        <v>269</v>
      </c>
      <c r="B272" s="454" t="s">
        <v>454</v>
      </c>
      <c r="C272" s="559" t="s">
        <v>456</v>
      </c>
      <c r="D272" s="146">
        <v>100</v>
      </c>
      <c r="E272" s="146">
        <v>8</v>
      </c>
      <c r="F272" s="452">
        <v>727</v>
      </c>
      <c r="G272" s="621">
        <f t="shared" si="4"/>
        <v>1.0899633679803902E-6</v>
      </c>
    </row>
    <row r="273" spans="1:7">
      <c r="A273" s="455">
        <v>270</v>
      </c>
      <c r="B273" s="454" t="s">
        <v>454</v>
      </c>
      <c r="C273" s="559" t="s">
        <v>455</v>
      </c>
      <c r="D273" s="146">
        <v>300</v>
      </c>
      <c r="E273" s="146">
        <v>2</v>
      </c>
      <c r="F273" s="452">
        <v>545</v>
      </c>
      <c r="G273" s="621">
        <f t="shared" si="4"/>
        <v>8.1709771052175063E-7</v>
      </c>
    </row>
    <row r="274" spans="1:7">
      <c r="A274" s="455">
        <v>271</v>
      </c>
      <c r="B274" s="454" t="s">
        <v>454</v>
      </c>
      <c r="C274" s="559" t="s">
        <v>453</v>
      </c>
      <c r="D274" s="146">
        <v>-100</v>
      </c>
      <c r="E274" s="146">
        <v>4092</v>
      </c>
      <c r="F274" s="452">
        <v>-372086</v>
      </c>
      <c r="G274" s="621">
        <f t="shared" si="4"/>
        <v>-5.5785434627008453E-4</v>
      </c>
    </row>
    <row r="275" spans="1:7" ht="17.25" thickBot="1">
      <c r="A275" s="450">
        <v>272</v>
      </c>
      <c r="B275" s="449" t="s">
        <v>452</v>
      </c>
      <c r="C275" s="560" t="s">
        <v>451</v>
      </c>
      <c r="D275" s="447">
        <v>-500</v>
      </c>
      <c r="E275" s="447">
        <v>5298</v>
      </c>
      <c r="F275" s="446">
        <v>-2423203</v>
      </c>
      <c r="G275" s="622">
        <f t="shared" si="4"/>
        <v>-3.6330158228063073E-3</v>
      </c>
    </row>
    <row r="276" spans="1:7">
      <c r="A276" s="444"/>
      <c r="B276" s="444"/>
      <c r="C276" s="443"/>
      <c r="D276" s="112"/>
      <c r="E276" s="112"/>
      <c r="F276" s="442">
        <f>SUM(F4:F275)</f>
        <v>666994893</v>
      </c>
      <c r="G276" s="441">
        <f>SUM(G4:G275)</f>
        <v>0.999999999999999</v>
      </c>
    </row>
    <row r="277" spans="1:7">
      <c r="E277" s="33"/>
    </row>
  </sheetData>
  <autoFilter ref="A3:G276"/>
  <dataConsolidate topLabels="1">
    <dataRefs count="1">
      <dataRef ref="A1:D1048576" sheet="연간 누적" r:id="rId1"/>
    </dataRefs>
  </dataConsolidate>
  <mergeCells count="1">
    <mergeCell ref="A1:F1"/>
  </mergeCells>
  <phoneticPr fontId="1" type="noConversion"/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8"/>
  <sheetViews>
    <sheetView topLeftCell="A46" zoomScaleNormal="100" workbookViewId="0">
      <selection activeCell="G12" sqref="G12"/>
    </sheetView>
  </sheetViews>
  <sheetFormatPr defaultRowHeight="16.5"/>
  <cols>
    <col min="1" max="1" width="5.25" style="236" bestFit="1" customWidth="1"/>
    <col min="2" max="2" width="9" style="236"/>
    <col min="3" max="3" width="27" style="236" bestFit="1" customWidth="1"/>
    <col min="4" max="4" width="9.375" style="236" bestFit="1" customWidth="1"/>
    <col min="5" max="5" width="9.125" style="236" bestFit="1" customWidth="1"/>
    <col min="6" max="6" width="15.375" style="236" customWidth="1"/>
    <col min="7" max="7" width="14.875" style="236" bestFit="1" customWidth="1"/>
    <col min="8" max="16384" width="9" style="236"/>
  </cols>
  <sheetData>
    <row r="1" spans="1:7" ht="17.25">
      <c r="A1" s="763" t="s">
        <v>763</v>
      </c>
      <c r="B1" s="763"/>
      <c r="C1" s="763"/>
      <c r="D1" s="763"/>
      <c r="E1" s="763"/>
      <c r="F1" s="763"/>
    </row>
    <row r="2" spans="1:7" ht="17.25" thickBot="1"/>
    <row r="3" spans="1:7" ht="17.25" thickBot="1">
      <c r="A3" s="468" t="s">
        <v>758</v>
      </c>
      <c r="B3" s="467" t="s">
        <v>757</v>
      </c>
      <c r="C3" s="466" t="s">
        <v>756</v>
      </c>
      <c r="D3" s="465" t="s">
        <v>755</v>
      </c>
      <c r="E3" s="465" t="s">
        <v>754</v>
      </c>
      <c r="F3" s="464" t="s">
        <v>753</v>
      </c>
      <c r="G3" s="474" t="s">
        <v>762</v>
      </c>
    </row>
    <row r="4" spans="1:7" ht="17.25" thickTop="1">
      <c r="A4" s="462">
        <v>1</v>
      </c>
      <c r="B4" s="461" t="s">
        <v>760</v>
      </c>
      <c r="C4" s="460" t="s">
        <v>761</v>
      </c>
      <c r="D4" s="459">
        <v>3000</v>
      </c>
      <c r="E4" s="459">
        <v>60115</v>
      </c>
      <c r="F4" s="458">
        <v>159638290</v>
      </c>
      <c r="G4" s="473">
        <f t="shared" ref="G4:G51" si="0">F4/$F$52</f>
        <v>0.37771390102389552</v>
      </c>
    </row>
    <row r="5" spans="1:7">
      <c r="A5" s="455">
        <v>2</v>
      </c>
      <c r="B5" s="454" t="s">
        <v>760</v>
      </c>
      <c r="C5" s="555" t="s">
        <v>861</v>
      </c>
      <c r="D5" s="146">
        <v>2700</v>
      </c>
      <c r="E5" s="146">
        <v>18244</v>
      </c>
      <c r="F5" s="452">
        <v>43817403</v>
      </c>
      <c r="G5" s="472">
        <f t="shared" si="0"/>
        <v>0.10367463983650879</v>
      </c>
    </row>
    <row r="6" spans="1:7">
      <c r="A6" s="455">
        <v>3</v>
      </c>
      <c r="B6" s="454" t="s">
        <v>760</v>
      </c>
      <c r="C6" s="453" t="s">
        <v>709</v>
      </c>
      <c r="D6" s="146">
        <v>3700</v>
      </c>
      <c r="E6" s="146">
        <v>12336</v>
      </c>
      <c r="F6" s="452">
        <v>40994052</v>
      </c>
      <c r="G6" s="472">
        <f t="shared" si="0"/>
        <v>9.6994419695277542E-2</v>
      </c>
    </row>
    <row r="7" spans="1:7">
      <c r="A7" s="462">
        <v>4</v>
      </c>
      <c r="B7" s="454" t="s">
        <v>760</v>
      </c>
      <c r="C7" s="453" t="s">
        <v>263</v>
      </c>
      <c r="D7" s="146">
        <v>3300</v>
      </c>
      <c r="E7" s="146">
        <v>9788</v>
      </c>
      <c r="F7" s="452">
        <v>28142457</v>
      </c>
      <c r="G7" s="472">
        <f t="shared" si="0"/>
        <v>6.6586764477790605E-2</v>
      </c>
    </row>
    <row r="8" spans="1:7">
      <c r="A8" s="455">
        <v>5</v>
      </c>
      <c r="B8" s="454" t="s">
        <v>760</v>
      </c>
      <c r="C8" s="453" t="s">
        <v>707</v>
      </c>
      <c r="D8" s="146">
        <v>3000</v>
      </c>
      <c r="E8" s="146">
        <v>10384</v>
      </c>
      <c r="F8" s="452">
        <v>27251712</v>
      </c>
      <c r="G8" s="472">
        <f t="shared" si="0"/>
        <v>6.4479207645607495E-2</v>
      </c>
    </row>
    <row r="9" spans="1:7">
      <c r="A9" s="455">
        <v>6</v>
      </c>
      <c r="B9" s="454" t="s">
        <v>760</v>
      </c>
      <c r="C9" s="453" t="s">
        <v>706</v>
      </c>
      <c r="D9" s="146">
        <v>3500</v>
      </c>
      <c r="E9" s="146">
        <v>7378</v>
      </c>
      <c r="F9" s="452">
        <v>22269469</v>
      </c>
      <c r="G9" s="472">
        <f t="shared" si="0"/>
        <v>5.2690917759897767E-2</v>
      </c>
    </row>
    <row r="10" spans="1:7">
      <c r="A10" s="462">
        <v>7</v>
      </c>
      <c r="B10" s="454" t="s">
        <v>760</v>
      </c>
      <c r="C10" s="453" t="s">
        <v>264</v>
      </c>
      <c r="D10" s="146">
        <v>3300</v>
      </c>
      <c r="E10" s="146">
        <v>5595</v>
      </c>
      <c r="F10" s="452">
        <v>15763063</v>
      </c>
      <c r="G10" s="472">
        <f t="shared" si="0"/>
        <v>3.7296365538715244E-2</v>
      </c>
    </row>
    <row r="11" spans="1:7">
      <c r="A11" s="455">
        <v>8</v>
      </c>
      <c r="B11" s="454" t="s">
        <v>760</v>
      </c>
      <c r="C11" s="555" t="s">
        <v>705</v>
      </c>
      <c r="D11" s="146">
        <v>2500</v>
      </c>
      <c r="E11" s="146">
        <v>6310</v>
      </c>
      <c r="F11" s="452">
        <v>13923948</v>
      </c>
      <c r="G11" s="472">
        <f t="shared" si="0"/>
        <v>3.2944907620432846E-2</v>
      </c>
    </row>
    <row r="12" spans="1:7">
      <c r="A12" s="455">
        <v>9</v>
      </c>
      <c r="B12" s="454" t="s">
        <v>760</v>
      </c>
      <c r="C12" s="555" t="s">
        <v>265</v>
      </c>
      <c r="D12" s="146">
        <v>3000</v>
      </c>
      <c r="E12" s="146">
        <v>2959</v>
      </c>
      <c r="F12" s="452">
        <v>7846266</v>
      </c>
      <c r="G12" s="472">
        <f t="shared" si="0"/>
        <v>1.8564742452021735E-2</v>
      </c>
    </row>
    <row r="13" spans="1:7">
      <c r="A13" s="462">
        <v>10</v>
      </c>
      <c r="B13" s="454" t="s">
        <v>760</v>
      </c>
      <c r="C13" s="453" t="s">
        <v>701</v>
      </c>
      <c r="D13" s="146">
        <v>3500</v>
      </c>
      <c r="E13" s="146">
        <v>2498</v>
      </c>
      <c r="F13" s="452">
        <v>7400777</v>
      </c>
      <c r="G13" s="472">
        <f t="shared" si="0"/>
        <v>1.7510688389846336E-2</v>
      </c>
    </row>
    <row r="14" spans="1:7">
      <c r="A14" s="455">
        <v>11</v>
      </c>
      <c r="B14" s="454" t="s">
        <v>760</v>
      </c>
      <c r="C14" s="555" t="s">
        <v>700</v>
      </c>
      <c r="D14" s="146">
        <v>2800</v>
      </c>
      <c r="E14" s="146">
        <v>2962</v>
      </c>
      <c r="F14" s="452">
        <v>7310536</v>
      </c>
      <c r="G14" s="472">
        <f t="shared" si="0"/>
        <v>1.7297172696698424E-2</v>
      </c>
    </row>
    <row r="15" spans="1:7">
      <c r="A15" s="455">
        <v>12</v>
      </c>
      <c r="B15" s="454" t="s">
        <v>760</v>
      </c>
      <c r="C15" s="555" t="s">
        <v>698</v>
      </c>
      <c r="D15" s="146">
        <v>3200</v>
      </c>
      <c r="E15" s="146">
        <v>2204</v>
      </c>
      <c r="F15" s="452">
        <v>6239543</v>
      </c>
      <c r="G15" s="472">
        <f t="shared" si="0"/>
        <v>1.4763138136447968E-2</v>
      </c>
    </row>
    <row r="16" spans="1:7">
      <c r="A16" s="462">
        <v>13</v>
      </c>
      <c r="B16" s="454" t="s">
        <v>760</v>
      </c>
      <c r="C16" s="453" t="s">
        <v>693</v>
      </c>
      <c r="D16" s="146">
        <v>3500</v>
      </c>
      <c r="E16" s="146">
        <v>1411</v>
      </c>
      <c r="F16" s="452">
        <v>4254549</v>
      </c>
      <c r="G16" s="472">
        <f t="shared" si="0"/>
        <v>1.0066521633921998E-2</v>
      </c>
    </row>
    <row r="17" spans="1:7">
      <c r="A17" s="455">
        <v>14</v>
      </c>
      <c r="B17" s="454" t="s">
        <v>760</v>
      </c>
      <c r="C17" s="453" t="s">
        <v>689</v>
      </c>
      <c r="D17" s="146">
        <v>4200</v>
      </c>
      <c r="E17" s="146">
        <v>968</v>
      </c>
      <c r="F17" s="452">
        <v>3646998</v>
      </c>
      <c r="G17" s="472">
        <f t="shared" si="0"/>
        <v>8.6290190254878392E-3</v>
      </c>
    </row>
    <row r="18" spans="1:7">
      <c r="A18" s="455">
        <v>15</v>
      </c>
      <c r="B18" s="454" t="s">
        <v>760</v>
      </c>
      <c r="C18" s="453" t="s">
        <v>685</v>
      </c>
      <c r="D18" s="146">
        <v>3500</v>
      </c>
      <c r="E18" s="146">
        <v>1133</v>
      </c>
      <c r="F18" s="452">
        <v>3347276</v>
      </c>
      <c r="G18" s="472">
        <f t="shared" si="0"/>
        <v>7.9198585487457989E-3</v>
      </c>
    </row>
    <row r="19" spans="1:7">
      <c r="A19" s="462">
        <v>16</v>
      </c>
      <c r="B19" s="454" t="s">
        <v>760</v>
      </c>
      <c r="C19" s="453" t="s">
        <v>683</v>
      </c>
      <c r="D19" s="146">
        <v>3500</v>
      </c>
      <c r="E19" s="146">
        <v>1125</v>
      </c>
      <c r="F19" s="452">
        <v>3301365</v>
      </c>
      <c r="G19" s="472">
        <f t="shared" si="0"/>
        <v>7.8112303311051057E-3</v>
      </c>
    </row>
    <row r="20" spans="1:7">
      <c r="A20" s="455">
        <v>17</v>
      </c>
      <c r="B20" s="454" t="s">
        <v>760</v>
      </c>
      <c r="C20" s="453" t="s">
        <v>682</v>
      </c>
      <c r="D20" s="146">
        <v>4000</v>
      </c>
      <c r="E20" s="146">
        <v>921</v>
      </c>
      <c r="F20" s="452">
        <v>3279548</v>
      </c>
      <c r="G20" s="472">
        <f t="shared" si="0"/>
        <v>7.7596099825118061E-3</v>
      </c>
    </row>
    <row r="21" spans="1:7">
      <c r="A21" s="455">
        <v>18</v>
      </c>
      <c r="B21" s="454" t="s">
        <v>760</v>
      </c>
      <c r="C21" s="555" t="s">
        <v>680</v>
      </c>
      <c r="D21" s="146">
        <v>3000</v>
      </c>
      <c r="E21" s="146">
        <v>1051</v>
      </c>
      <c r="F21" s="452">
        <v>2767271</v>
      </c>
      <c r="G21" s="472">
        <f t="shared" si="0"/>
        <v>6.5475314512595719E-3</v>
      </c>
    </row>
    <row r="22" spans="1:7">
      <c r="A22" s="462">
        <v>19</v>
      </c>
      <c r="B22" s="454" t="s">
        <v>760</v>
      </c>
      <c r="C22" s="453" t="s">
        <v>679</v>
      </c>
      <c r="D22" s="146">
        <v>3300</v>
      </c>
      <c r="E22" s="146">
        <v>947</v>
      </c>
      <c r="F22" s="452">
        <v>2732100</v>
      </c>
      <c r="G22" s="472">
        <f t="shared" si="0"/>
        <v>6.4643147266698047E-3</v>
      </c>
    </row>
    <row r="23" spans="1:7">
      <c r="A23" s="455">
        <v>20</v>
      </c>
      <c r="B23" s="454" t="s">
        <v>760</v>
      </c>
      <c r="C23" s="453" t="s">
        <v>675</v>
      </c>
      <c r="D23" s="146">
        <v>3500</v>
      </c>
      <c r="E23" s="146">
        <v>850</v>
      </c>
      <c r="F23" s="452">
        <v>2512451</v>
      </c>
      <c r="G23" s="472">
        <f t="shared" si="0"/>
        <v>5.9446118368054893E-3</v>
      </c>
    </row>
    <row r="24" spans="1:7">
      <c r="A24" s="455">
        <v>21</v>
      </c>
      <c r="B24" s="454" t="s">
        <v>760</v>
      </c>
      <c r="C24" s="453" t="s">
        <v>660</v>
      </c>
      <c r="D24" s="146">
        <v>3500</v>
      </c>
      <c r="E24" s="146">
        <v>611</v>
      </c>
      <c r="F24" s="452">
        <v>1855002</v>
      </c>
      <c r="G24" s="472">
        <f t="shared" si="0"/>
        <v>4.3890475262991623E-3</v>
      </c>
    </row>
    <row r="25" spans="1:7">
      <c r="A25" s="462">
        <v>22</v>
      </c>
      <c r="B25" s="454" t="s">
        <v>760</v>
      </c>
      <c r="C25" s="453" t="s">
        <v>649</v>
      </c>
      <c r="D25" s="146">
        <v>3500</v>
      </c>
      <c r="E25" s="146">
        <v>479</v>
      </c>
      <c r="F25" s="452">
        <v>1425457</v>
      </c>
      <c r="G25" s="472">
        <f t="shared" si="0"/>
        <v>3.372717937606442E-3</v>
      </c>
    </row>
    <row r="26" spans="1:7">
      <c r="A26" s="455">
        <v>23</v>
      </c>
      <c r="B26" s="454" t="s">
        <v>760</v>
      </c>
      <c r="C26" s="555" t="s">
        <v>648</v>
      </c>
      <c r="D26" s="146">
        <v>3200</v>
      </c>
      <c r="E26" s="146">
        <v>489</v>
      </c>
      <c r="F26" s="452">
        <v>1381818</v>
      </c>
      <c r="G26" s="472">
        <f t="shared" si="0"/>
        <v>3.2694654101158142E-3</v>
      </c>
    </row>
    <row r="27" spans="1:7">
      <c r="A27" s="455">
        <v>24</v>
      </c>
      <c r="B27" s="454" t="s">
        <v>760</v>
      </c>
      <c r="C27" s="555" t="s">
        <v>638</v>
      </c>
      <c r="D27" s="146">
        <v>3200</v>
      </c>
      <c r="E27" s="146">
        <v>379</v>
      </c>
      <c r="F27" s="452">
        <v>1049891</v>
      </c>
      <c r="G27" s="472">
        <f t="shared" si="0"/>
        <v>2.4841059451330802E-3</v>
      </c>
    </row>
    <row r="28" spans="1:7">
      <c r="A28" s="462">
        <v>25</v>
      </c>
      <c r="B28" s="454" t="s">
        <v>760</v>
      </c>
      <c r="C28" s="555" t="s">
        <v>637</v>
      </c>
      <c r="D28" s="146">
        <v>3200</v>
      </c>
      <c r="E28" s="146">
        <v>374</v>
      </c>
      <c r="F28" s="452">
        <v>1044364</v>
      </c>
      <c r="G28" s="472">
        <f t="shared" si="0"/>
        <v>2.4710287270611558E-3</v>
      </c>
    </row>
    <row r="29" spans="1:7">
      <c r="A29" s="455">
        <v>26</v>
      </c>
      <c r="B29" s="454" t="s">
        <v>760</v>
      </c>
      <c r="C29" s="453" t="s">
        <v>635</v>
      </c>
      <c r="D29" s="146">
        <v>4200</v>
      </c>
      <c r="E29" s="146">
        <v>268</v>
      </c>
      <c r="F29" s="452">
        <v>1007616</v>
      </c>
      <c r="G29" s="472">
        <f t="shared" si="0"/>
        <v>2.3840807245811362E-3</v>
      </c>
    </row>
    <row r="30" spans="1:7">
      <c r="A30" s="455">
        <v>27</v>
      </c>
      <c r="B30" s="454" t="s">
        <v>572</v>
      </c>
      <c r="C30" s="555" t="s">
        <v>260</v>
      </c>
      <c r="D30" s="146">
        <v>2800</v>
      </c>
      <c r="E30" s="146">
        <v>401</v>
      </c>
      <c r="F30" s="452">
        <v>990179</v>
      </c>
      <c r="G30" s="472">
        <f t="shared" si="0"/>
        <v>2.3428237223158672E-3</v>
      </c>
    </row>
    <row r="31" spans="1:7">
      <c r="A31" s="462">
        <v>28</v>
      </c>
      <c r="B31" s="454" t="s">
        <v>760</v>
      </c>
      <c r="C31" s="453" t="s">
        <v>634</v>
      </c>
      <c r="D31" s="146">
        <v>3500</v>
      </c>
      <c r="E31" s="146">
        <v>334</v>
      </c>
      <c r="F31" s="452">
        <v>989546</v>
      </c>
      <c r="G31" s="472">
        <f t="shared" si="0"/>
        <v>2.3413260058259941E-3</v>
      </c>
    </row>
    <row r="32" spans="1:7">
      <c r="A32" s="455">
        <v>29</v>
      </c>
      <c r="B32" s="454" t="s">
        <v>760</v>
      </c>
      <c r="C32" s="555" t="s">
        <v>261</v>
      </c>
      <c r="D32" s="146">
        <v>3000</v>
      </c>
      <c r="E32" s="146">
        <v>330</v>
      </c>
      <c r="F32" s="452">
        <v>842726</v>
      </c>
      <c r="G32" s="472">
        <f t="shared" si="0"/>
        <v>1.9939409583644586E-3</v>
      </c>
    </row>
    <row r="33" spans="1:7">
      <c r="A33" s="455">
        <v>30</v>
      </c>
      <c r="B33" s="454" t="s">
        <v>760</v>
      </c>
      <c r="C33" s="555" t="s">
        <v>262</v>
      </c>
      <c r="D33" s="146">
        <v>3000</v>
      </c>
      <c r="E33" s="146">
        <v>306</v>
      </c>
      <c r="F33" s="452">
        <v>809091</v>
      </c>
      <c r="G33" s="472">
        <f t="shared" si="0"/>
        <v>1.9143585031719187E-3</v>
      </c>
    </row>
    <row r="34" spans="1:7">
      <c r="A34" s="462">
        <v>31</v>
      </c>
      <c r="B34" s="454" t="s">
        <v>760</v>
      </c>
      <c r="C34" s="453" t="s">
        <v>621</v>
      </c>
      <c r="D34" s="146">
        <v>4000</v>
      </c>
      <c r="E34" s="146">
        <v>255</v>
      </c>
      <c r="F34" s="452">
        <v>789644</v>
      </c>
      <c r="G34" s="472">
        <f t="shared" si="0"/>
        <v>1.8683457186876218E-3</v>
      </c>
    </row>
    <row r="35" spans="1:7">
      <c r="A35" s="455">
        <v>32</v>
      </c>
      <c r="B35" s="454" t="s">
        <v>760</v>
      </c>
      <c r="C35" s="453" t="s">
        <v>620</v>
      </c>
      <c r="D35" s="146">
        <v>4200</v>
      </c>
      <c r="E35" s="146">
        <v>207</v>
      </c>
      <c r="F35" s="452">
        <v>771908</v>
      </c>
      <c r="G35" s="472">
        <f t="shared" si="0"/>
        <v>1.8263812642415123E-3</v>
      </c>
    </row>
    <row r="36" spans="1:7">
      <c r="A36" s="455">
        <v>33</v>
      </c>
      <c r="B36" s="454" t="s">
        <v>760</v>
      </c>
      <c r="C36" s="555" t="s">
        <v>606</v>
      </c>
      <c r="D36" s="146">
        <v>3000</v>
      </c>
      <c r="E36" s="146">
        <v>240</v>
      </c>
      <c r="F36" s="452">
        <v>638182</v>
      </c>
      <c r="G36" s="472">
        <f t="shared" si="0"/>
        <v>1.5099774169670178E-3</v>
      </c>
    </row>
    <row r="37" spans="1:7">
      <c r="A37" s="462">
        <v>34</v>
      </c>
      <c r="B37" s="454" t="s">
        <v>572</v>
      </c>
      <c r="C37" s="453" t="s">
        <v>600</v>
      </c>
      <c r="D37" s="146">
        <v>4200</v>
      </c>
      <c r="E37" s="146">
        <v>167</v>
      </c>
      <c r="F37" s="452">
        <v>597636</v>
      </c>
      <c r="G37" s="472">
        <f t="shared" si="0"/>
        <v>1.4140431155477602E-3</v>
      </c>
    </row>
    <row r="38" spans="1:7">
      <c r="A38" s="455">
        <v>35</v>
      </c>
      <c r="B38" s="454" t="s">
        <v>760</v>
      </c>
      <c r="C38" s="453" t="s">
        <v>571</v>
      </c>
      <c r="D38" s="146">
        <v>3500</v>
      </c>
      <c r="E38" s="146">
        <v>152</v>
      </c>
      <c r="F38" s="452">
        <v>439091</v>
      </c>
      <c r="G38" s="472">
        <f t="shared" si="0"/>
        <v>1.0389160051418949E-3</v>
      </c>
    </row>
    <row r="39" spans="1:7">
      <c r="A39" s="455">
        <v>36</v>
      </c>
      <c r="B39" s="454" t="s">
        <v>760</v>
      </c>
      <c r="C39" s="453" t="s">
        <v>561</v>
      </c>
      <c r="D39" s="146">
        <v>2000</v>
      </c>
      <c r="E39" s="146">
        <v>200</v>
      </c>
      <c r="F39" s="452">
        <v>363636</v>
      </c>
      <c r="G39" s="472">
        <f t="shared" si="0"/>
        <v>8.6038488706390731E-4</v>
      </c>
    </row>
    <row r="40" spans="1:7">
      <c r="A40" s="462">
        <v>37</v>
      </c>
      <c r="B40" s="454" t="s">
        <v>760</v>
      </c>
      <c r="C40" s="555" t="s">
        <v>544</v>
      </c>
      <c r="D40" s="146">
        <v>3500</v>
      </c>
      <c r="E40" s="146">
        <v>90</v>
      </c>
      <c r="F40" s="452">
        <v>270455</v>
      </c>
      <c r="G40" s="472">
        <f t="shared" si="0"/>
        <v>6.3991297514786499E-4</v>
      </c>
    </row>
    <row r="41" spans="1:7">
      <c r="A41" s="455">
        <v>38</v>
      </c>
      <c r="B41" s="454" t="s">
        <v>760</v>
      </c>
      <c r="C41" s="453" t="s">
        <v>532</v>
      </c>
      <c r="D41" s="146">
        <v>4000</v>
      </c>
      <c r="E41" s="146">
        <v>69</v>
      </c>
      <c r="F41" s="452">
        <v>196362</v>
      </c>
      <c r="G41" s="472">
        <f t="shared" si="0"/>
        <v>4.6460443188695006E-4</v>
      </c>
    </row>
    <row r="42" spans="1:7">
      <c r="A42" s="455">
        <v>39</v>
      </c>
      <c r="B42" s="454" t="s">
        <v>760</v>
      </c>
      <c r="C42" s="555" t="s">
        <v>526</v>
      </c>
      <c r="D42" s="146">
        <v>2500</v>
      </c>
      <c r="E42" s="146">
        <v>70</v>
      </c>
      <c r="F42" s="452">
        <v>156818</v>
      </c>
      <c r="G42" s="472">
        <f t="shared" si="0"/>
        <v>3.7104092339478988E-4</v>
      </c>
    </row>
    <row r="43" spans="1:7">
      <c r="A43" s="462">
        <v>40</v>
      </c>
      <c r="B43" s="454" t="s">
        <v>760</v>
      </c>
      <c r="C43" s="453" t="s">
        <v>522</v>
      </c>
      <c r="D43" s="146">
        <v>3000</v>
      </c>
      <c r="E43" s="146">
        <v>48</v>
      </c>
      <c r="F43" s="452">
        <v>130909</v>
      </c>
      <c r="G43" s="472">
        <f t="shared" si="0"/>
        <v>3.0973865398543882E-4</v>
      </c>
    </row>
    <row r="44" spans="1:7">
      <c r="A44" s="455">
        <v>41</v>
      </c>
      <c r="B44" s="454" t="s">
        <v>760</v>
      </c>
      <c r="C44" s="555" t="s">
        <v>518</v>
      </c>
      <c r="D44" s="146">
        <v>3500</v>
      </c>
      <c r="E44" s="146">
        <v>37</v>
      </c>
      <c r="F44" s="452">
        <v>117727</v>
      </c>
      <c r="G44" s="472">
        <f t="shared" si="0"/>
        <v>2.7854924044751515E-4</v>
      </c>
    </row>
    <row r="45" spans="1:7">
      <c r="A45" s="455">
        <v>42</v>
      </c>
      <c r="B45" s="454" t="s">
        <v>760</v>
      </c>
      <c r="C45" s="453" t="s">
        <v>517</v>
      </c>
      <c r="D45" s="146">
        <v>4500</v>
      </c>
      <c r="E45" s="146">
        <v>32</v>
      </c>
      <c r="F45" s="452">
        <v>114546</v>
      </c>
      <c r="G45" s="472">
        <f t="shared" si="0"/>
        <v>2.7102280102526239E-4</v>
      </c>
    </row>
    <row r="46" spans="1:7">
      <c r="A46" s="462">
        <v>43</v>
      </c>
      <c r="B46" s="454" t="s">
        <v>760</v>
      </c>
      <c r="C46" s="453" t="s">
        <v>504</v>
      </c>
      <c r="D46" s="146">
        <v>2000</v>
      </c>
      <c r="E46" s="146">
        <v>39</v>
      </c>
      <c r="F46" s="452">
        <v>69091</v>
      </c>
      <c r="G46" s="472">
        <f t="shared" si="0"/>
        <v>1.6347350711187127E-4</v>
      </c>
    </row>
    <row r="47" spans="1:7">
      <c r="A47" s="455">
        <v>44</v>
      </c>
      <c r="B47" s="454" t="s">
        <v>760</v>
      </c>
      <c r="C47" s="453" t="s">
        <v>502</v>
      </c>
      <c r="D47" s="146">
        <v>3000</v>
      </c>
      <c r="E47" s="146">
        <v>21</v>
      </c>
      <c r="F47" s="452">
        <v>57818</v>
      </c>
      <c r="G47" s="472">
        <f t="shared" si="0"/>
        <v>1.3680090365162138E-4</v>
      </c>
    </row>
    <row r="48" spans="1:7">
      <c r="A48" s="455">
        <v>45</v>
      </c>
      <c r="B48" s="454" t="s">
        <v>760</v>
      </c>
      <c r="C48" s="453" t="s">
        <v>494</v>
      </c>
      <c r="D48" s="146">
        <v>2500</v>
      </c>
      <c r="E48" s="146">
        <v>14</v>
      </c>
      <c r="F48" s="452">
        <v>31818</v>
      </c>
      <c r="G48" s="472">
        <f t="shared" si="0"/>
        <v>7.5283322708971068E-5</v>
      </c>
    </row>
    <row r="49" spans="1:7">
      <c r="A49" s="462">
        <v>46</v>
      </c>
      <c r="B49" s="454" t="s">
        <v>760</v>
      </c>
      <c r="C49" s="453" t="s">
        <v>487</v>
      </c>
      <c r="D49" s="146">
        <v>4500</v>
      </c>
      <c r="E49" s="146">
        <v>6</v>
      </c>
      <c r="F49" s="452">
        <v>24546</v>
      </c>
      <c r="G49" s="472">
        <f t="shared" si="0"/>
        <v>5.8077328531472866E-5</v>
      </c>
    </row>
    <row r="50" spans="1:7">
      <c r="A50" s="455">
        <v>47</v>
      </c>
      <c r="B50" s="454" t="s">
        <v>760</v>
      </c>
      <c r="C50" s="555" t="s">
        <v>486</v>
      </c>
      <c r="D50" s="146">
        <v>2700</v>
      </c>
      <c r="E50" s="146">
        <v>9</v>
      </c>
      <c r="F50" s="452">
        <v>22092</v>
      </c>
      <c r="G50" s="472">
        <f t="shared" si="0"/>
        <v>5.2271015314808871E-5</v>
      </c>
    </row>
    <row r="51" spans="1:7" ht="17.25" thickBot="1">
      <c r="A51" s="450">
        <v>48</v>
      </c>
      <c r="B51" s="449" t="s">
        <v>760</v>
      </c>
      <c r="C51" s="448" t="s">
        <v>477</v>
      </c>
      <c r="D51" s="447">
        <v>3000</v>
      </c>
      <c r="E51" s="447">
        <v>6</v>
      </c>
      <c r="F51" s="446">
        <v>16364</v>
      </c>
      <c r="G51" s="480">
        <f t="shared" si="0"/>
        <v>3.8718219020981911E-5</v>
      </c>
    </row>
    <row r="52" spans="1:7" ht="17.25" thickBot="1">
      <c r="A52" s="767" t="s">
        <v>759</v>
      </c>
      <c r="B52" s="767"/>
      <c r="C52" s="767"/>
      <c r="D52" s="767"/>
      <c r="E52" s="767"/>
      <c r="F52" s="470">
        <f>SUM(F4:F51)</f>
        <v>422643407</v>
      </c>
      <c r="G52" s="471">
        <f>F52/F288</f>
        <v>0.63365313803084844</v>
      </c>
    </row>
    <row r="53" spans="1:7" ht="17.25" thickBot="1">
      <c r="A53" s="468" t="s">
        <v>758</v>
      </c>
      <c r="B53" s="467" t="s">
        <v>757</v>
      </c>
      <c r="C53" s="466" t="s">
        <v>756</v>
      </c>
      <c r="D53" s="465" t="s">
        <v>755</v>
      </c>
      <c r="E53" s="465" t="s">
        <v>754</v>
      </c>
      <c r="F53" s="464" t="s">
        <v>753</v>
      </c>
      <c r="G53" s="463" t="s">
        <v>713</v>
      </c>
    </row>
    <row r="54" spans="1:7" ht="17.25" thickTop="1">
      <c r="A54" s="455">
        <v>1</v>
      </c>
      <c r="B54" s="454" t="s">
        <v>582</v>
      </c>
      <c r="C54" s="453" t="s">
        <v>708</v>
      </c>
      <c r="D54" s="146">
        <v>3000</v>
      </c>
      <c r="E54" s="146">
        <v>12369</v>
      </c>
      <c r="F54" s="452">
        <v>32866203</v>
      </c>
      <c r="G54" s="479">
        <f t="shared" ref="G54:G85" si="1">F54/$F$171</f>
        <v>0.22493229847229781</v>
      </c>
    </row>
    <row r="55" spans="1:7">
      <c r="A55" s="455">
        <v>2</v>
      </c>
      <c r="B55" s="454" t="s">
        <v>752</v>
      </c>
      <c r="C55" s="555" t="s">
        <v>704</v>
      </c>
      <c r="D55" s="146">
        <v>2500</v>
      </c>
      <c r="E55" s="146">
        <v>4619</v>
      </c>
      <c r="F55" s="452">
        <v>10406827</v>
      </c>
      <c r="G55" s="472">
        <f t="shared" si="1"/>
        <v>7.1223059046813766E-2</v>
      </c>
    </row>
    <row r="56" spans="1:7">
      <c r="A56" s="455">
        <v>3</v>
      </c>
      <c r="B56" s="454" t="s">
        <v>461</v>
      </c>
      <c r="C56" s="453" t="s">
        <v>699</v>
      </c>
      <c r="D56" s="146">
        <v>3500</v>
      </c>
      <c r="E56" s="146">
        <v>2062</v>
      </c>
      <c r="F56" s="452">
        <v>6461936</v>
      </c>
      <c r="G56" s="472">
        <f t="shared" si="1"/>
        <v>4.4224704541041333E-2</v>
      </c>
    </row>
    <row r="57" spans="1:7">
      <c r="A57" s="455">
        <v>4</v>
      </c>
      <c r="B57" s="454" t="s">
        <v>461</v>
      </c>
      <c r="C57" s="453" t="s">
        <v>696</v>
      </c>
      <c r="D57" s="146">
        <v>3500</v>
      </c>
      <c r="E57" s="146">
        <v>1599</v>
      </c>
      <c r="F57" s="452">
        <v>4915727</v>
      </c>
      <c r="G57" s="472">
        <f t="shared" si="1"/>
        <v>3.3642638085462237E-2</v>
      </c>
    </row>
    <row r="58" spans="1:7">
      <c r="A58" s="455">
        <v>5</v>
      </c>
      <c r="B58" s="454" t="s">
        <v>461</v>
      </c>
      <c r="C58" s="453" t="s">
        <v>692</v>
      </c>
      <c r="D58" s="146">
        <v>4000</v>
      </c>
      <c r="E58" s="146">
        <v>1180</v>
      </c>
      <c r="F58" s="452">
        <v>3996268</v>
      </c>
      <c r="G58" s="472">
        <f t="shared" si="1"/>
        <v>2.7349972448940715E-2</v>
      </c>
    </row>
    <row r="59" spans="1:7">
      <c r="A59" s="455">
        <v>6</v>
      </c>
      <c r="B59" s="454" t="s">
        <v>748</v>
      </c>
      <c r="C59" s="453" t="s">
        <v>690</v>
      </c>
      <c r="D59" s="146">
        <v>3500</v>
      </c>
      <c r="E59" s="146">
        <v>1215</v>
      </c>
      <c r="F59" s="452">
        <v>3706821</v>
      </c>
      <c r="G59" s="472">
        <f t="shared" si="1"/>
        <v>2.5369032362983379E-2</v>
      </c>
    </row>
    <row r="60" spans="1:7">
      <c r="A60" s="455">
        <v>7</v>
      </c>
      <c r="B60" s="454" t="s">
        <v>461</v>
      </c>
      <c r="C60" s="453" t="s">
        <v>687</v>
      </c>
      <c r="D60" s="146">
        <v>3800</v>
      </c>
      <c r="E60" s="146">
        <v>1091</v>
      </c>
      <c r="F60" s="452">
        <v>3492551</v>
      </c>
      <c r="G60" s="472">
        <f t="shared" si="1"/>
        <v>2.3902594527324079E-2</v>
      </c>
    </row>
    <row r="61" spans="1:7">
      <c r="A61" s="455">
        <v>8</v>
      </c>
      <c r="B61" s="454" t="s">
        <v>461</v>
      </c>
      <c r="C61" s="453" t="s">
        <v>678</v>
      </c>
      <c r="D61" s="146">
        <v>3500</v>
      </c>
      <c r="E61" s="146">
        <v>869</v>
      </c>
      <c r="F61" s="452">
        <v>2627865</v>
      </c>
      <c r="G61" s="472">
        <f t="shared" si="1"/>
        <v>1.7984788645189861E-2</v>
      </c>
    </row>
    <row r="62" spans="1:7">
      <c r="A62" s="455">
        <v>9</v>
      </c>
      <c r="B62" s="454" t="s">
        <v>461</v>
      </c>
      <c r="C62" s="453" t="s">
        <v>677</v>
      </c>
      <c r="D62" s="146">
        <v>3500</v>
      </c>
      <c r="E62" s="146">
        <v>824</v>
      </c>
      <c r="F62" s="452">
        <v>2543003</v>
      </c>
      <c r="G62" s="472">
        <f t="shared" si="1"/>
        <v>1.7404003432095541E-2</v>
      </c>
    </row>
    <row r="63" spans="1:7">
      <c r="A63" s="455">
        <v>10</v>
      </c>
      <c r="B63" s="454" t="s">
        <v>461</v>
      </c>
      <c r="C63" s="453" t="s">
        <v>676</v>
      </c>
      <c r="D63" s="146">
        <v>3500</v>
      </c>
      <c r="E63" s="146">
        <v>835</v>
      </c>
      <c r="F63" s="452">
        <v>2535456</v>
      </c>
      <c r="G63" s="472">
        <f t="shared" si="1"/>
        <v>1.7352352681427128E-2</v>
      </c>
    </row>
    <row r="64" spans="1:7">
      <c r="A64" s="455">
        <v>11</v>
      </c>
      <c r="B64" s="454" t="s">
        <v>751</v>
      </c>
      <c r="C64" s="453" t="s">
        <v>670</v>
      </c>
      <c r="D64" s="146">
        <v>3500</v>
      </c>
      <c r="E64" s="146">
        <v>700</v>
      </c>
      <c r="F64" s="452">
        <v>2164819</v>
      </c>
      <c r="G64" s="472">
        <f t="shared" si="1"/>
        <v>1.4815758104046922E-2</v>
      </c>
    </row>
    <row r="65" spans="1:7">
      <c r="A65" s="455">
        <v>12</v>
      </c>
      <c r="B65" s="454" t="s">
        <v>748</v>
      </c>
      <c r="C65" s="453" t="s">
        <v>669</v>
      </c>
      <c r="D65" s="146">
        <v>3500</v>
      </c>
      <c r="E65" s="146">
        <v>715</v>
      </c>
      <c r="F65" s="452">
        <v>2156820</v>
      </c>
      <c r="G65" s="472">
        <f t="shared" si="1"/>
        <v>1.4761013920318736E-2</v>
      </c>
    </row>
    <row r="66" spans="1:7">
      <c r="A66" s="455">
        <v>13</v>
      </c>
      <c r="B66" s="454" t="s">
        <v>461</v>
      </c>
      <c r="C66" s="453" t="s">
        <v>668</v>
      </c>
      <c r="D66" s="146">
        <v>3500</v>
      </c>
      <c r="E66" s="146">
        <v>703</v>
      </c>
      <c r="F66" s="452">
        <v>2150911</v>
      </c>
      <c r="G66" s="472">
        <f t="shared" si="1"/>
        <v>1.4720573442552782E-2</v>
      </c>
    </row>
    <row r="67" spans="1:7">
      <c r="A67" s="455">
        <v>14</v>
      </c>
      <c r="B67" s="454" t="s">
        <v>461</v>
      </c>
      <c r="C67" s="453" t="s">
        <v>667</v>
      </c>
      <c r="D67" s="146">
        <v>3500</v>
      </c>
      <c r="E67" s="146">
        <v>698</v>
      </c>
      <c r="F67" s="452">
        <v>2106366</v>
      </c>
      <c r="G67" s="472">
        <f t="shared" si="1"/>
        <v>1.4415712876960569E-2</v>
      </c>
    </row>
    <row r="68" spans="1:7">
      <c r="A68" s="455">
        <v>15</v>
      </c>
      <c r="B68" s="454" t="s">
        <v>461</v>
      </c>
      <c r="C68" s="453" t="s">
        <v>666</v>
      </c>
      <c r="D68" s="146">
        <v>3500</v>
      </c>
      <c r="E68" s="146">
        <v>695</v>
      </c>
      <c r="F68" s="452">
        <v>2085911</v>
      </c>
      <c r="G68" s="472">
        <f t="shared" si="1"/>
        <v>1.4275721343248844E-2</v>
      </c>
    </row>
    <row r="69" spans="1:7">
      <c r="A69" s="455">
        <v>16</v>
      </c>
      <c r="B69" s="454" t="s">
        <v>582</v>
      </c>
      <c r="C69" s="453" t="s">
        <v>665</v>
      </c>
      <c r="D69" s="146">
        <v>4000</v>
      </c>
      <c r="E69" s="146">
        <v>603</v>
      </c>
      <c r="F69" s="452">
        <v>2045548</v>
      </c>
      <c r="G69" s="472">
        <f t="shared" si="1"/>
        <v>1.3999481877338002E-2</v>
      </c>
    </row>
    <row r="70" spans="1:7">
      <c r="A70" s="455">
        <v>17</v>
      </c>
      <c r="B70" s="454" t="s">
        <v>582</v>
      </c>
      <c r="C70" s="453" t="s">
        <v>664</v>
      </c>
      <c r="D70" s="146">
        <v>3500</v>
      </c>
      <c r="E70" s="146">
        <v>646</v>
      </c>
      <c r="F70" s="452">
        <v>1979093</v>
      </c>
      <c r="G70" s="472">
        <f t="shared" si="1"/>
        <v>1.3544671934888107E-2</v>
      </c>
    </row>
    <row r="71" spans="1:7">
      <c r="A71" s="455">
        <v>18</v>
      </c>
      <c r="B71" s="454" t="s">
        <v>461</v>
      </c>
      <c r="C71" s="453" t="s">
        <v>663</v>
      </c>
      <c r="D71" s="146">
        <v>3500</v>
      </c>
      <c r="E71" s="146">
        <v>658</v>
      </c>
      <c r="F71" s="452">
        <v>1975911</v>
      </c>
      <c r="G71" s="472">
        <f t="shared" si="1"/>
        <v>1.3522894713657566E-2</v>
      </c>
    </row>
    <row r="72" spans="1:7">
      <c r="A72" s="455">
        <v>19</v>
      </c>
      <c r="B72" s="454" t="s">
        <v>461</v>
      </c>
      <c r="C72" s="453" t="s">
        <v>661</v>
      </c>
      <c r="D72" s="146">
        <v>3500</v>
      </c>
      <c r="E72" s="146">
        <v>611</v>
      </c>
      <c r="F72" s="452">
        <v>1861850</v>
      </c>
      <c r="G72" s="472">
        <f t="shared" si="1"/>
        <v>1.2742275093677468E-2</v>
      </c>
    </row>
    <row r="73" spans="1:7">
      <c r="A73" s="455">
        <v>20</v>
      </c>
      <c r="B73" s="454" t="s">
        <v>461</v>
      </c>
      <c r="C73" s="555" t="s">
        <v>659</v>
      </c>
      <c r="D73" s="146">
        <v>3000</v>
      </c>
      <c r="E73" s="146">
        <v>679</v>
      </c>
      <c r="F73" s="452">
        <v>1815452</v>
      </c>
      <c r="G73" s="472">
        <f t="shared" si="1"/>
        <v>1.2424732821315867E-2</v>
      </c>
    </row>
    <row r="74" spans="1:7">
      <c r="A74" s="455">
        <v>21</v>
      </c>
      <c r="B74" s="454" t="s">
        <v>461</v>
      </c>
      <c r="C74" s="453" t="s">
        <v>658</v>
      </c>
      <c r="D74" s="146">
        <v>3500</v>
      </c>
      <c r="E74" s="146">
        <v>571</v>
      </c>
      <c r="F74" s="452">
        <v>1737364</v>
      </c>
      <c r="G74" s="472">
        <f t="shared" si="1"/>
        <v>1.189030804084747E-2</v>
      </c>
    </row>
    <row r="75" spans="1:7">
      <c r="A75" s="455">
        <v>22</v>
      </c>
      <c r="B75" s="454" t="s">
        <v>461</v>
      </c>
      <c r="C75" s="453" t="s">
        <v>657</v>
      </c>
      <c r="D75" s="146">
        <v>4200</v>
      </c>
      <c r="E75" s="146">
        <v>574</v>
      </c>
      <c r="F75" s="452">
        <v>1734910</v>
      </c>
      <c r="G75" s="472">
        <f t="shared" si="1"/>
        <v>1.1873513163129134E-2</v>
      </c>
    </row>
    <row r="76" spans="1:7">
      <c r="A76" s="455">
        <v>23</v>
      </c>
      <c r="B76" s="454" t="s">
        <v>750</v>
      </c>
      <c r="C76" s="453" t="s">
        <v>656</v>
      </c>
      <c r="D76" s="146">
        <v>4000</v>
      </c>
      <c r="E76" s="146">
        <v>508</v>
      </c>
      <c r="F76" s="452">
        <v>1715998</v>
      </c>
      <c r="G76" s="472">
        <f t="shared" si="1"/>
        <v>1.174408173386704E-2</v>
      </c>
    </row>
    <row r="77" spans="1:7">
      <c r="A77" s="455">
        <v>24</v>
      </c>
      <c r="B77" s="454" t="s">
        <v>461</v>
      </c>
      <c r="C77" s="555" t="s">
        <v>655</v>
      </c>
      <c r="D77" s="146">
        <v>3200</v>
      </c>
      <c r="E77" s="146">
        <v>560</v>
      </c>
      <c r="F77" s="452">
        <v>1599999</v>
      </c>
      <c r="G77" s="472">
        <f t="shared" si="1"/>
        <v>1.0950198677449233E-2</v>
      </c>
    </row>
    <row r="78" spans="1:7">
      <c r="A78" s="455">
        <v>25</v>
      </c>
      <c r="B78" s="454" t="s">
        <v>461</v>
      </c>
      <c r="C78" s="453" t="s">
        <v>654</v>
      </c>
      <c r="D78" s="146">
        <v>3800</v>
      </c>
      <c r="E78" s="146">
        <v>474</v>
      </c>
      <c r="F78" s="452">
        <v>1585636</v>
      </c>
      <c r="G78" s="472">
        <f t="shared" si="1"/>
        <v>1.0851900051259964E-2</v>
      </c>
    </row>
    <row r="79" spans="1:7">
      <c r="A79" s="455">
        <v>26</v>
      </c>
      <c r="B79" s="454" t="s">
        <v>748</v>
      </c>
      <c r="C79" s="453" t="s">
        <v>652</v>
      </c>
      <c r="D79" s="146">
        <v>3500</v>
      </c>
      <c r="E79" s="146">
        <v>499</v>
      </c>
      <c r="F79" s="452">
        <v>1495455</v>
      </c>
      <c r="G79" s="472">
        <f t="shared" si="1"/>
        <v>1.0234712248685683E-2</v>
      </c>
    </row>
    <row r="80" spans="1:7">
      <c r="A80" s="455">
        <v>27</v>
      </c>
      <c r="B80" s="454" t="s">
        <v>461</v>
      </c>
      <c r="C80" s="453" t="s">
        <v>647</v>
      </c>
      <c r="D80" s="146">
        <v>3500</v>
      </c>
      <c r="E80" s="146">
        <v>456</v>
      </c>
      <c r="F80" s="452">
        <v>1345911</v>
      </c>
      <c r="G80" s="472">
        <f t="shared" si="1"/>
        <v>9.2112512896347903E-3</v>
      </c>
    </row>
    <row r="81" spans="1:7">
      <c r="A81" s="455">
        <v>28</v>
      </c>
      <c r="B81" s="454" t="s">
        <v>748</v>
      </c>
      <c r="C81" s="453" t="s">
        <v>646</v>
      </c>
      <c r="D81" s="146">
        <v>3500</v>
      </c>
      <c r="E81" s="146">
        <v>429</v>
      </c>
      <c r="F81" s="452">
        <v>1335455</v>
      </c>
      <c r="G81" s="472">
        <f t="shared" si="1"/>
        <v>9.1396916965529144E-3</v>
      </c>
    </row>
    <row r="82" spans="1:7">
      <c r="A82" s="455">
        <v>29</v>
      </c>
      <c r="B82" s="454" t="s">
        <v>461</v>
      </c>
      <c r="C82" s="453" t="s">
        <v>643</v>
      </c>
      <c r="D82" s="146">
        <v>3500</v>
      </c>
      <c r="E82" s="146">
        <v>420</v>
      </c>
      <c r="F82" s="452">
        <v>1260003</v>
      </c>
      <c r="G82" s="472">
        <f t="shared" si="1"/>
        <v>8.6233073796809032E-3</v>
      </c>
    </row>
    <row r="83" spans="1:7">
      <c r="A83" s="455">
        <v>30</v>
      </c>
      <c r="B83" s="454" t="s">
        <v>750</v>
      </c>
      <c r="C83" s="555" t="s">
        <v>254</v>
      </c>
      <c r="D83" s="146">
        <v>3000</v>
      </c>
      <c r="E83" s="146">
        <v>467</v>
      </c>
      <c r="F83" s="452">
        <v>1251819</v>
      </c>
      <c r="G83" s="472">
        <f t="shared" si="1"/>
        <v>8.5672970784393121E-3</v>
      </c>
    </row>
    <row r="84" spans="1:7">
      <c r="A84" s="455">
        <v>31</v>
      </c>
      <c r="B84" s="454" t="s">
        <v>750</v>
      </c>
      <c r="C84" s="555" t="s">
        <v>255</v>
      </c>
      <c r="D84" s="146">
        <v>3500</v>
      </c>
      <c r="E84" s="146">
        <v>404</v>
      </c>
      <c r="F84" s="452">
        <v>1234545</v>
      </c>
      <c r="G84" s="472">
        <f t="shared" si="1"/>
        <v>8.4490759220796786E-3</v>
      </c>
    </row>
    <row r="85" spans="1:7">
      <c r="A85" s="455">
        <v>32</v>
      </c>
      <c r="B85" s="454" t="s">
        <v>461</v>
      </c>
      <c r="C85" s="453" t="s">
        <v>641</v>
      </c>
      <c r="D85" s="146">
        <v>3500</v>
      </c>
      <c r="E85" s="146">
        <v>408</v>
      </c>
      <c r="F85" s="452">
        <v>1174092</v>
      </c>
      <c r="G85" s="472">
        <f t="shared" si="1"/>
        <v>8.0353429380916642E-3</v>
      </c>
    </row>
    <row r="86" spans="1:7">
      <c r="A86" s="455">
        <v>33</v>
      </c>
      <c r="B86" s="454" t="s">
        <v>461</v>
      </c>
      <c r="C86" s="555" t="s">
        <v>640</v>
      </c>
      <c r="D86" s="146">
        <v>3200</v>
      </c>
      <c r="E86" s="146">
        <v>399</v>
      </c>
      <c r="F86" s="452">
        <v>1131636</v>
      </c>
      <c r="G86" s="472">
        <f t="shared" ref="G86:G117" si="2">F86/$F$171</f>
        <v>7.744779234583235E-3</v>
      </c>
    </row>
    <row r="87" spans="1:7">
      <c r="A87" s="455">
        <v>34</v>
      </c>
      <c r="B87" s="454" t="s">
        <v>750</v>
      </c>
      <c r="C87" s="555" t="s">
        <v>242</v>
      </c>
      <c r="D87" s="146">
        <v>3000</v>
      </c>
      <c r="E87" s="146">
        <v>431</v>
      </c>
      <c r="F87" s="452">
        <v>1129091</v>
      </c>
      <c r="G87" s="472">
        <f t="shared" si="2"/>
        <v>7.7273615639258733E-3</v>
      </c>
    </row>
    <row r="88" spans="1:7">
      <c r="A88" s="455">
        <v>35</v>
      </c>
      <c r="B88" s="454" t="s">
        <v>461</v>
      </c>
      <c r="C88" s="555" t="s">
        <v>256</v>
      </c>
      <c r="D88" s="146">
        <v>3000</v>
      </c>
      <c r="E88" s="146">
        <v>402</v>
      </c>
      <c r="F88" s="452">
        <v>1060908</v>
      </c>
      <c r="G88" s="472">
        <f t="shared" si="2"/>
        <v>7.2607253995129444E-3</v>
      </c>
    </row>
    <row r="89" spans="1:7">
      <c r="A89" s="455">
        <v>36</v>
      </c>
      <c r="B89" s="454" t="s">
        <v>750</v>
      </c>
      <c r="C89" s="453" t="s">
        <v>636</v>
      </c>
      <c r="D89" s="146">
        <v>3500</v>
      </c>
      <c r="E89" s="146">
        <v>328</v>
      </c>
      <c r="F89" s="452">
        <v>1015000</v>
      </c>
      <c r="G89" s="472">
        <f t="shared" si="2"/>
        <v>6.9465366275922496E-3</v>
      </c>
    </row>
    <row r="90" spans="1:7">
      <c r="A90" s="455">
        <v>37</v>
      </c>
      <c r="B90" s="454" t="s">
        <v>748</v>
      </c>
      <c r="C90" s="555" t="s">
        <v>257</v>
      </c>
      <c r="D90" s="146">
        <v>3000</v>
      </c>
      <c r="E90" s="146">
        <v>378</v>
      </c>
      <c r="F90" s="452">
        <v>1011815</v>
      </c>
      <c r="G90" s="472">
        <f t="shared" si="2"/>
        <v>6.924738874726357E-3</v>
      </c>
    </row>
    <row r="91" spans="1:7">
      <c r="A91" s="455">
        <v>38</v>
      </c>
      <c r="B91" s="454" t="s">
        <v>749</v>
      </c>
      <c r="C91" s="453" t="s">
        <v>633</v>
      </c>
      <c r="D91" s="146">
        <v>3500</v>
      </c>
      <c r="E91" s="146">
        <v>311</v>
      </c>
      <c r="F91" s="452">
        <v>948184</v>
      </c>
      <c r="G91" s="472">
        <f t="shared" si="2"/>
        <v>6.4892560450216059E-3</v>
      </c>
    </row>
    <row r="92" spans="1:7">
      <c r="A92" s="455">
        <v>39</v>
      </c>
      <c r="B92" s="454" t="s">
        <v>461</v>
      </c>
      <c r="C92" s="453" t="s">
        <v>631</v>
      </c>
      <c r="D92" s="146">
        <v>3500</v>
      </c>
      <c r="E92" s="146">
        <v>331</v>
      </c>
      <c r="F92" s="452">
        <v>935728</v>
      </c>
      <c r="G92" s="472">
        <f t="shared" si="2"/>
        <v>6.4040086950380697E-3</v>
      </c>
    </row>
    <row r="93" spans="1:7">
      <c r="A93" s="455">
        <v>40</v>
      </c>
      <c r="B93" s="454" t="s">
        <v>748</v>
      </c>
      <c r="C93" s="453" t="s">
        <v>630</v>
      </c>
      <c r="D93" s="146">
        <v>3500</v>
      </c>
      <c r="E93" s="146">
        <v>304</v>
      </c>
      <c r="F93" s="452">
        <v>925910</v>
      </c>
      <c r="G93" s="472">
        <f t="shared" si="2"/>
        <v>6.3368154964078228E-3</v>
      </c>
    </row>
    <row r="94" spans="1:7">
      <c r="A94" s="455">
        <v>41</v>
      </c>
      <c r="B94" s="454" t="s">
        <v>748</v>
      </c>
      <c r="C94" s="555" t="s">
        <v>241</v>
      </c>
      <c r="D94" s="146">
        <v>3500</v>
      </c>
      <c r="E94" s="146">
        <v>302</v>
      </c>
      <c r="F94" s="452">
        <v>922728</v>
      </c>
      <c r="G94" s="472">
        <f t="shared" si="2"/>
        <v>6.3150382751772823E-3</v>
      </c>
    </row>
    <row r="95" spans="1:7">
      <c r="A95" s="455">
        <v>42</v>
      </c>
      <c r="B95" s="454" t="s">
        <v>748</v>
      </c>
      <c r="C95" s="555" t="s">
        <v>628</v>
      </c>
      <c r="D95" s="146">
        <v>3200</v>
      </c>
      <c r="E95" s="146">
        <v>315</v>
      </c>
      <c r="F95" s="452">
        <v>896000</v>
      </c>
      <c r="G95" s="472">
        <f t="shared" si="2"/>
        <v>6.1321150919435036E-3</v>
      </c>
    </row>
    <row r="96" spans="1:7">
      <c r="A96" s="455">
        <v>43</v>
      </c>
      <c r="B96" s="454" t="s">
        <v>461</v>
      </c>
      <c r="C96" s="555" t="s">
        <v>625</v>
      </c>
      <c r="D96" s="146">
        <v>3200</v>
      </c>
      <c r="E96" s="146">
        <v>295</v>
      </c>
      <c r="F96" s="452">
        <v>820364</v>
      </c>
      <c r="G96" s="472">
        <f t="shared" si="2"/>
        <v>5.6144715014365401E-3</v>
      </c>
    </row>
    <row r="97" spans="1:7">
      <c r="A97" s="455">
        <v>44</v>
      </c>
      <c r="B97" s="454" t="s">
        <v>748</v>
      </c>
      <c r="C97" s="555" t="s">
        <v>258</v>
      </c>
      <c r="D97" s="146">
        <v>3000</v>
      </c>
      <c r="E97" s="146">
        <v>290</v>
      </c>
      <c r="F97" s="452">
        <v>777271</v>
      </c>
      <c r="G97" s="472">
        <f t="shared" si="2"/>
        <v>5.319548247354932E-3</v>
      </c>
    </row>
    <row r="98" spans="1:7">
      <c r="A98" s="455">
        <v>45</v>
      </c>
      <c r="B98" s="454" t="s">
        <v>461</v>
      </c>
      <c r="C98" s="453" t="s">
        <v>617</v>
      </c>
      <c r="D98" s="146">
        <v>3500</v>
      </c>
      <c r="E98" s="146">
        <v>239</v>
      </c>
      <c r="F98" s="452">
        <v>725456</v>
      </c>
      <c r="G98" s="472">
        <f t="shared" si="2"/>
        <v>4.9649326854251854E-3</v>
      </c>
    </row>
    <row r="99" spans="1:7">
      <c r="A99" s="455">
        <v>46</v>
      </c>
      <c r="B99" s="454" t="s">
        <v>461</v>
      </c>
      <c r="C99" s="453" t="s">
        <v>616</v>
      </c>
      <c r="D99" s="146">
        <v>3800</v>
      </c>
      <c r="E99" s="146">
        <v>227</v>
      </c>
      <c r="F99" s="452">
        <v>715782</v>
      </c>
      <c r="G99" s="472">
        <f t="shared" si="2"/>
        <v>4.8987250052918577E-3</v>
      </c>
    </row>
    <row r="100" spans="1:7">
      <c r="A100" s="455">
        <v>47</v>
      </c>
      <c r="B100" s="454" t="s">
        <v>750</v>
      </c>
      <c r="C100" s="453" t="s">
        <v>615</v>
      </c>
      <c r="D100" s="146">
        <v>4200</v>
      </c>
      <c r="E100" s="146">
        <v>188</v>
      </c>
      <c r="F100" s="452">
        <v>714000</v>
      </c>
      <c r="G100" s="472">
        <f t="shared" si="2"/>
        <v>4.8865292138924789E-3</v>
      </c>
    </row>
    <row r="101" spans="1:7">
      <c r="A101" s="455">
        <v>48</v>
      </c>
      <c r="B101" s="454" t="s">
        <v>748</v>
      </c>
      <c r="C101" s="555" t="s">
        <v>613</v>
      </c>
      <c r="D101" s="146">
        <v>3200</v>
      </c>
      <c r="E101" s="146">
        <v>235</v>
      </c>
      <c r="F101" s="452">
        <v>677818</v>
      </c>
      <c r="G101" s="472">
        <f t="shared" si="2"/>
        <v>4.6389040037845553E-3</v>
      </c>
    </row>
    <row r="102" spans="1:7">
      <c r="A102" s="455">
        <v>49</v>
      </c>
      <c r="B102" s="454" t="s">
        <v>461</v>
      </c>
      <c r="C102" s="453" t="s">
        <v>612</v>
      </c>
      <c r="D102" s="146">
        <v>4000</v>
      </c>
      <c r="E102" s="146">
        <v>205</v>
      </c>
      <c r="F102" s="452">
        <v>673636</v>
      </c>
      <c r="G102" s="472">
        <f t="shared" si="2"/>
        <v>4.6102829041031849E-3</v>
      </c>
    </row>
    <row r="103" spans="1:7">
      <c r="A103" s="455">
        <v>50</v>
      </c>
      <c r="B103" s="454" t="s">
        <v>748</v>
      </c>
      <c r="C103" s="453" t="s">
        <v>610</v>
      </c>
      <c r="D103" s="146">
        <v>3500</v>
      </c>
      <c r="E103" s="146">
        <v>216</v>
      </c>
      <c r="F103" s="452">
        <v>658637</v>
      </c>
      <c r="G103" s="472">
        <f t="shared" si="2"/>
        <v>4.5076315712191889E-3</v>
      </c>
    </row>
    <row r="104" spans="1:7">
      <c r="A104" s="455">
        <v>51</v>
      </c>
      <c r="B104" s="454" t="s">
        <v>750</v>
      </c>
      <c r="C104" s="555" t="s">
        <v>609</v>
      </c>
      <c r="D104" s="146">
        <v>3200</v>
      </c>
      <c r="E104" s="146">
        <v>228</v>
      </c>
      <c r="F104" s="452">
        <v>654543</v>
      </c>
      <c r="G104" s="472">
        <f t="shared" si="2"/>
        <v>4.4796127328414915E-3</v>
      </c>
    </row>
    <row r="105" spans="1:7">
      <c r="A105" s="455">
        <v>52</v>
      </c>
      <c r="B105" s="454" t="s">
        <v>461</v>
      </c>
      <c r="C105" s="453" t="s">
        <v>608</v>
      </c>
      <c r="D105" s="146">
        <v>3500</v>
      </c>
      <c r="E105" s="146">
        <v>212</v>
      </c>
      <c r="F105" s="452">
        <v>649089</v>
      </c>
      <c r="G105" s="472">
        <f t="shared" si="2"/>
        <v>4.4422862197706662E-3</v>
      </c>
    </row>
    <row r="106" spans="1:7">
      <c r="A106" s="455">
        <v>53</v>
      </c>
      <c r="B106" s="454" t="s">
        <v>750</v>
      </c>
      <c r="C106" s="555" t="s">
        <v>237</v>
      </c>
      <c r="D106" s="146">
        <v>3000</v>
      </c>
      <c r="E106" s="146">
        <v>241</v>
      </c>
      <c r="F106" s="452">
        <v>643636</v>
      </c>
      <c r="G106" s="472">
        <f t="shared" si="2"/>
        <v>4.404966550578291E-3</v>
      </c>
    </row>
    <row r="107" spans="1:7">
      <c r="A107" s="455">
        <v>54</v>
      </c>
      <c r="B107" s="454" t="s">
        <v>750</v>
      </c>
      <c r="C107" s="555" t="s">
        <v>603</v>
      </c>
      <c r="D107" s="146">
        <v>3000</v>
      </c>
      <c r="E107" s="146">
        <v>231</v>
      </c>
      <c r="F107" s="452">
        <v>621817</v>
      </c>
      <c r="G107" s="472">
        <f t="shared" si="2"/>
        <v>4.2556399666596354E-3</v>
      </c>
    </row>
    <row r="108" spans="1:7">
      <c r="A108" s="455">
        <v>55</v>
      </c>
      <c r="B108" s="454" t="s">
        <v>748</v>
      </c>
      <c r="C108" s="555" t="s">
        <v>251</v>
      </c>
      <c r="D108" s="146">
        <v>3500</v>
      </c>
      <c r="E108" s="146">
        <v>200</v>
      </c>
      <c r="F108" s="452">
        <v>614091</v>
      </c>
      <c r="G108" s="472">
        <f t="shared" si="2"/>
        <v>4.2027641617485246E-3</v>
      </c>
    </row>
    <row r="109" spans="1:7">
      <c r="A109" s="455">
        <v>56</v>
      </c>
      <c r="B109" s="454" t="s">
        <v>748</v>
      </c>
      <c r="C109" s="453" t="s">
        <v>602</v>
      </c>
      <c r="D109" s="146">
        <v>4500</v>
      </c>
      <c r="E109" s="146">
        <v>158</v>
      </c>
      <c r="F109" s="452">
        <v>608591</v>
      </c>
      <c r="G109" s="472">
        <f t="shared" si="2"/>
        <v>4.1651228302689606E-3</v>
      </c>
    </row>
    <row r="110" spans="1:7">
      <c r="A110" s="455">
        <v>57</v>
      </c>
      <c r="B110" s="454" t="s">
        <v>750</v>
      </c>
      <c r="C110" s="555" t="s">
        <v>239</v>
      </c>
      <c r="D110" s="146">
        <v>3000</v>
      </c>
      <c r="E110" s="146">
        <v>222</v>
      </c>
      <c r="F110" s="452">
        <v>594544</v>
      </c>
      <c r="G110" s="472">
        <f t="shared" si="2"/>
        <v>4.0689868696701546E-3</v>
      </c>
    </row>
    <row r="111" spans="1:7">
      <c r="A111" s="455">
        <v>58</v>
      </c>
      <c r="B111" s="454" t="s">
        <v>461</v>
      </c>
      <c r="C111" s="555" t="s">
        <v>598</v>
      </c>
      <c r="D111" s="146">
        <v>3000</v>
      </c>
      <c r="E111" s="146">
        <v>222</v>
      </c>
      <c r="F111" s="452">
        <v>589093</v>
      </c>
      <c r="G111" s="472">
        <f t="shared" si="2"/>
        <v>4.0316808882346813E-3</v>
      </c>
    </row>
    <row r="112" spans="1:7">
      <c r="A112" s="455">
        <v>59</v>
      </c>
      <c r="B112" s="454" t="s">
        <v>748</v>
      </c>
      <c r="C112" s="453" t="s">
        <v>597</v>
      </c>
      <c r="D112" s="146">
        <v>4000</v>
      </c>
      <c r="E112" s="146">
        <v>160</v>
      </c>
      <c r="F112" s="452">
        <v>564544</v>
      </c>
      <c r="G112" s="472">
        <f t="shared" si="2"/>
        <v>3.8636705161452603E-3</v>
      </c>
    </row>
    <row r="113" spans="1:7">
      <c r="A113" s="455">
        <v>60</v>
      </c>
      <c r="B113" s="454" t="s">
        <v>748</v>
      </c>
      <c r="C113" s="453" t="s">
        <v>596</v>
      </c>
      <c r="D113" s="146">
        <v>3800</v>
      </c>
      <c r="E113" s="146">
        <v>177</v>
      </c>
      <c r="F113" s="452">
        <v>554456</v>
      </c>
      <c r="G113" s="472">
        <f t="shared" si="2"/>
        <v>3.7946294703332891E-3</v>
      </c>
    </row>
    <row r="114" spans="1:7">
      <c r="A114" s="455">
        <v>61</v>
      </c>
      <c r="B114" s="454" t="s">
        <v>750</v>
      </c>
      <c r="C114" s="453" t="s">
        <v>593</v>
      </c>
      <c r="D114" s="146">
        <v>3500</v>
      </c>
      <c r="E114" s="146">
        <v>182</v>
      </c>
      <c r="F114" s="452">
        <v>537728</v>
      </c>
      <c r="G114" s="472">
        <f t="shared" si="2"/>
        <v>3.6801450716078083E-3</v>
      </c>
    </row>
    <row r="115" spans="1:7">
      <c r="A115" s="455">
        <v>62</v>
      </c>
      <c r="B115" s="454" t="s">
        <v>461</v>
      </c>
      <c r="C115" s="555" t="s">
        <v>592</v>
      </c>
      <c r="D115" s="146">
        <v>3500</v>
      </c>
      <c r="E115" s="146">
        <v>178</v>
      </c>
      <c r="F115" s="452">
        <v>534545</v>
      </c>
      <c r="G115" s="472">
        <f t="shared" si="2"/>
        <v>3.6583610064988168E-3</v>
      </c>
    </row>
    <row r="116" spans="1:7">
      <c r="A116" s="455">
        <v>63</v>
      </c>
      <c r="B116" s="454" t="s">
        <v>461</v>
      </c>
      <c r="C116" s="555" t="s">
        <v>240</v>
      </c>
      <c r="D116" s="146">
        <v>3000</v>
      </c>
      <c r="E116" s="146">
        <v>200</v>
      </c>
      <c r="F116" s="452">
        <v>531819</v>
      </c>
      <c r="G116" s="472">
        <f t="shared" si="2"/>
        <v>3.6397045938418547E-3</v>
      </c>
    </row>
    <row r="117" spans="1:7">
      <c r="A117" s="455">
        <v>64</v>
      </c>
      <c r="B117" s="454" t="s">
        <v>748</v>
      </c>
      <c r="C117" s="453" t="s">
        <v>591</v>
      </c>
      <c r="D117" s="146">
        <v>3500</v>
      </c>
      <c r="E117" s="146">
        <v>166</v>
      </c>
      <c r="F117" s="452">
        <v>510363</v>
      </c>
      <c r="G117" s="472">
        <f t="shared" si="2"/>
        <v>3.4928623378008504E-3</v>
      </c>
    </row>
    <row r="118" spans="1:7">
      <c r="A118" s="455">
        <v>65</v>
      </c>
      <c r="B118" s="454" t="s">
        <v>582</v>
      </c>
      <c r="C118" s="453" t="s">
        <v>590</v>
      </c>
      <c r="D118" s="146">
        <v>3500</v>
      </c>
      <c r="E118" s="146">
        <v>165</v>
      </c>
      <c r="F118" s="452">
        <v>493182</v>
      </c>
      <c r="G118" s="472">
        <f t="shared" ref="G118:G149" si="3">F118/$F$171</f>
        <v>3.3752776621371436E-3</v>
      </c>
    </row>
    <row r="119" spans="1:7">
      <c r="A119" s="455">
        <v>66</v>
      </c>
      <c r="B119" s="454" t="s">
        <v>750</v>
      </c>
      <c r="C119" s="453" t="s">
        <v>589</v>
      </c>
      <c r="D119" s="146">
        <v>2500</v>
      </c>
      <c r="E119" s="146">
        <v>218</v>
      </c>
      <c r="F119" s="452">
        <v>493181</v>
      </c>
      <c r="G119" s="472">
        <f t="shared" si="3"/>
        <v>3.3752708182586931E-3</v>
      </c>
    </row>
    <row r="120" spans="1:7">
      <c r="A120" s="455">
        <v>67</v>
      </c>
      <c r="B120" s="454" t="s">
        <v>461</v>
      </c>
      <c r="C120" s="555" t="s">
        <v>588</v>
      </c>
      <c r="D120" s="146">
        <v>3000</v>
      </c>
      <c r="E120" s="146">
        <v>196</v>
      </c>
      <c r="F120" s="452">
        <v>485454</v>
      </c>
      <c r="G120" s="472">
        <f t="shared" si="3"/>
        <v>3.3223881694691309E-3</v>
      </c>
    </row>
    <row r="121" spans="1:7">
      <c r="A121" s="455">
        <v>68</v>
      </c>
      <c r="B121" s="454" t="s">
        <v>461</v>
      </c>
      <c r="C121" s="453" t="s">
        <v>587</v>
      </c>
      <c r="D121" s="146">
        <v>4200</v>
      </c>
      <c r="E121" s="146">
        <v>127</v>
      </c>
      <c r="F121" s="452">
        <v>481091</v>
      </c>
      <c r="G121" s="472">
        <f t="shared" si="3"/>
        <v>3.2925283277881606E-3</v>
      </c>
    </row>
    <row r="122" spans="1:7">
      <c r="A122" s="455">
        <v>69</v>
      </c>
      <c r="B122" s="454" t="s">
        <v>748</v>
      </c>
      <c r="C122" s="453" t="s">
        <v>583</v>
      </c>
      <c r="D122" s="146">
        <v>3500</v>
      </c>
      <c r="E122" s="146">
        <v>158</v>
      </c>
      <c r="F122" s="452">
        <v>471364</v>
      </c>
      <c r="G122" s="472">
        <f t="shared" si="3"/>
        <v>3.2259579220969394E-3</v>
      </c>
    </row>
    <row r="123" spans="1:7">
      <c r="A123" s="455">
        <v>70</v>
      </c>
      <c r="B123" s="454" t="s">
        <v>748</v>
      </c>
      <c r="C123" s="453" t="s">
        <v>581</v>
      </c>
      <c r="D123" s="146">
        <v>4200</v>
      </c>
      <c r="E123" s="146">
        <v>128</v>
      </c>
      <c r="F123" s="452">
        <v>469636</v>
      </c>
      <c r="G123" s="472">
        <f t="shared" si="3"/>
        <v>3.2141317001339051E-3</v>
      </c>
    </row>
    <row r="124" spans="1:7">
      <c r="A124" s="455">
        <v>71</v>
      </c>
      <c r="B124" s="454" t="s">
        <v>748</v>
      </c>
      <c r="C124" s="453" t="s">
        <v>576</v>
      </c>
      <c r="D124" s="146">
        <v>3500</v>
      </c>
      <c r="E124" s="146">
        <v>151</v>
      </c>
      <c r="F124" s="452">
        <v>455001</v>
      </c>
      <c r="G124" s="472">
        <f t="shared" si="3"/>
        <v>3.1139715390060109E-3</v>
      </c>
    </row>
    <row r="125" spans="1:7">
      <c r="A125" s="455">
        <v>72</v>
      </c>
      <c r="B125" s="454" t="s">
        <v>461</v>
      </c>
      <c r="C125" s="555" t="s">
        <v>252</v>
      </c>
      <c r="D125" s="146">
        <v>3500</v>
      </c>
      <c r="E125" s="146">
        <v>152</v>
      </c>
      <c r="F125" s="452">
        <v>442272</v>
      </c>
      <c r="G125" s="472">
        <f t="shared" si="3"/>
        <v>3.0268558102053986E-3</v>
      </c>
    </row>
    <row r="126" spans="1:7">
      <c r="A126" s="455">
        <v>73</v>
      </c>
      <c r="B126" s="454" t="s">
        <v>749</v>
      </c>
      <c r="C126" s="453" t="s">
        <v>567</v>
      </c>
      <c r="D126" s="146">
        <v>4500</v>
      </c>
      <c r="E126" s="146">
        <v>107</v>
      </c>
      <c r="F126" s="452">
        <v>426817</v>
      </c>
      <c r="G126" s="472">
        <f t="shared" si="3"/>
        <v>2.9210836687478241E-3</v>
      </c>
    </row>
    <row r="127" spans="1:7">
      <c r="A127" s="455">
        <v>74</v>
      </c>
      <c r="B127" s="454" t="s">
        <v>748</v>
      </c>
      <c r="C127" s="555" t="s">
        <v>565</v>
      </c>
      <c r="D127" s="146">
        <v>3200</v>
      </c>
      <c r="E127" s="146">
        <v>149</v>
      </c>
      <c r="F127" s="452">
        <v>415999</v>
      </c>
      <c r="G127" s="472">
        <f t="shared" si="3"/>
        <v>2.8470465916667471E-3</v>
      </c>
    </row>
    <row r="128" spans="1:7">
      <c r="A128" s="455">
        <v>75</v>
      </c>
      <c r="B128" s="454" t="s">
        <v>461</v>
      </c>
      <c r="C128" s="453" t="s">
        <v>563</v>
      </c>
      <c r="D128" s="146">
        <v>4000</v>
      </c>
      <c r="E128" s="146">
        <v>112</v>
      </c>
      <c r="F128" s="452">
        <v>402909</v>
      </c>
      <c r="G128" s="472">
        <f t="shared" si="3"/>
        <v>2.7574602227453848E-3</v>
      </c>
    </row>
    <row r="129" spans="1:7">
      <c r="A129" s="455">
        <v>76</v>
      </c>
      <c r="B129" s="454" t="s">
        <v>748</v>
      </c>
      <c r="C129" s="453" t="s">
        <v>562</v>
      </c>
      <c r="D129" s="146">
        <v>3000</v>
      </c>
      <c r="E129" s="146">
        <v>145</v>
      </c>
      <c r="F129" s="452">
        <v>395454</v>
      </c>
      <c r="G129" s="472">
        <f t="shared" si="3"/>
        <v>2.7064391088944487E-3</v>
      </c>
    </row>
    <row r="130" spans="1:7">
      <c r="A130" s="455">
        <v>77</v>
      </c>
      <c r="B130" s="454" t="s">
        <v>748</v>
      </c>
      <c r="C130" s="555" t="s">
        <v>557</v>
      </c>
      <c r="D130" s="146">
        <v>3000</v>
      </c>
      <c r="E130" s="146">
        <v>124</v>
      </c>
      <c r="F130" s="452">
        <v>335454</v>
      </c>
      <c r="G130" s="472">
        <f t="shared" si="3"/>
        <v>2.2958064018446605E-3</v>
      </c>
    </row>
    <row r="131" spans="1:7">
      <c r="A131" s="455">
        <v>78</v>
      </c>
      <c r="B131" s="454" t="s">
        <v>748</v>
      </c>
      <c r="C131" s="555" t="s">
        <v>556</v>
      </c>
      <c r="D131" s="146">
        <v>3500</v>
      </c>
      <c r="E131" s="146">
        <v>112</v>
      </c>
      <c r="F131" s="452">
        <v>334093</v>
      </c>
      <c r="G131" s="472">
        <f t="shared" si="3"/>
        <v>2.2864918832730813E-3</v>
      </c>
    </row>
    <row r="132" spans="1:7">
      <c r="A132" s="455">
        <v>79</v>
      </c>
      <c r="B132" s="454" t="s">
        <v>748</v>
      </c>
      <c r="C132" s="453" t="s">
        <v>555</v>
      </c>
      <c r="D132" s="146">
        <v>4300</v>
      </c>
      <c r="E132" s="146">
        <v>87</v>
      </c>
      <c r="F132" s="452">
        <v>328363</v>
      </c>
      <c r="G132" s="472">
        <f t="shared" si="3"/>
        <v>2.2472764597498266E-3</v>
      </c>
    </row>
    <row r="133" spans="1:7">
      <c r="A133" s="455">
        <v>80</v>
      </c>
      <c r="B133" s="454" t="s">
        <v>748</v>
      </c>
      <c r="C133" s="453" t="s">
        <v>553</v>
      </c>
      <c r="D133" s="146">
        <v>4500</v>
      </c>
      <c r="E133" s="146">
        <v>84</v>
      </c>
      <c r="F133" s="452">
        <v>327728</v>
      </c>
      <c r="G133" s="472">
        <f t="shared" si="3"/>
        <v>2.2429305969335496E-3</v>
      </c>
    </row>
    <row r="134" spans="1:7">
      <c r="A134" s="455">
        <v>81</v>
      </c>
      <c r="B134" s="454" t="s">
        <v>748</v>
      </c>
      <c r="C134" s="453" t="s">
        <v>550</v>
      </c>
      <c r="D134" s="146">
        <v>4500</v>
      </c>
      <c r="E134" s="146">
        <v>74</v>
      </c>
      <c r="F134" s="452">
        <v>302728</v>
      </c>
      <c r="G134" s="472">
        <f t="shared" si="3"/>
        <v>2.0718336356628044E-3</v>
      </c>
    </row>
    <row r="135" spans="1:7">
      <c r="A135" s="455">
        <v>82</v>
      </c>
      <c r="B135" s="454" t="s">
        <v>748</v>
      </c>
      <c r="C135" s="453" t="s">
        <v>547</v>
      </c>
      <c r="D135" s="146">
        <v>4200</v>
      </c>
      <c r="E135" s="146">
        <v>75</v>
      </c>
      <c r="F135" s="452">
        <v>278727</v>
      </c>
      <c r="G135" s="472">
        <f t="shared" si="3"/>
        <v>1.9075737089644385E-3</v>
      </c>
    </row>
    <row r="136" spans="1:7">
      <c r="A136" s="455">
        <v>83</v>
      </c>
      <c r="B136" s="454" t="s">
        <v>748</v>
      </c>
      <c r="C136" s="555" t="s">
        <v>546</v>
      </c>
      <c r="D136" s="146">
        <v>3000</v>
      </c>
      <c r="E136" s="146">
        <v>103</v>
      </c>
      <c r="F136" s="452">
        <v>275453</v>
      </c>
      <c r="G136" s="472">
        <f t="shared" si="3"/>
        <v>1.8851668509164217E-3</v>
      </c>
    </row>
    <row r="137" spans="1:7">
      <c r="A137" s="455">
        <v>84</v>
      </c>
      <c r="B137" s="454" t="s">
        <v>748</v>
      </c>
      <c r="C137" s="453" t="s">
        <v>545</v>
      </c>
      <c r="D137" s="146">
        <v>4200</v>
      </c>
      <c r="E137" s="146">
        <v>71</v>
      </c>
      <c r="F137" s="452">
        <v>271090</v>
      </c>
      <c r="G137" s="472">
        <f t="shared" si="3"/>
        <v>1.8553070092354512E-3</v>
      </c>
    </row>
    <row r="138" spans="1:7">
      <c r="A138" s="455">
        <v>85</v>
      </c>
      <c r="B138" s="454" t="s">
        <v>748</v>
      </c>
      <c r="C138" s="555" t="s">
        <v>238</v>
      </c>
      <c r="D138" s="146">
        <v>3000</v>
      </c>
      <c r="E138" s="146">
        <v>97</v>
      </c>
      <c r="F138" s="452">
        <v>259092</v>
      </c>
      <c r="G138" s="472">
        <f t="shared" si="3"/>
        <v>1.7731941555823953E-3</v>
      </c>
    </row>
    <row r="139" spans="1:7">
      <c r="A139" s="455">
        <v>86</v>
      </c>
      <c r="B139" s="454" t="s">
        <v>748</v>
      </c>
      <c r="C139" s="453" t="s">
        <v>540</v>
      </c>
      <c r="D139" s="146">
        <v>4300</v>
      </c>
      <c r="E139" s="146">
        <v>69</v>
      </c>
      <c r="F139" s="452">
        <v>250091</v>
      </c>
      <c r="G139" s="472">
        <f t="shared" si="3"/>
        <v>1.7115924056464763E-3</v>
      </c>
    </row>
    <row r="140" spans="1:7">
      <c r="A140" s="455">
        <v>87</v>
      </c>
      <c r="B140" s="454" t="s">
        <v>748</v>
      </c>
      <c r="C140" s="453" t="s">
        <v>536</v>
      </c>
      <c r="D140" s="146">
        <v>4200</v>
      </c>
      <c r="E140" s="146">
        <v>53</v>
      </c>
      <c r="F140" s="452">
        <v>202364</v>
      </c>
      <c r="G140" s="472">
        <f t="shared" si="3"/>
        <v>1.3849546188237222E-3</v>
      </c>
    </row>
    <row r="141" spans="1:7">
      <c r="A141" s="455">
        <v>88</v>
      </c>
      <c r="B141" s="454" t="s">
        <v>748</v>
      </c>
      <c r="C141" s="555" t="s">
        <v>535</v>
      </c>
      <c r="D141" s="146">
        <v>3000</v>
      </c>
      <c r="E141" s="146">
        <v>73</v>
      </c>
      <c r="F141" s="452">
        <v>199091</v>
      </c>
      <c r="G141" s="472">
        <f t="shared" si="3"/>
        <v>1.3625546046541564E-3</v>
      </c>
    </row>
    <row r="142" spans="1:7">
      <c r="A142" s="455">
        <v>89</v>
      </c>
      <c r="B142" s="454" t="s">
        <v>748</v>
      </c>
      <c r="C142" s="555" t="s">
        <v>531</v>
      </c>
      <c r="D142" s="146">
        <v>3000</v>
      </c>
      <c r="E142" s="146">
        <v>77</v>
      </c>
      <c r="F142" s="452">
        <v>190910</v>
      </c>
      <c r="G142" s="472">
        <f t="shared" si="3"/>
        <v>1.3065648350479176E-3</v>
      </c>
    </row>
    <row r="143" spans="1:7">
      <c r="A143" s="455">
        <v>90</v>
      </c>
      <c r="B143" s="454" t="s">
        <v>748</v>
      </c>
      <c r="C143" s="555" t="s">
        <v>253</v>
      </c>
      <c r="D143" s="146">
        <v>3500</v>
      </c>
      <c r="E143" s="146">
        <v>64</v>
      </c>
      <c r="F143" s="452">
        <v>187728</v>
      </c>
      <c r="G143" s="472">
        <f t="shared" si="3"/>
        <v>1.2847876138173773E-3</v>
      </c>
    </row>
    <row r="144" spans="1:7">
      <c r="A144" s="455">
        <v>91</v>
      </c>
      <c r="B144" s="454" t="s">
        <v>748</v>
      </c>
      <c r="C144" s="555" t="s">
        <v>529</v>
      </c>
      <c r="D144" s="146">
        <v>3500</v>
      </c>
      <c r="E144" s="146">
        <v>58</v>
      </c>
      <c r="F144" s="452">
        <v>178181</v>
      </c>
      <c r="G144" s="472">
        <f t="shared" si="3"/>
        <v>1.2194491062473051E-3</v>
      </c>
    </row>
    <row r="145" spans="1:7">
      <c r="A145" s="455">
        <v>92</v>
      </c>
      <c r="B145" s="454" t="s">
        <v>748</v>
      </c>
      <c r="C145" s="555" t="s">
        <v>527</v>
      </c>
      <c r="D145" s="146">
        <v>3000</v>
      </c>
      <c r="E145" s="146">
        <v>65</v>
      </c>
      <c r="F145" s="452">
        <v>171817</v>
      </c>
      <c r="G145" s="472">
        <f t="shared" si="3"/>
        <v>1.1758946637862241E-3</v>
      </c>
    </row>
    <row r="146" spans="1:7">
      <c r="A146" s="455">
        <v>93</v>
      </c>
      <c r="B146" s="454" t="s">
        <v>748</v>
      </c>
      <c r="C146" s="453" t="s">
        <v>523</v>
      </c>
      <c r="D146" s="146">
        <v>4000</v>
      </c>
      <c r="E146" s="146">
        <v>38</v>
      </c>
      <c r="F146" s="452">
        <v>135636</v>
      </c>
      <c r="G146" s="472">
        <f t="shared" si="3"/>
        <v>9.2827629755675117E-4</v>
      </c>
    </row>
    <row r="147" spans="1:7">
      <c r="A147" s="455">
        <v>94</v>
      </c>
      <c r="B147" s="454" t="s">
        <v>748</v>
      </c>
      <c r="C147" s="453" t="s">
        <v>521</v>
      </c>
      <c r="D147" s="146">
        <v>4300</v>
      </c>
      <c r="E147" s="146">
        <v>32</v>
      </c>
      <c r="F147" s="452">
        <v>125091</v>
      </c>
      <c r="G147" s="472">
        <f t="shared" si="3"/>
        <v>8.5610759929275089E-4</v>
      </c>
    </row>
    <row r="148" spans="1:7">
      <c r="A148" s="455">
        <v>95</v>
      </c>
      <c r="B148" s="454" t="s">
        <v>748</v>
      </c>
      <c r="C148" s="453" t="s">
        <v>520</v>
      </c>
      <c r="D148" s="146">
        <v>4000</v>
      </c>
      <c r="E148" s="146">
        <v>35</v>
      </c>
      <c r="F148" s="452">
        <v>123635</v>
      </c>
      <c r="G148" s="472">
        <f t="shared" si="3"/>
        <v>8.4614291226834271E-4</v>
      </c>
    </row>
    <row r="149" spans="1:7">
      <c r="A149" s="455">
        <v>96</v>
      </c>
      <c r="B149" s="454" t="s">
        <v>748</v>
      </c>
      <c r="C149" s="453" t="s">
        <v>516</v>
      </c>
      <c r="D149" s="146">
        <v>4000</v>
      </c>
      <c r="E149" s="146">
        <v>30</v>
      </c>
      <c r="F149" s="452">
        <v>109090</v>
      </c>
      <c r="G149" s="472">
        <f t="shared" si="3"/>
        <v>7.4659870020102315E-4</v>
      </c>
    </row>
    <row r="150" spans="1:7">
      <c r="A150" s="455">
        <v>97</v>
      </c>
      <c r="B150" s="454" t="s">
        <v>748</v>
      </c>
      <c r="C150" s="453" t="s">
        <v>515</v>
      </c>
      <c r="D150" s="146">
        <v>2000</v>
      </c>
      <c r="E150" s="146">
        <v>59</v>
      </c>
      <c r="F150" s="452">
        <v>107273</v>
      </c>
      <c r="G150" s="472">
        <f t="shared" ref="G150:G170" si="4">F150/$F$171</f>
        <v>7.3416337305586541E-4</v>
      </c>
    </row>
    <row r="151" spans="1:7">
      <c r="A151" s="455">
        <v>98</v>
      </c>
      <c r="B151" s="454" t="s">
        <v>748</v>
      </c>
      <c r="C151" s="453" t="s">
        <v>513</v>
      </c>
      <c r="D151" s="146">
        <v>4000</v>
      </c>
      <c r="E151" s="146">
        <v>29</v>
      </c>
      <c r="F151" s="452">
        <v>102181</v>
      </c>
      <c r="G151" s="472">
        <f t="shared" si="4"/>
        <v>6.9931434398424011E-4</v>
      </c>
    </row>
    <row r="152" spans="1:7">
      <c r="A152" s="455">
        <v>99</v>
      </c>
      <c r="B152" s="454" t="s">
        <v>748</v>
      </c>
      <c r="C152" s="453" t="s">
        <v>508</v>
      </c>
      <c r="D152" s="146">
        <v>4500</v>
      </c>
      <c r="E152" s="146">
        <v>22</v>
      </c>
      <c r="F152" s="452">
        <v>80001</v>
      </c>
      <c r="G152" s="472">
        <f t="shared" si="4"/>
        <v>5.4751711994483507E-4</v>
      </c>
    </row>
    <row r="153" spans="1:7">
      <c r="A153" s="455">
        <v>100</v>
      </c>
      <c r="B153" s="454" t="s">
        <v>748</v>
      </c>
      <c r="C153" s="453" t="s">
        <v>507</v>
      </c>
      <c r="D153" s="146">
        <v>4500</v>
      </c>
      <c r="E153" s="146">
        <v>21</v>
      </c>
      <c r="F153" s="452">
        <v>73638</v>
      </c>
      <c r="G153" s="472">
        <f t="shared" si="4"/>
        <v>5.0396952136220498E-4</v>
      </c>
    </row>
    <row r="154" spans="1:7">
      <c r="A154" s="455">
        <v>101</v>
      </c>
      <c r="B154" s="454" t="s">
        <v>748</v>
      </c>
      <c r="C154" s="453" t="s">
        <v>501</v>
      </c>
      <c r="D154" s="146">
        <v>4700</v>
      </c>
      <c r="E154" s="146">
        <v>16</v>
      </c>
      <c r="F154" s="452">
        <v>55545</v>
      </c>
      <c r="G154" s="472">
        <f t="shared" si="4"/>
        <v>3.8014322855134142E-4</v>
      </c>
    </row>
    <row r="155" spans="1:7">
      <c r="A155" s="455">
        <v>102</v>
      </c>
      <c r="B155" s="454" t="s">
        <v>748</v>
      </c>
      <c r="C155" s="453" t="s">
        <v>498</v>
      </c>
      <c r="D155" s="146">
        <v>4000</v>
      </c>
      <c r="E155" s="146">
        <v>11</v>
      </c>
      <c r="F155" s="452">
        <v>42273</v>
      </c>
      <c r="G155" s="472">
        <f t="shared" si="4"/>
        <v>2.8931127375192824E-4</v>
      </c>
    </row>
    <row r="156" spans="1:7">
      <c r="A156" s="455">
        <v>103</v>
      </c>
      <c r="B156" s="454" t="s">
        <v>748</v>
      </c>
      <c r="C156" s="453" t="s">
        <v>497</v>
      </c>
      <c r="D156" s="146">
        <v>4000</v>
      </c>
      <c r="E156" s="146">
        <v>10</v>
      </c>
      <c r="F156" s="452">
        <v>36363</v>
      </c>
      <c r="G156" s="472">
        <f t="shared" si="4"/>
        <v>2.4886395210752411E-4</v>
      </c>
    </row>
    <row r="157" spans="1:7">
      <c r="A157" s="455">
        <v>104</v>
      </c>
      <c r="B157" s="454" t="s">
        <v>748</v>
      </c>
      <c r="C157" s="453" t="s">
        <v>496</v>
      </c>
      <c r="D157" s="146">
        <v>3500</v>
      </c>
      <c r="E157" s="146">
        <v>12</v>
      </c>
      <c r="F157" s="452">
        <v>35000</v>
      </c>
      <c r="G157" s="472">
        <f t="shared" si="4"/>
        <v>2.395357457790431E-4</v>
      </c>
    </row>
    <row r="158" spans="1:7">
      <c r="A158" s="455">
        <v>105</v>
      </c>
      <c r="B158" s="454" t="s">
        <v>748</v>
      </c>
      <c r="C158" s="453" t="s">
        <v>495</v>
      </c>
      <c r="D158" s="146">
        <v>3500</v>
      </c>
      <c r="E158" s="146">
        <v>13</v>
      </c>
      <c r="F158" s="452">
        <v>35000</v>
      </c>
      <c r="G158" s="472">
        <f t="shared" si="4"/>
        <v>2.395357457790431E-4</v>
      </c>
    </row>
    <row r="159" spans="1:7">
      <c r="A159" s="455">
        <v>106</v>
      </c>
      <c r="B159" s="454" t="s">
        <v>748</v>
      </c>
      <c r="C159" s="555" t="s">
        <v>250</v>
      </c>
      <c r="D159" s="146">
        <v>3000</v>
      </c>
      <c r="E159" s="146">
        <v>12</v>
      </c>
      <c r="F159" s="452">
        <v>32727</v>
      </c>
      <c r="G159" s="472">
        <f t="shared" si="4"/>
        <v>2.2397961006030695E-4</v>
      </c>
    </row>
    <row r="160" spans="1:7">
      <c r="A160" s="455">
        <v>107</v>
      </c>
      <c r="B160" s="454" t="s">
        <v>748</v>
      </c>
      <c r="C160" s="453" t="s">
        <v>493</v>
      </c>
      <c r="D160" s="146">
        <v>3500</v>
      </c>
      <c r="E160" s="146">
        <v>12</v>
      </c>
      <c r="F160" s="452">
        <v>31818</v>
      </c>
      <c r="G160" s="472">
        <f t="shared" si="4"/>
        <v>2.1775852454850267E-4</v>
      </c>
    </row>
    <row r="161" spans="1:7">
      <c r="A161" s="455">
        <v>108</v>
      </c>
      <c r="B161" s="454" t="s">
        <v>748</v>
      </c>
      <c r="C161" s="555" t="s">
        <v>491</v>
      </c>
      <c r="D161" s="146">
        <v>3000</v>
      </c>
      <c r="E161" s="146">
        <v>10</v>
      </c>
      <c r="F161" s="452">
        <v>27273</v>
      </c>
      <c r="G161" s="472">
        <f t="shared" si="4"/>
        <v>1.866530969894812E-4</v>
      </c>
    </row>
    <row r="162" spans="1:7">
      <c r="A162" s="455">
        <v>109</v>
      </c>
      <c r="B162" s="454" t="s">
        <v>748</v>
      </c>
      <c r="C162" s="453" t="s">
        <v>490</v>
      </c>
      <c r="D162" s="146">
        <v>4700</v>
      </c>
      <c r="E162" s="146">
        <v>6</v>
      </c>
      <c r="F162" s="452">
        <v>25636</v>
      </c>
      <c r="G162" s="472">
        <f t="shared" si="4"/>
        <v>1.7544966796547283E-4</v>
      </c>
    </row>
    <row r="163" spans="1:7">
      <c r="A163" s="455">
        <v>110</v>
      </c>
      <c r="B163" s="454" t="s">
        <v>748</v>
      </c>
      <c r="C163" s="453" t="s">
        <v>488</v>
      </c>
      <c r="D163" s="146">
        <v>2000</v>
      </c>
      <c r="E163" s="146">
        <v>11</v>
      </c>
      <c r="F163" s="452">
        <v>24999</v>
      </c>
      <c r="G163" s="472">
        <f t="shared" si="4"/>
        <v>1.7109011739229425E-4</v>
      </c>
    </row>
    <row r="164" spans="1:7">
      <c r="A164" s="455">
        <v>111</v>
      </c>
      <c r="B164" s="454" t="s">
        <v>748</v>
      </c>
      <c r="C164" s="453" t="s">
        <v>485</v>
      </c>
      <c r="D164" s="146">
        <v>3500</v>
      </c>
      <c r="E164" s="146">
        <v>7</v>
      </c>
      <c r="F164" s="452">
        <v>19091</v>
      </c>
      <c r="G164" s="472">
        <f t="shared" si="4"/>
        <v>1.3065648350479178E-4</v>
      </c>
    </row>
    <row r="165" spans="1:7">
      <c r="A165" s="455">
        <v>112</v>
      </c>
      <c r="B165" s="454" t="s">
        <v>748</v>
      </c>
      <c r="C165" s="453" t="s">
        <v>480</v>
      </c>
      <c r="D165" s="146">
        <v>4700</v>
      </c>
      <c r="E165" s="146">
        <v>6</v>
      </c>
      <c r="F165" s="452">
        <v>17091</v>
      </c>
      <c r="G165" s="472">
        <f t="shared" si="4"/>
        <v>1.1696872660313216E-4</v>
      </c>
    </row>
    <row r="166" spans="1:7">
      <c r="A166" s="455">
        <v>113</v>
      </c>
      <c r="B166" s="454" t="s">
        <v>748</v>
      </c>
      <c r="C166" s="453" t="s">
        <v>472</v>
      </c>
      <c r="D166" s="146">
        <v>4200</v>
      </c>
      <c r="E166" s="146">
        <v>3</v>
      </c>
      <c r="F166" s="452">
        <v>11455</v>
      </c>
      <c r="G166" s="472">
        <f t="shared" si="4"/>
        <v>7.8396627654255392E-5</v>
      </c>
    </row>
    <row r="167" spans="1:7">
      <c r="A167" s="455">
        <v>114</v>
      </c>
      <c r="B167" s="454" t="s">
        <v>748</v>
      </c>
      <c r="C167" s="453" t="s">
        <v>471</v>
      </c>
      <c r="D167" s="146">
        <v>2500</v>
      </c>
      <c r="E167" s="146">
        <v>4</v>
      </c>
      <c r="F167" s="452">
        <v>9091</v>
      </c>
      <c r="G167" s="472">
        <f t="shared" si="4"/>
        <v>6.2217698996493734E-5</v>
      </c>
    </row>
    <row r="168" spans="1:7">
      <c r="A168" s="455">
        <v>115</v>
      </c>
      <c r="B168" s="454" t="s">
        <v>748</v>
      </c>
      <c r="C168" s="453" t="s">
        <v>469</v>
      </c>
      <c r="D168" s="146">
        <v>2500</v>
      </c>
      <c r="E168" s="146">
        <v>3</v>
      </c>
      <c r="F168" s="452">
        <v>6818</v>
      </c>
      <c r="G168" s="472">
        <f t="shared" si="4"/>
        <v>4.6661563277757593E-5</v>
      </c>
    </row>
    <row r="169" spans="1:7">
      <c r="A169" s="455">
        <v>116</v>
      </c>
      <c r="B169" s="454" t="s">
        <v>748</v>
      </c>
      <c r="C169" s="555" t="s">
        <v>464</v>
      </c>
      <c r="D169" s="146">
        <v>2000</v>
      </c>
      <c r="E169" s="146">
        <v>3</v>
      </c>
      <c r="F169" s="452">
        <v>5454</v>
      </c>
      <c r="G169" s="472">
        <f t="shared" si="4"/>
        <v>3.7326513070825742E-5</v>
      </c>
    </row>
    <row r="170" spans="1:7" ht="17.25" thickBot="1">
      <c r="A170" s="455">
        <v>117</v>
      </c>
      <c r="B170" s="478" t="s">
        <v>748</v>
      </c>
      <c r="C170" s="477" t="s">
        <v>460</v>
      </c>
      <c r="D170" s="122">
        <v>3500</v>
      </c>
      <c r="E170" s="122">
        <v>3</v>
      </c>
      <c r="F170" s="476">
        <v>3182</v>
      </c>
      <c r="G170" s="475">
        <f t="shared" si="4"/>
        <v>2.1777221230540433E-5</v>
      </c>
    </row>
    <row r="171" spans="1:7" ht="17.25" thickBot="1">
      <c r="A171" s="767" t="s">
        <v>747</v>
      </c>
      <c r="B171" s="767"/>
      <c r="C171" s="767"/>
      <c r="D171" s="767"/>
      <c r="E171" s="767"/>
      <c r="F171" s="470">
        <f>SUM(F54:F170)</f>
        <v>146115979</v>
      </c>
      <c r="G171" s="471">
        <f>F171/F288</f>
        <v>0.21906611359916364</v>
      </c>
    </row>
    <row r="172" spans="1:7" ht="17.25" thickBot="1">
      <c r="A172" s="468" t="s">
        <v>746</v>
      </c>
      <c r="B172" s="467" t="s">
        <v>745</v>
      </c>
      <c r="C172" s="466" t="s">
        <v>744</v>
      </c>
      <c r="D172" s="465" t="s">
        <v>743</v>
      </c>
      <c r="E172" s="465" t="s">
        <v>742</v>
      </c>
      <c r="F172" s="464" t="s">
        <v>741</v>
      </c>
      <c r="G172" s="474" t="s">
        <v>712</v>
      </c>
    </row>
    <row r="173" spans="1:7" ht="17.25" thickTop="1">
      <c r="A173" s="455">
        <v>1</v>
      </c>
      <c r="B173" s="454" t="s">
        <v>463</v>
      </c>
      <c r="C173" s="453" t="s">
        <v>695</v>
      </c>
      <c r="D173" s="146">
        <v>3800</v>
      </c>
      <c r="E173" s="146">
        <v>1511</v>
      </c>
      <c r="F173" s="452">
        <v>4827731</v>
      </c>
      <c r="G173" s="473">
        <f t="shared" ref="G173:G219" si="5">F173/$F$220</f>
        <v>8.8058392314737069E-2</v>
      </c>
    </row>
    <row r="174" spans="1:7">
      <c r="A174" s="455">
        <v>2</v>
      </c>
      <c r="B174" s="454" t="s">
        <v>739</v>
      </c>
      <c r="C174" s="453" t="s">
        <v>694</v>
      </c>
      <c r="D174" s="146">
        <v>3500</v>
      </c>
      <c r="E174" s="146">
        <v>1582</v>
      </c>
      <c r="F174" s="452">
        <v>4801972</v>
      </c>
      <c r="G174" s="472">
        <f t="shared" si="5"/>
        <v>8.7588545066074011E-2</v>
      </c>
    </row>
    <row r="175" spans="1:7">
      <c r="A175" s="455">
        <v>3</v>
      </c>
      <c r="B175" s="454" t="s">
        <v>739</v>
      </c>
      <c r="C175" s="453" t="s">
        <v>691</v>
      </c>
      <c r="D175" s="146">
        <v>3500</v>
      </c>
      <c r="E175" s="146">
        <v>1310</v>
      </c>
      <c r="F175" s="452">
        <v>3965185</v>
      </c>
      <c r="G175" s="472">
        <f t="shared" si="5"/>
        <v>7.2325449850149201E-2</v>
      </c>
    </row>
    <row r="176" spans="1:7">
      <c r="A176" s="455">
        <v>4</v>
      </c>
      <c r="B176" s="454" t="s">
        <v>739</v>
      </c>
      <c r="C176" s="453" t="s">
        <v>686</v>
      </c>
      <c r="D176" s="146">
        <v>4000</v>
      </c>
      <c r="E176" s="146">
        <v>1055</v>
      </c>
      <c r="F176" s="452">
        <v>3374360</v>
      </c>
      <c r="G176" s="472">
        <f t="shared" si="5"/>
        <v>6.1548731006585942E-2</v>
      </c>
    </row>
    <row r="177" spans="1:7">
      <c r="A177" s="455">
        <v>5</v>
      </c>
      <c r="B177" s="454" t="s">
        <v>739</v>
      </c>
      <c r="C177" s="453" t="s">
        <v>681</v>
      </c>
      <c r="D177" s="146">
        <v>3800</v>
      </c>
      <c r="E177" s="146">
        <v>892</v>
      </c>
      <c r="F177" s="452">
        <v>2950711</v>
      </c>
      <c r="G177" s="472">
        <f t="shared" si="5"/>
        <v>5.3821322448456659E-2</v>
      </c>
    </row>
    <row r="178" spans="1:7">
      <c r="A178" s="455">
        <v>6</v>
      </c>
      <c r="B178" s="454" t="s">
        <v>739</v>
      </c>
      <c r="C178" s="555" t="s">
        <v>249</v>
      </c>
      <c r="D178" s="146">
        <v>3000</v>
      </c>
      <c r="E178" s="146">
        <v>900</v>
      </c>
      <c r="F178" s="452">
        <v>2416360</v>
      </c>
      <c r="G178" s="472">
        <f t="shared" si="5"/>
        <v>4.4074696136474474E-2</v>
      </c>
    </row>
    <row r="179" spans="1:7">
      <c r="A179" s="455">
        <v>7</v>
      </c>
      <c r="B179" s="454" t="s">
        <v>739</v>
      </c>
      <c r="C179" s="453" t="s">
        <v>674</v>
      </c>
      <c r="D179" s="146">
        <v>4000</v>
      </c>
      <c r="E179" s="146">
        <v>723</v>
      </c>
      <c r="F179" s="452">
        <v>2277270</v>
      </c>
      <c r="G179" s="472">
        <f t="shared" si="5"/>
        <v>4.1537677858725197E-2</v>
      </c>
    </row>
    <row r="180" spans="1:7">
      <c r="A180" s="455">
        <v>8</v>
      </c>
      <c r="B180" s="454" t="s">
        <v>739</v>
      </c>
      <c r="C180" s="453" t="s">
        <v>673</v>
      </c>
      <c r="D180" s="146">
        <v>3500</v>
      </c>
      <c r="E180" s="146">
        <v>747</v>
      </c>
      <c r="F180" s="452">
        <v>2264546</v>
      </c>
      <c r="G180" s="472">
        <f t="shared" si="5"/>
        <v>4.1305590573039085E-2</v>
      </c>
    </row>
    <row r="181" spans="1:7">
      <c r="A181" s="455">
        <v>9</v>
      </c>
      <c r="B181" s="454" t="s">
        <v>739</v>
      </c>
      <c r="C181" s="453" t="s">
        <v>672</v>
      </c>
      <c r="D181" s="146">
        <v>4300</v>
      </c>
      <c r="E181" s="146">
        <v>677</v>
      </c>
      <c r="F181" s="452">
        <v>2241545</v>
      </c>
      <c r="G181" s="472">
        <f t="shared" si="5"/>
        <v>4.0886049575077257E-2</v>
      </c>
    </row>
    <row r="182" spans="1:7">
      <c r="A182" s="455">
        <v>10</v>
      </c>
      <c r="B182" s="454" t="s">
        <v>739</v>
      </c>
      <c r="C182" s="453" t="s">
        <v>671</v>
      </c>
      <c r="D182" s="146">
        <v>4000</v>
      </c>
      <c r="E182" s="146">
        <v>676</v>
      </c>
      <c r="F182" s="452">
        <v>2199999</v>
      </c>
      <c r="G182" s="472">
        <f t="shared" si="5"/>
        <v>4.012824555345549E-2</v>
      </c>
    </row>
    <row r="183" spans="1:7">
      <c r="A183" s="455">
        <v>11</v>
      </c>
      <c r="B183" s="454" t="s">
        <v>739</v>
      </c>
      <c r="C183" s="453" t="s">
        <v>662</v>
      </c>
      <c r="D183" s="146">
        <v>4000</v>
      </c>
      <c r="E183" s="146">
        <v>588</v>
      </c>
      <c r="F183" s="452">
        <v>1956362</v>
      </c>
      <c r="G183" s="472">
        <f t="shared" si="5"/>
        <v>3.5684277459875798E-2</v>
      </c>
    </row>
    <row r="184" spans="1:7">
      <c r="A184" s="455">
        <v>12</v>
      </c>
      <c r="B184" s="454" t="s">
        <v>739</v>
      </c>
      <c r="C184" s="555" t="s">
        <v>244</v>
      </c>
      <c r="D184" s="146">
        <v>3000</v>
      </c>
      <c r="E184" s="146">
        <v>670</v>
      </c>
      <c r="F184" s="452">
        <v>1808179</v>
      </c>
      <c r="G184" s="472">
        <f t="shared" si="5"/>
        <v>3.2981401771819713E-2</v>
      </c>
    </row>
    <row r="185" spans="1:7">
      <c r="A185" s="455">
        <v>13</v>
      </c>
      <c r="B185" s="454" t="s">
        <v>739</v>
      </c>
      <c r="C185" s="555" t="s">
        <v>247</v>
      </c>
      <c r="D185" s="146">
        <v>3500</v>
      </c>
      <c r="E185" s="146">
        <v>511</v>
      </c>
      <c r="F185" s="452">
        <v>1594090</v>
      </c>
      <c r="G185" s="472">
        <f t="shared" si="5"/>
        <v>2.9076392741227548E-2</v>
      </c>
    </row>
    <row r="186" spans="1:7">
      <c r="A186" s="455">
        <v>14</v>
      </c>
      <c r="B186" s="454" t="s">
        <v>739</v>
      </c>
      <c r="C186" s="453" t="s">
        <v>740</v>
      </c>
      <c r="D186" s="146">
        <v>4300</v>
      </c>
      <c r="E186" s="146">
        <v>507</v>
      </c>
      <c r="F186" s="452">
        <v>1560117</v>
      </c>
      <c r="G186" s="472">
        <f t="shared" si="5"/>
        <v>2.8456721147655212E-2</v>
      </c>
    </row>
    <row r="187" spans="1:7">
      <c r="A187" s="455">
        <v>15</v>
      </c>
      <c r="B187" s="454" t="s">
        <v>739</v>
      </c>
      <c r="C187" s="453" t="s">
        <v>650</v>
      </c>
      <c r="D187" s="146">
        <v>4000</v>
      </c>
      <c r="E187" s="146">
        <v>442</v>
      </c>
      <c r="F187" s="452">
        <v>1432726</v>
      </c>
      <c r="G187" s="472">
        <f t="shared" si="5"/>
        <v>2.613309403268823E-2</v>
      </c>
    </row>
    <row r="188" spans="1:7">
      <c r="A188" s="455">
        <v>16</v>
      </c>
      <c r="B188" s="454" t="s">
        <v>739</v>
      </c>
      <c r="C188" s="453" t="s">
        <v>644</v>
      </c>
      <c r="D188" s="146">
        <v>3800</v>
      </c>
      <c r="E188" s="146">
        <v>401</v>
      </c>
      <c r="F188" s="452">
        <v>1285092</v>
      </c>
      <c r="G188" s="472">
        <f t="shared" si="5"/>
        <v>2.3440232170460634E-2</v>
      </c>
    </row>
    <row r="189" spans="1:7">
      <c r="A189" s="455">
        <v>17</v>
      </c>
      <c r="B189" s="454" t="s">
        <v>739</v>
      </c>
      <c r="C189" s="453" t="s">
        <v>639</v>
      </c>
      <c r="D189" s="146">
        <v>3800</v>
      </c>
      <c r="E189" s="146">
        <v>340</v>
      </c>
      <c r="F189" s="452">
        <v>1084728</v>
      </c>
      <c r="G189" s="472">
        <f t="shared" si="5"/>
        <v>1.9785568785580659E-2</v>
      </c>
    </row>
    <row r="190" spans="1:7">
      <c r="A190" s="455">
        <v>18</v>
      </c>
      <c r="B190" s="454" t="s">
        <v>739</v>
      </c>
      <c r="C190" s="555" t="s">
        <v>246</v>
      </c>
      <c r="D190" s="146">
        <v>3500</v>
      </c>
      <c r="E190" s="146">
        <v>310</v>
      </c>
      <c r="F190" s="452">
        <v>957729</v>
      </c>
      <c r="G190" s="472">
        <f t="shared" si="5"/>
        <v>1.7469091797616895E-2</v>
      </c>
    </row>
    <row r="191" spans="1:7">
      <c r="A191" s="455">
        <v>19</v>
      </c>
      <c r="B191" s="454" t="s">
        <v>739</v>
      </c>
      <c r="C191" s="555" t="s">
        <v>629</v>
      </c>
      <c r="D191" s="146">
        <v>3800</v>
      </c>
      <c r="E191" s="146">
        <v>269</v>
      </c>
      <c r="F191" s="452">
        <v>900910</v>
      </c>
      <c r="G191" s="472">
        <f t="shared" si="5"/>
        <v>1.6432706424668188E-2</v>
      </c>
    </row>
    <row r="192" spans="1:7">
      <c r="A192" s="455">
        <v>20</v>
      </c>
      <c r="B192" s="454" t="s">
        <v>739</v>
      </c>
      <c r="C192" s="555" t="s">
        <v>627</v>
      </c>
      <c r="D192" s="146">
        <v>3000</v>
      </c>
      <c r="E192" s="146">
        <v>321</v>
      </c>
      <c r="F192" s="452">
        <v>861817</v>
      </c>
      <c r="G192" s="472">
        <f t="shared" si="5"/>
        <v>1.5719645417176256E-2</v>
      </c>
    </row>
    <row r="193" spans="1:7">
      <c r="A193" s="455">
        <v>21</v>
      </c>
      <c r="B193" s="454" t="s">
        <v>739</v>
      </c>
      <c r="C193" s="453" t="s">
        <v>626</v>
      </c>
      <c r="D193" s="146">
        <v>4000</v>
      </c>
      <c r="E193" s="146">
        <v>238</v>
      </c>
      <c r="F193" s="452">
        <v>837545</v>
      </c>
      <c r="G193" s="472">
        <f t="shared" si="5"/>
        <v>1.5276921226813685E-2</v>
      </c>
    </row>
    <row r="194" spans="1:7">
      <c r="A194" s="455">
        <v>22</v>
      </c>
      <c r="B194" s="454" t="s">
        <v>739</v>
      </c>
      <c r="C194" s="555" t="s">
        <v>243</v>
      </c>
      <c r="D194" s="146">
        <v>3500</v>
      </c>
      <c r="E194" s="146">
        <v>253</v>
      </c>
      <c r="F194" s="452">
        <v>766363</v>
      </c>
      <c r="G194" s="472">
        <f t="shared" si="5"/>
        <v>1.3978553011652645E-2</v>
      </c>
    </row>
    <row r="195" spans="1:7">
      <c r="A195" s="455">
        <v>23</v>
      </c>
      <c r="B195" s="454" t="s">
        <v>739</v>
      </c>
      <c r="C195" s="453" t="s">
        <v>619</v>
      </c>
      <c r="D195" s="146">
        <v>4300</v>
      </c>
      <c r="E195" s="146">
        <v>232</v>
      </c>
      <c r="F195" s="452">
        <v>735546</v>
      </c>
      <c r="G195" s="472">
        <f t="shared" si="5"/>
        <v>1.3416447236504186E-2</v>
      </c>
    </row>
    <row r="196" spans="1:7">
      <c r="A196" s="455">
        <v>24</v>
      </c>
      <c r="B196" s="454" t="s">
        <v>739</v>
      </c>
      <c r="C196" s="453" t="s">
        <v>618</v>
      </c>
      <c r="D196" s="146">
        <v>4500</v>
      </c>
      <c r="E196" s="146">
        <v>181</v>
      </c>
      <c r="F196" s="452">
        <v>726136</v>
      </c>
      <c r="G196" s="472">
        <f t="shared" si="5"/>
        <v>1.3244807708187119E-2</v>
      </c>
    </row>
    <row r="197" spans="1:7">
      <c r="A197" s="455">
        <v>25</v>
      </c>
      <c r="B197" s="454" t="s">
        <v>739</v>
      </c>
      <c r="C197" s="555" t="s">
        <v>245</v>
      </c>
      <c r="D197" s="146">
        <v>3500</v>
      </c>
      <c r="E197" s="146">
        <v>235</v>
      </c>
      <c r="F197" s="452">
        <v>715910</v>
      </c>
      <c r="G197" s="472">
        <f t="shared" si="5"/>
        <v>1.3058284242026619E-2</v>
      </c>
    </row>
    <row r="198" spans="1:7">
      <c r="A198" s="455">
        <v>26</v>
      </c>
      <c r="B198" s="454" t="s">
        <v>739</v>
      </c>
      <c r="C198" s="453" t="s">
        <v>611</v>
      </c>
      <c r="D198" s="146">
        <v>4000</v>
      </c>
      <c r="E198" s="146">
        <v>210</v>
      </c>
      <c r="F198" s="452">
        <v>669090</v>
      </c>
      <c r="G198" s="472">
        <f t="shared" si="5"/>
        <v>1.2204281828019709E-2</v>
      </c>
    </row>
    <row r="199" spans="1:7">
      <c r="A199" s="455">
        <v>27</v>
      </c>
      <c r="B199" s="454" t="s">
        <v>739</v>
      </c>
      <c r="C199" s="453" t="s">
        <v>601</v>
      </c>
      <c r="D199" s="146">
        <v>4800</v>
      </c>
      <c r="E199" s="146">
        <v>152</v>
      </c>
      <c r="F199" s="452">
        <v>602617</v>
      </c>
      <c r="G199" s="472">
        <f t="shared" si="5"/>
        <v>1.0991806337496829E-2</v>
      </c>
    </row>
    <row r="200" spans="1:7">
      <c r="A200" s="455">
        <v>28</v>
      </c>
      <c r="B200" s="454" t="s">
        <v>739</v>
      </c>
      <c r="C200" s="453" t="s">
        <v>580</v>
      </c>
      <c r="D200" s="146">
        <v>4500</v>
      </c>
      <c r="E200" s="146">
        <v>115</v>
      </c>
      <c r="F200" s="452">
        <v>459046</v>
      </c>
      <c r="G200" s="472">
        <f t="shared" si="5"/>
        <v>8.3730540824480046E-3</v>
      </c>
    </row>
    <row r="201" spans="1:7">
      <c r="A201" s="455">
        <v>29</v>
      </c>
      <c r="B201" s="454" t="s">
        <v>739</v>
      </c>
      <c r="C201" s="453" t="s">
        <v>578</v>
      </c>
      <c r="D201" s="146">
        <v>4000</v>
      </c>
      <c r="E201" s="146">
        <v>134</v>
      </c>
      <c r="F201" s="452">
        <v>458909</v>
      </c>
      <c r="G201" s="472">
        <f t="shared" si="5"/>
        <v>8.3705551860208602E-3</v>
      </c>
    </row>
    <row r="202" spans="1:7">
      <c r="A202" s="455">
        <v>30</v>
      </c>
      <c r="B202" s="454" t="s">
        <v>739</v>
      </c>
      <c r="C202" s="453" t="s">
        <v>570</v>
      </c>
      <c r="D202" s="146">
        <v>4500</v>
      </c>
      <c r="E202" s="146">
        <v>107</v>
      </c>
      <c r="F202" s="452">
        <v>438136</v>
      </c>
      <c r="G202" s="472">
        <f t="shared" si="5"/>
        <v>7.9916531752099763E-3</v>
      </c>
    </row>
    <row r="203" spans="1:7">
      <c r="A203" s="455">
        <v>31</v>
      </c>
      <c r="B203" s="454" t="s">
        <v>739</v>
      </c>
      <c r="C203" s="453" t="s">
        <v>566</v>
      </c>
      <c r="D203" s="146">
        <v>4300</v>
      </c>
      <c r="E203" s="146">
        <v>113</v>
      </c>
      <c r="F203" s="452">
        <v>419508</v>
      </c>
      <c r="G203" s="472">
        <f t="shared" si="5"/>
        <v>7.6518762215978305E-3</v>
      </c>
    </row>
    <row r="204" spans="1:7">
      <c r="A204" s="455">
        <v>32</v>
      </c>
      <c r="B204" s="454" t="s">
        <v>739</v>
      </c>
      <c r="C204" s="555" t="s">
        <v>248</v>
      </c>
      <c r="D204" s="146">
        <v>3500</v>
      </c>
      <c r="E204" s="146">
        <v>133</v>
      </c>
      <c r="F204" s="452">
        <v>416818</v>
      </c>
      <c r="G204" s="472">
        <f t="shared" si="5"/>
        <v>7.6028102990502314E-3</v>
      </c>
    </row>
    <row r="205" spans="1:7">
      <c r="A205" s="455">
        <v>33</v>
      </c>
      <c r="B205" s="454" t="s">
        <v>739</v>
      </c>
      <c r="C205" s="453" t="s">
        <v>564</v>
      </c>
      <c r="D205" s="146">
        <v>4300</v>
      </c>
      <c r="E205" s="146">
        <v>127</v>
      </c>
      <c r="F205" s="452">
        <v>406545</v>
      </c>
      <c r="G205" s="472">
        <f t="shared" si="5"/>
        <v>7.4154295472541407E-3</v>
      </c>
    </row>
    <row r="206" spans="1:7">
      <c r="A206" s="455">
        <v>34</v>
      </c>
      <c r="B206" s="454" t="s">
        <v>739</v>
      </c>
      <c r="C206" s="453" t="s">
        <v>559</v>
      </c>
      <c r="D206" s="146">
        <v>4800</v>
      </c>
      <c r="E206" s="146">
        <v>86</v>
      </c>
      <c r="F206" s="452">
        <v>344728</v>
      </c>
      <c r="G206" s="472">
        <f t="shared" si="5"/>
        <v>6.2878800550143906E-3</v>
      </c>
    </row>
    <row r="207" spans="1:7">
      <c r="A207" s="455">
        <v>35</v>
      </c>
      <c r="B207" s="454" t="s">
        <v>739</v>
      </c>
      <c r="C207" s="453" t="s">
        <v>558</v>
      </c>
      <c r="D207" s="146">
        <v>4500</v>
      </c>
      <c r="E207" s="146">
        <v>89</v>
      </c>
      <c r="F207" s="452">
        <v>336364</v>
      </c>
      <c r="G207" s="472">
        <f t="shared" si="5"/>
        <v>6.135319692119179E-3</v>
      </c>
    </row>
    <row r="208" spans="1:7">
      <c r="A208" s="455">
        <v>36</v>
      </c>
      <c r="B208" s="454" t="s">
        <v>739</v>
      </c>
      <c r="C208" s="453" t="s">
        <v>552</v>
      </c>
      <c r="D208" s="146">
        <v>4000</v>
      </c>
      <c r="E208" s="146">
        <v>93</v>
      </c>
      <c r="F208" s="452">
        <v>327637</v>
      </c>
      <c r="G208" s="472">
        <f t="shared" si="5"/>
        <v>5.976138165698028E-3</v>
      </c>
    </row>
    <row r="209" spans="1:7">
      <c r="A209" s="455">
        <v>37</v>
      </c>
      <c r="B209" s="454" t="s">
        <v>739</v>
      </c>
      <c r="C209" s="453" t="s">
        <v>549</v>
      </c>
      <c r="D209" s="146">
        <v>4300</v>
      </c>
      <c r="E209" s="146">
        <v>73</v>
      </c>
      <c r="F209" s="452">
        <v>285365</v>
      </c>
      <c r="G209" s="472">
        <f t="shared" si="5"/>
        <v>5.2050918170243833E-3</v>
      </c>
    </row>
    <row r="210" spans="1:7">
      <c r="A210" s="455">
        <v>38</v>
      </c>
      <c r="B210" s="454" t="s">
        <v>739</v>
      </c>
      <c r="C210" s="555" t="s">
        <v>548</v>
      </c>
      <c r="D210" s="146">
        <v>3800</v>
      </c>
      <c r="E210" s="146">
        <v>88</v>
      </c>
      <c r="F210" s="452">
        <v>283274</v>
      </c>
      <c r="G210" s="472">
        <f t="shared" si="5"/>
        <v>5.1669517263005799E-3</v>
      </c>
    </row>
    <row r="211" spans="1:7">
      <c r="A211" s="455">
        <v>39</v>
      </c>
      <c r="B211" s="454" t="s">
        <v>739</v>
      </c>
      <c r="C211" s="453" t="s">
        <v>537</v>
      </c>
      <c r="D211" s="146">
        <v>4500</v>
      </c>
      <c r="E211" s="146">
        <v>59</v>
      </c>
      <c r="F211" s="452">
        <v>225002</v>
      </c>
      <c r="G211" s="472">
        <f t="shared" si="5"/>
        <v>4.1040634591282049E-3</v>
      </c>
    </row>
    <row r="212" spans="1:7">
      <c r="A212" s="455">
        <v>40</v>
      </c>
      <c r="B212" s="454" t="s">
        <v>739</v>
      </c>
      <c r="C212" s="453" t="s">
        <v>525</v>
      </c>
      <c r="D212" s="146">
        <v>4500</v>
      </c>
      <c r="E212" s="146">
        <v>38</v>
      </c>
      <c r="F212" s="452">
        <v>147274</v>
      </c>
      <c r="G212" s="472">
        <f t="shared" si="5"/>
        <v>2.6862954190613741E-3</v>
      </c>
    </row>
    <row r="213" spans="1:7">
      <c r="A213" s="455">
        <v>41</v>
      </c>
      <c r="B213" s="454" t="s">
        <v>739</v>
      </c>
      <c r="C213" s="453" t="s">
        <v>514</v>
      </c>
      <c r="D213" s="146">
        <v>4300</v>
      </c>
      <c r="E213" s="146">
        <v>27</v>
      </c>
      <c r="F213" s="452">
        <v>102416</v>
      </c>
      <c r="G213" s="472">
        <f t="shared" si="5"/>
        <v>1.8680801203103717E-3</v>
      </c>
    </row>
    <row r="214" spans="1:7">
      <c r="A214" s="455">
        <v>42</v>
      </c>
      <c r="B214" s="454" t="s">
        <v>739</v>
      </c>
      <c r="C214" s="555" t="s">
        <v>512</v>
      </c>
      <c r="D214" s="146">
        <v>3000</v>
      </c>
      <c r="E214" s="146">
        <v>37</v>
      </c>
      <c r="F214" s="452">
        <v>100909</v>
      </c>
      <c r="G214" s="472">
        <f t="shared" si="5"/>
        <v>1.8405922596117725E-3</v>
      </c>
    </row>
    <row r="215" spans="1:7">
      <c r="A215" s="455">
        <v>43</v>
      </c>
      <c r="B215" s="454" t="s">
        <v>739</v>
      </c>
      <c r="C215" s="453" t="s">
        <v>510</v>
      </c>
      <c r="D215" s="146">
        <v>3500</v>
      </c>
      <c r="E215" s="146">
        <v>28</v>
      </c>
      <c r="F215" s="452">
        <v>82726</v>
      </c>
      <c r="G215" s="472">
        <f t="shared" si="5"/>
        <v>1.5089321593578719E-3</v>
      </c>
    </row>
    <row r="216" spans="1:7">
      <c r="A216" s="455">
        <v>44</v>
      </c>
      <c r="B216" s="454" t="s">
        <v>739</v>
      </c>
      <c r="C216" s="453" t="s">
        <v>509</v>
      </c>
      <c r="D216" s="146">
        <v>4300</v>
      </c>
      <c r="E216" s="146">
        <v>24</v>
      </c>
      <c r="F216" s="452">
        <v>82090</v>
      </c>
      <c r="G216" s="472">
        <f t="shared" si="5"/>
        <v>1.4973314430975473E-3</v>
      </c>
    </row>
    <row r="217" spans="1:7">
      <c r="A217" s="455">
        <v>45</v>
      </c>
      <c r="B217" s="454" t="s">
        <v>739</v>
      </c>
      <c r="C217" s="453" t="s">
        <v>506</v>
      </c>
      <c r="D217" s="146">
        <v>4300</v>
      </c>
      <c r="E217" s="146">
        <v>17</v>
      </c>
      <c r="F217" s="452">
        <v>71000</v>
      </c>
      <c r="G217" s="472">
        <f t="shared" si="5"/>
        <v>1.2950485133381151E-3</v>
      </c>
    </row>
    <row r="218" spans="1:7">
      <c r="A218" s="455">
        <v>46</v>
      </c>
      <c r="B218" s="454" t="s">
        <v>739</v>
      </c>
      <c r="C218" s="453" t="s">
        <v>483</v>
      </c>
      <c r="D218" s="146">
        <v>4000</v>
      </c>
      <c r="E218" s="146">
        <v>5</v>
      </c>
      <c r="F218" s="452">
        <v>18182</v>
      </c>
      <c r="G218" s="472">
        <f t="shared" si="5"/>
        <v>3.316418601339945E-4</v>
      </c>
    </row>
    <row r="219" spans="1:7" ht="17.25" thickBot="1">
      <c r="A219" s="455">
        <v>47</v>
      </c>
      <c r="B219" s="454" t="s">
        <v>739</v>
      </c>
      <c r="C219" s="453" t="s">
        <v>462</v>
      </c>
      <c r="D219" s="146">
        <v>4000</v>
      </c>
      <c r="E219" s="146">
        <v>1</v>
      </c>
      <c r="F219" s="452">
        <v>3636</v>
      </c>
      <c r="G219" s="472">
        <f t="shared" si="5"/>
        <v>6.6321075978836426E-5</v>
      </c>
    </row>
    <row r="220" spans="1:7" ht="17.25" thickBot="1">
      <c r="A220" s="767" t="s">
        <v>738</v>
      </c>
      <c r="B220" s="767"/>
      <c r="C220" s="767"/>
      <c r="D220" s="767"/>
      <c r="E220" s="767"/>
      <c r="F220" s="470">
        <f>SUM(F173:F219)</f>
        <v>54824201</v>
      </c>
      <c r="G220" s="471">
        <f>F220/F288</f>
        <v>8.2195833244558286E-2</v>
      </c>
    </row>
    <row r="221" spans="1:7" ht="17.25" thickBot="1">
      <c r="A221" s="468" t="s">
        <v>734</v>
      </c>
      <c r="B221" s="467" t="s">
        <v>731</v>
      </c>
      <c r="C221" s="466" t="s">
        <v>737</v>
      </c>
      <c r="D221" s="465" t="s">
        <v>729</v>
      </c>
      <c r="E221" s="465" t="s">
        <v>728</v>
      </c>
      <c r="F221" s="464" t="s">
        <v>727</v>
      </c>
      <c r="G221" s="463" t="s">
        <v>726</v>
      </c>
    </row>
    <row r="222" spans="1:7" ht="17.25" thickTop="1">
      <c r="A222" s="455">
        <v>1</v>
      </c>
      <c r="B222" s="454" t="s">
        <v>736</v>
      </c>
      <c r="C222" s="453" t="s">
        <v>703</v>
      </c>
      <c r="D222" s="146">
        <v>2800</v>
      </c>
      <c r="E222" s="146">
        <v>3494</v>
      </c>
      <c r="F222" s="452">
        <v>8770875</v>
      </c>
      <c r="G222" s="457">
        <f t="shared" ref="G222:G252" si="6">F222/$F$253</f>
        <v>0.26802060099686381</v>
      </c>
    </row>
    <row r="223" spans="1:7">
      <c r="A223" s="455">
        <v>2</v>
      </c>
      <c r="B223" s="454" t="s">
        <v>736</v>
      </c>
      <c r="C223" s="453" t="s">
        <v>702</v>
      </c>
      <c r="D223" s="146">
        <v>2700</v>
      </c>
      <c r="E223" s="146">
        <v>3135</v>
      </c>
      <c r="F223" s="452">
        <v>7557887</v>
      </c>
      <c r="G223" s="451">
        <f t="shared" si="6"/>
        <v>0.23095408565352762</v>
      </c>
    </row>
    <row r="224" spans="1:7">
      <c r="A224" s="455">
        <v>3</v>
      </c>
      <c r="B224" s="454" t="s">
        <v>736</v>
      </c>
      <c r="C224" s="453" t="s">
        <v>688</v>
      </c>
      <c r="D224" s="146">
        <v>1800</v>
      </c>
      <c r="E224" s="146">
        <v>2235</v>
      </c>
      <c r="F224" s="452">
        <v>3573282</v>
      </c>
      <c r="G224" s="451">
        <f t="shared" si="6"/>
        <v>0.10919243395570859</v>
      </c>
    </row>
    <row r="225" spans="1:7">
      <c r="A225" s="455">
        <v>4</v>
      </c>
      <c r="B225" s="454" t="s">
        <v>736</v>
      </c>
      <c r="C225" s="453" t="s">
        <v>684</v>
      </c>
      <c r="D225" s="146">
        <v>2800</v>
      </c>
      <c r="E225" s="146">
        <v>1312</v>
      </c>
      <c r="F225" s="452">
        <v>3328537</v>
      </c>
      <c r="G225" s="451">
        <f t="shared" si="6"/>
        <v>0.10171351058820222</v>
      </c>
    </row>
    <row r="226" spans="1:7">
      <c r="A226" s="455">
        <v>5</v>
      </c>
      <c r="B226" s="454" t="s">
        <v>736</v>
      </c>
      <c r="C226" s="453" t="s">
        <v>645</v>
      </c>
      <c r="D226" s="146">
        <v>2700</v>
      </c>
      <c r="E226" s="146">
        <v>538</v>
      </c>
      <c r="F226" s="452">
        <v>1300470</v>
      </c>
      <c r="G226" s="451">
        <f t="shared" si="6"/>
        <v>3.97397923215633E-2</v>
      </c>
    </row>
    <row r="227" spans="1:7">
      <c r="A227" s="455">
        <v>6</v>
      </c>
      <c r="B227" s="454" t="s">
        <v>736</v>
      </c>
      <c r="C227" s="453" t="s">
        <v>622</v>
      </c>
      <c r="D227" s="146">
        <v>2800</v>
      </c>
      <c r="E227" s="146">
        <v>321</v>
      </c>
      <c r="F227" s="452">
        <v>809817</v>
      </c>
      <c r="G227" s="451">
        <f t="shared" si="6"/>
        <v>2.4746406605666741E-2</v>
      </c>
    </row>
    <row r="228" spans="1:7">
      <c r="A228" s="455">
        <v>7</v>
      </c>
      <c r="B228" s="454" t="s">
        <v>736</v>
      </c>
      <c r="C228" s="453" t="s">
        <v>607</v>
      </c>
      <c r="D228" s="146">
        <v>2800</v>
      </c>
      <c r="E228" s="146">
        <v>254</v>
      </c>
      <c r="F228" s="452">
        <v>646544</v>
      </c>
      <c r="G228" s="451">
        <f t="shared" si="6"/>
        <v>1.9757106497460781E-2</v>
      </c>
    </row>
    <row r="229" spans="1:7">
      <c r="A229" s="455">
        <v>8</v>
      </c>
      <c r="B229" s="454" t="s">
        <v>736</v>
      </c>
      <c r="C229" s="453" t="s">
        <v>599</v>
      </c>
      <c r="D229" s="146">
        <v>2700</v>
      </c>
      <c r="E229" s="146">
        <v>241</v>
      </c>
      <c r="F229" s="452">
        <v>591104</v>
      </c>
      <c r="G229" s="451">
        <f t="shared" si="6"/>
        <v>1.8062969695914057E-2</v>
      </c>
    </row>
    <row r="230" spans="1:7">
      <c r="A230" s="455">
        <v>9</v>
      </c>
      <c r="B230" s="454" t="s">
        <v>736</v>
      </c>
      <c r="C230" s="453" t="s">
        <v>595</v>
      </c>
      <c r="D230" s="146">
        <v>3200</v>
      </c>
      <c r="E230" s="146">
        <v>192</v>
      </c>
      <c r="F230" s="452">
        <v>546000</v>
      </c>
      <c r="G230" s="451">
        <f t="shared" si="6"/>
        <v>1.6684680621293503E-2</v>
      </c>
    </row>
    <row r="231" spans="1:7">
      <c r="A231" s="455">
        <v>10</v>
      </c>
      <c r="B231" s="454" t="s">
        <v>736</v>
      </c>
      <c r="C231" s="453" t="s">
        <v>594</v>
      </c>
      <c r="D231" s="146">
        <v>2800</v>
      </c>
      <c r="E231" s="146">
        <v>212</v>
      </c>
      <c r="F231" s="452">
        <v>539635</v>
      </c>
      <c r="G231" s="451">
        <f t="shared" si="6"/>
        <v>1.6490178804160659E-2</v>
      </c>
    </row>
    <row r="232" spans="1:7">
      <c r="A232" s="455">
        <v>11</v>
      </c>
      <c r="B232" s="454" t="s">
        <v>736</v>
      </c>
      <c r="C232" s="453" t="s">
        <v>586</v>
      </c>
      <c r="D232" s="146">
        <v>2700</v>
      </c>
      <c r="E232" s="146">
        <v>201</v>
      </c>
      <c r="F232" s="452">
        <v>480651</v>
      </c>
      <c r="G232" s="451">
        <f t="shared" si="6"/>
        <v>1.4687744368691105E-2</v>
      </c>
    </row>
    <row r="233" spans="1:7">
      <c r="A233" s="455">
        <v>12</v>
      </c>
      <c r="B233" s="454" t="s">
        <v>736</v>
      </c>
      <c r="C233" s="453" t="s">
        <v>585</v>
      </c>
      <c r="D233" s="146">
        <v>2700</v>
      </c>
      <c r="E233" s="146">
        <v>196</v>
      </c>
      <c r="F233" s="452">
        <v>476183</v>
      </c>
      <c r="G233" s="451">
        <f t="shared" si="6"/>
        <v>1.4551211121409165E-2</v>
      </c>
    </row>
    <row r="234" spans="1:7">
      <c r="A234" s="455">
        <v>13</v>
      </c>
      <c r="B234" s="454" t="s">
        <v>736</v>
      </c>
      <c r="C234" s="453" t="s">
        <v>584</v>
      </c>
      <c r="D234" s="146">
        <v>2800</v>
      </c>
      <c r="E234" s="146">
        <v>188</v>
      </c>
      <c r="F234" s="452">
        <v>475999</v>
      </c>
      <c r="G234" s="451">
        <f t="shared" si="6"/>
        <v>1.4545588445155836E-2</v>
      </c>
    </row>
    <row r="235" spans="1:7">
      <c r="A235" s="455">
        <v>14</v>
      </c>
      <c r="B235" s="454" t="s">
        <v>736</v>
      </c>
      <c r="C235" s="453" t="s">
        <v>577</v>
      </c>
      <c r="D235" s="146">
        <v>2700</v>
      </c>
      <c r="E235" s="146">
        <v>188</v>
      </c>
      <c r="F235" s="452">
        <v>456546</v>
      </c>
      <c r="G235" s="451">
        <f t="shared" si="6"/>
        <v>1.3951143221481801E-2</v>
      </c>
    </row>
    <row r="236" spans="1:7">
      <c r="A236" s="455">
        <v>15</v>
      </c>
      <c r="B236" s="454" t="s">
        <v>736</v>
      </c>
      <c r="C236" s="453" t="s">
        <v>568</v>
      </c>
      <c r="D236" s="146">
        <v>2800</v>
      </c>
      <c r="E236" s="146">
        <v>173</v>
      </c>
      <c r="F236" s="452">
        <v>435272</v>
      </c>
      <c r="G236" s="451">
        <f t="shared" si="6"/>
        <v>1.3301051837713674E-2</v>
      </c>
    </row>
    <row r="237" spans="1:7">
      <c r="A237" s="455">
        <v>16</v>
      </c>
      <c r="B237" s="454" t="s">
        <v>736</v>
      </c>
      <c r="C237" s="453" t="s">
        <v>560</v>
      </c>
      <c r="D237" s="146">
        <v>2700</v>
      </c>
      <c r="E237" s="146">
        <v>146</v>
      </c>
      <c r="F237" s="452">
        <v>351000</v>
      </c>
      <c r="G237" s="451">
        <f t="shared" si="6"/>
        <v>1.0725866113688681E-2</v>
      </c>
    </row>
    <row r="238" spans="1:7">
      <c r="A238" s="455">
        <v>17</v>
      </c>
      <c r="B238" s="454" t="s">
        <v>736</v>
      </c>
      <c r="C238" s="453" t="s">
        <v>554</v>
      </c>
      <c r="D238" s="146">
        <v>2800</v>
      </c>
      <c r="E238" s="146">
        <v>129</v>
      </c>
      <c r="F238" s="452">
        <v>328363</v>
      </c>
      <c r="G238" s="451">
        <f t="shared" si="6"/>
        <v>1.0034124144413551E-2</v>
      </c>
    </row>
    <row r="239" spans="1:7">
      <c r="A239" s="455">
        <v>18</v>
      </c>
      <c r="B239" s="454" t="s">
        <v>736</v>
      </c>
      <c r="C239" s="453" t="s">
        <v>543</v>
      </c>
      <c r="D239" s="146">
        <v>2700</v>
      </c>
      <c r="E239" s="146">
        <v>111</v>
      </c>
      <c r="F239" s="452">
        <v>270000</v>
      </c>
      <c r="G239" s="451">
        <f t="shared" si="6"/>
        <v>8.2506662412989845E-3</v>
      </c>
    </row>
    <row r="240" spans="1:7">
      <c r="A240" s="455">
        <v>19</v>
      </c>
      <c r="B240" s="454" t="s">
        <v>736</v>
      </c>
      <c r="C240" s="453" t="s">
        <v>542</v>
      </c>
      <c r="D240" s="146">
        <v>2000</v>
      </c>
      <c r="E240" s="146">
        <v>109</v>
      </c>
      <c r="F240" s="452">
        <v>267999</v>
      </c>
      <c r="G240" s="451">
        <f t="shared" si="6"/>
        <v>8.1895196370440244E-3</v>
      </c>
    </row>
    <row r="241" spans="1:7">
      <c r="A241" s="455">
        <v>20</v>
      </c>
      <c r="B241" s="454" t="s">
        <v>736</v>
      </c>
      <c r="C241" s="453" t="s">
        <v>541</v>
      </c>
      <c r="D241" s="146">
        <v>2000</v>
      </c>
      <c r="E241" s="146">
        <v>108</v>
      </c>
      <c r="F241" s="452">
        <v>257818</v>
      </c>
      <c r="G241" s="451">
        <f t="shared" si="6"/>
        <v>7.878408403700821E-3</v>
      </c>
    </row>
    <row r="242" spans="1:7">
      <c r="A242" s="455">
        <v>21</v>
      </c>
      <c r="B242" s="454" t="s">
        <v>736</v>
      </c>
      <c r="C242" s="453" t="s">
        <v>539</v>
      </c>
      <c r="D242" s="146">
        <v>2800</v>
      </c>
      <c r="E242" s="146">
        <v>91</v>
      </c>
      <c r="F242" s="452">
        <v>231636</v>
      </c>
      <c r="G242" s="451">
        <f t="shared" si="6"/>
        <v>7.0783382424797472E-3</v>
      </c>
    </row>
    <row r="243" spans="1:7">
      <c r="A243" s="455">
        <v>22</v>
      </c>
      <c r="B243" s="454" t="s">
        <v>736</v>
      </c>
      <c r="C243" s="453" t="s">
        <v>538</v>
      </c>
      <c r="D243" s="146">
        <v>2000</v>
      </c>
      <c r="E243" s="146">
        <v>91</v>
      </c>
      <c r="F243" s="452">
        <v>227272</v>
      </c>
      <c r="G243" s="451">
        <f t="shared" si="6"/>
        <v>6.9449830296018627E-3</v>
      </c>
    </row>
    <row r="244" spans="1:7">
      <c r="A244" s="455">
        <v>23</v>
      </c>
      <c r="B244" s="454" t="s">
        <v>736</v>
      </c>
      <c r="C244" s="453" t="s">
        <v>534</v>
      </c>
      <c r="D244" s="146">
        <v>2800</v>
      </c>
      <c r="E244" s="146">
        <v>78</v>
      </c>
      <c r="F244" s="452">
        <v>198545</v>
      </c>
      <c r="G244" s="451">
        <f t="shared" si="6"/>
        <v>6.0671426995507665E-3</v>
      </c>
    </row>
    <row r="245" spans="1:7">
      <c r="A245" s="455">
        <v>24</v>
      </c>
      <c r="B245" s="454" t="s">
        <v>736</v>
      </c>
      <c r="C245" s="453" t="s">
        <v>533</v>
      </c>
      <c r="D245" s="146">
        <v>2700</v>
      </c>
      <c r="E245" s="146">
        <v>80</v>
      </c>
      <c r="F245" s="452">
        <v>196364</v>
      </c>
      <c r="G245" s="451">
        <f t="shared" si="6"/>
        <v>6.00049565113494E-3</v>
      </c>
    </row>
    <row r="246" spans="1:7">
      <c r="A246" s="455">
        <v>25</v>
      </c>
      <c r="B246" s="454" t="s">
        <v>736</v>
      </c>
      <c r="C246" s="453" t="s">
        <v>524</v>
      </c>
      <c r="D246" s="146">
        <v>1800</v>
      </c>
      <c r="E246" s="146">
        <v>93</v>
      </c>
      <c r="F246" s="452">
        <v>147272</v>
      </c>
      <c r="G246" s="451">
        <f t="shared" si="6"/>
        <v>4.500341180328089E-3</v>
      </c>
    </row>
    <row r="247" spans="1:7">
      <c r="A247" s="455">
        <v>26</v>
      </c>
      <c r="B247" s="454" t="s">
        <v>736</v>
      </c>
      <c r="C247" s="453" t="s">
        <v>511</v>
      </c>
      <c r="D247" s="146">
        <v>2800</v>
      </c>
      <c r="E247" s="146">
        <v>34</v>
      </c>
      <c r="F247" s="452">
        <v>86545</v>
      </c>
      <c r="G247" s="451">
        <f t="shared" si="6"/>
        <v>2.6446441105674838E-3</v>
      </c>
    </row>
    <row r="248" spans="1:7">
      <c r="A248" s="455">
        <v>27</v>
      </c>
      <c r="B248" s="454" t="s">
        <v>736</v>
      </c>
      <c r="C248" s="453" t="s">
        <v>505</v>
      </c>
      <c r="D248" s="146">
        <v>2700</v>
      </c>
      <c r="E248" s="146">
        <v>29</v>
      </c>
      <c r="F248" s="452">
        <v>70741</v>
      </c>
      <c r="G248" s="451">
        <f t="shared" si="6"/>
        <v>2.1617051132434501E-3</v>
      </c>
    </row>
    <row r="249" spans="1:7">
      <c r="A249" s="455">
        <v>28</v>
      </c>
      <c r="B249" s="454" t="s">
        <v>736</v>
      </c>
      <c r="C249" s="453" t="s">
        <v>500</v>
      </c>
      <c r="D249" s="146">
        <v>2300</v>
      </c>
      <c r="E249" s="146">
        <v>23</v>
      </c>
      <c r="F249" s="452">
        <v>48091</v>
      </c>
      <c r="G249" s="451">
        <f t="shared" si="6"/>
        <v>1.4695658896678129E-3</v>
      </c>
    </row>
    <row r="250" spans="1:7">
      <c r="A250" s="455">
        <v>29</v>
      </c>
      <c r="B250" s="454" t="s">
        <v>736</v>
      </c>
      <c r="C250" s="453" t="s">
        <v>489</v>
      </c>
      <c r="D250" s="146">
        <v>2800</v>
      </c>
      <c r="E250" s="146">
        <v>11</v>
      </c>
      <c r="F250" s="452">
        <v>25454</v>
      </c>
      <c r="G250" s="451">
        <f t="shared" si="6"/>
        <v>7.7782392039268283E-4</v>
      </c>
    </row>
    <row r="251" spans="1:7">
      <c r="A251" s="455">
        <v>30</v>
      </c>
      <c r="B251" s="454" t="s">
        <v>736</v>
      </c>
      <c r="C251" s="453" t="s">
        <v>475</v>
      </c>
      <c r="D251" s="146">
        <v>800</v>
      </c>
      <c r="E251" s="146">
        <v>22</v>
      </c>
      <c r="F251" s="452">
        <v>16001</v>
      </c>
      <c r="G251" s="451">
        <f t="shared" si="6"/>
        <v>4.8895892787787062E-4</v>
      </c>
    </row>
    <row r="252" spans="1:7" ht="17.25" thickBot="1">
      <c r="A252" s="455">
        <v>31</v>
      </c>
      <c r="B252" s="454" t="s">
        <v>736</v>
      </c>
      <c r="C252" s="453" t="s">
        <v>473</v>
      </c>
      <c r="D252" s="146">
        <v>2800</v>
      </c>
      <c r="E252" s="146">
        <v>5</v>
      </c>
      <c r="F252" s="452">
        <v>12727</v>
      </c>
      <c r="G252" s="451">
        <f t="shared" si="6"/>
        <v>3.8891196019634141E-4</v>
      </c>
    </row>
    <row r="253" spans="1:7" ht="17.25" thickBot="1">
      <c r="A253" s="767" t="s">
        <v>735</v>
      </c>
      <c r="B253" s="767"/>
      <c r="C253" s="767"/>
      <c r="D253" s="767"/>
      <c r="E253" s="767"/>
      <c r="F253" s="470">
        <f>SUM(F222:F252)</f>
        <v>32724630</v>
      </c>
      <c r="G253" s="471">
        <f>F253/F288</f>
        <v>4.9062789450773199E-2</v>
      </c>
    </row>
    <row r="254" spans="1:7" ht="17.25" thickBot="1">
      <c r="A254" s="468" t="s">
        <v>734</v>
      </c>
      <c r="B254" s="467" t="s">
        <v>731</v>
      </c>
      <c r="C254" s="466" t="s">
        <v>730</v>
      </c>
      <c r="D254" s="465" t="s">
        <v>729</v>
      </c>
      <c r="E254" s="465" t="s">
        <v>728</v>
      </c>
      <c r="F254" s="464" t="s">
        <v>727</v>
      </c>
      <c r="G254" s="463" t="s">
        <v>726</v>
      </c>
    </row>
    <row r="255" spans="1:7" ht="17.25" thickTop="1">
      <c r="A255" s="455">
        <v>1</v>
      </c>
      <c r="B255" s="454" t="s">
        <v>733</v>
      </c>
      <c r="C255" s="453" t="s">
        <v>642</v>
      </c>
      <c r="D255" s="146">
        <v>1200</v>
      </c>
      <c r="E255" s="146">
        <v>1085</v>
      </c>
      <c r="F255" s="452">
        <v>1182547</v>
      </c>
      <c r="G255" s="457">
        <f>F255/$F$260</f>
        <v>0.32104270526301787</v>
      </c>
    </row>
    <row r="256" spans="1:7">
      <c r="A256" s="455">
        <v>2</v>
      </c>
      <c r="B256" s="454" t="s">
        <v>733</v>
      </c>
      <c r="C256" s="453" t="s">
        <v>236</v>
      </c>
      <c r="D256" s="146">
        <v>3500</v>
      </c>
      <c r="E256" s="146">
        <v>228</v>
      </c>
      <c r="F256" s="452">
        <v>725455</v>
      </c>
      <c r="G256" s="451">
        <f>F256/$F$260</f>
        <v>0.19694949608479209</v>
      </c>
    </row>
    <row r="257" spans="1:7">
      <c r="A257" s="455">
        <v>3</v>
      </c>
      <c r="B257" s="454" t="s">
        <v>733</v>
      </c>
      <c r="C257" s="453" t="s">
        <v>614</v>
      </c>
      <c r="D257" s="146">
        <v>3500</v>
      </c>
      <c r="E257" s="146">
        <v>222</v>
      </c>
      <c r="F257" s="452">
        <v>706364</v>
      </c>
      <c r="G257" s="451">
        <f>F257/$F$260</f>
        <v>0.19176659317592143</v>
      </c>
    </row>
    <row r="258" spans="1:7">
      <c r="A258" s="455">
        <v>4</v>
      </c>
      <c r="B258" s="454" t="s">
        <v>733</v>
      </c>
      <c r="C258" s="453" t="s">
        <v>604</v>
      </c>
      <c r="D258" s="146">
        <v>3500</v>
      </c>
      <c r="E258" s="146">
        <v>208</v>
      </c>
      <c r="F258" s="452">
        <v>626817</v>
      </c>
      <c r="G258" s="451">
        <f>F258/$F$260</f>
        <v>0.17017084765751303</v>
      </c>
    </row>
    <row r="259" spans="1:7" ht="17.25" thickBot="1">
      <c r="A259" s="455">
        <v>5</v>
      </c>
      <c r="B259" s="454" t="s">
        <v>733</v>
      </c>
      <c r="C259" s="453" t="s">
        <v>235</v>
      </c>
      <c r="D259" s="146">
        <v>3500</v>
      </c>
      <c r="E259" s="146">
        <v>139</v>
      </c>
      <c r="F259" s="452">
        <v>442274</v>
      </c>
      <c r="G259" s="451">
        <f>F259/$F$260</f>
        <v>0.12007035781875559</v>
      </c>
    </row>
    <row r="260" spans="1:7" ht="17.25" thickBot="1">
      <c r="A260" s="767" t="s">
        <v>732</v>
      </c>
      <c r="B260" s="767"/>
      <c r="C260" s="767"/>
      <c r="D260" s="767"/>
      <c r="E260" s="767"/>
      <c r="F260" s="470">
        <f>SUM(F255:F259)</f>
        <v>3683457</v>
      </c>
      <c r="G260" s="471">
        <f>F260/F288</f>
        <v>5.5224665715693866E-3</v>
      </c>
    </row>
    <row r="261" spans="1:7" ht="17.25" thickBot="1">
      <c r="A261" s="468" t="s">
        <v>719</v>
      </c>
      <c r="B261" s="467" t="s">
        <v>731</v>
      </c>
      <c r="C261" s="466" t="s">
        <v>730</v>
      </c>
      <c r="D261" s="465" t="s">
        <v>729</v>
      </c>
      <c r="E261" s="465" t="s">
        <v>728</v>
      </c>
      <c r="F261" s="464" t="s">
        <v>727</v>
      </c>
      <c r="G261" s="463" t="s">
        <v>726</v>
      </c>
    </row>
    <row r="262" spans="1:7" ht="17.25" thickTop="1">
      <c r="A262" s="455">
        <v>1</v>
      </c>
      <c r="B262" s="454" t="s">
        <v>725</v>
      </c>
      <c r="C262" s="453" t="s">
        <v>697</v>
      </c>
      <c r="D262" s="146">
        <v>500</v>
      </c>
      <c r="E262" s="146">
        <v>12393</v>
      </c>
      <c r="F262" s="452">
        <v>5566705</v>
      </c>
      <c r="G262" s="457">
        <f t="shared" ref="G262:G285" si="7">F262/$F$286</f>
        <v>0.79487804108367877</v>
      </c>
    </row>
    <row r="263" spans="1:7">
      <c r="A263" s="455">
        <v>2</v>
      </c>
      <c r="B263" s="454" t="s">
        <v>452</v>
      </c>
      <c r="C263" s="453" t="s">
        <v>651</v>
      </c>
      <c r="D263" s="146">
        <v>0</v>
      </c>
      <c r="E263" s="146">
        <v>50</v>
      </c>
      <c r="F263" s="452">
        <v>1454636</v>
      </c>
      <c r="G263" s="451">
        <f t="shared" si="7"/>
        <v>0.20770962610193969</v>
      </c>
    </row>
    <row r="264" spans="1:7">
      <c r="A264" s="455">
        <v>3</v>
      </c>
      <c r="B264" s="454" t="s">
        <v>724</v>
      </c>
      <c r="C264" s="453" t="s">
        <v>632</v>
      </c>
      <c r="D264" s="146">
        <v>7500</v>
      </c>
      <c r="E264" s="146">
        <v>139</v>
      </c>
      <c r="F264" s="452">
        <v>947727</v>
      </c>
      <c r="G264" s="451">
        <f t="shared" si="7"/>
        <v>0.13532734018456369</v>
      </c>
    </row>
    <row r="265" spans="1:7">
      <c r="A265" s="455">
        <v>4</v>
      </c>
      <c r="B265" s="454" t="s">
        <v>452</v>
      </c>
      <c r="C265" s="453" t="s">
        <v>623</v>
      </c>
      <c r="D265" s="146">
        <v>500</v>
      </c>
      <c r="E265" s="146">
        <v>1832</v>
      </c>
      <c r="F265" s="452">
        <v>820075</v>
      </c>
      <c r="G265" s="451">
        <f t="shared" si="7"/>
        <v>0.11709972228485215</v>
      </c>
    </row>
    <row r="266" spans="1:7">
      <c r="A266" s="455">
        <v>5</v>
      </c>
      <c r="B266" s="454" t="s">
        <v>452</v>
      </c>
      <c r="C266" s="453" t="s">
        <v>551</v>
      </c>
      <c r="D266" s="146">
        <v>350000</v>
      </c>
      <c r="E266" s="146">
        <v>1</v>
      </c>
      <c r="F266" s="452">
        <v>318182</v>
      </c>
      <c r="G266" s="451">
        <f t="shared" si="7"/>
        <v>4.5433678427020487E-2</v>
      </c>
    </row>
    <row r="267" spans="1:7">
      <c r="A267" s="455">
        <v>6</v>
      </c>
      <c r="B267" s="454" t="s">
        <v>724</v>
      </c>
      <c r="C267" s="453" t="s">
        <v>530</v>
      </c>
      <c r="D267" s="146">
        <v>15000</v>
      </c>
      <c r="E267" s="146">
        <v>13</v>
      </c>
      <c r="F267" s="452">
        <v>188182</v>
      </c>
      <c r="G267" s="451">
        <f t="shared" si="7"/>
        <v>2.6870786134204856E-2</v>
      </c>
    </row>
    <row r="268" spans="1:7">
      <c r="A268" s="455">
        <v>7</v>
      </c>
      <c r="B268" s="454" t="s">
        <v>723</v>
      </c>
      <c r="C268" s="453" t="s">
        <v>528</v>
      </c>
      <c r="D268" s="146">
        <v>500</v>
      </c>
      <c r="E268" s="146">
        <v>391</v>
      </c>
      <c r="F268" s="452">
        <v>175911</v>
      </c>
      <c r="G268" s="451">
        <f t="shared" si="7"/>
        <v>2.5118591893242236E-2</v>
      </c>
    </row>
    <row r="269" spans="1:7">
      <c r="A269" s="455">
        <v>8</v>
      </c>
      <c r="B269" s="454" t="s">
        <v>723</v>
      </c>
      <c r="C269" s="453" t="s">
        <v>519</v>
      </c>
      <c r="D269" s="146">
        <v>1000</v>
      </c>
      <c r="E269" s="146">
        <v>222</v>
      </c>
      <c r="F269" s="452">
        <v>122727</v>
      </c>
      <c r="G269" s="451">
        <f t="shared" si="7"/>
        <v>1.7524369864772186E-2</v>
      </c>
    </row>
    <row r="270" spans="1:7">
      <c r="A270" s="455">
        <v>9</v>
      </c>
      <c r="B270" s="454" t="s">
        <v>723</v>
      </c>
      <c r="C270" s="453" t="s">
        <v>503</v>
      </c>
      <c r="D270" s="146">
        <v>70000</v>
      </c>
      <c r="E270" s="146">
        <v>1</v>
      </c>
      <c r="F270" s="452">
        <v>63636</v>
      </c>
      <c r="G270" s="451">
        <f t="shared" si="7"/>
        <v>9.0866785688124268E-3</v>
      </c>
    </row>
    <row r="271" spans="1:7">
      <c r="A271" s="455">
        <v>10</v>
      </c>
      <c r="B271" s="454" t="s">
        <v>723</v>
      </c>
      <c r="C271" s="453" t="s">
        <v>499</v>
      </c>
      <c r="D271" s="146">
        <v>10000</v>
      </c>
      <c r="E271" s="146">
        <v>5</v>
      </c>
      <c r="F271" s="452">
        <v>45455</v>
      </c>
      <c r="G271" s="451">
        <f t="shared" si="7"/>
        <v>6.4905866859225735E-3</v>
      </c>
    </row>
    <row r="272" spans="1:7">
      <c r="A272" s="455">
        <v>11</v>
      </c>
      <c r="B272" s="454" t="s">
        <v>723</v>
      </c>
      <c r="C272" s="453" t="s">
        <v>492</v>
      </c>
      <c r="D272" s="146">
        <v>500</v>
      </c>
      <c r="E272" s="146">
        <v>62</v>
      </c>
      <c r="F272" s="452">
        <v>28182</v>
      </c>
      <c r="G272" s="451">
        <f t="shared" si="7"/>
        <v>4.024149466124078E-3</v>
      </c>
    </row>
    <row r="273" spans="1:7">
      <c r="A273" s="455">
        <v>12</v>
      </c>
      <c r="B273" s="454" t="s">
        <v>723</v>
      </c>
      <c r="C273" s="453" t="s">
        <v>482</v>
      </c>
      <c r="D273" s="146">
        <v>2000</v>
      </c>
      <c r="E273" s="146">
        <v>7</v>
      </c>
      <c r="F273" s="452">
        <v>17727</v>
      </c>
      <c r="G273" s="451">
        <f t="shared" si="7"/>
        <v>2.5312645513441748E-3</v>
      </c>
    </row>
    <row r="274" spans="1:7">
      <c r="A274" s="455">
        <v>13</v>
      </c>
      <c r="B274" s="454" t="s">
        <v>723</v>
      </c>
      <c r="C274" s="453" t="s">
        <v>481</v>
      </c>
      <c r="D274" s="146">
        <v>500</v>
      </c>
      <c r="E274" s="146">
        <v>40</v>
      </c>
      <c r="F274" s="452">
        <v>17273</v>
      </c>
      <c r="G274" s="451">
        <f t="shared" si="7"/>
        <v>2.4664372197984955E-3</v>
      </c>
    </row>
    <row r="275" spans="1:7">
      <c r="A275" s="455">
        <v>14</v>
      </c>
      <c r="B275" s="454" t="s">
        <v>723</v>
      </c>
      <c r="C275" s="453" t="s">
        <v>470</v>
      </c>
      <c r="D275" s="146">
        <v>3000</v>
      </c>
      <c r="E275" s="146">
        <v>2</v>
      </c>
      <c r="F275" s="452">
        <v>7091</v>
      </c>
      <c r="G275" s="451">
        <f t="shared" si="7"/>
        <v>1.012534378833505E-3</v>
      </c>
    </row>
    <row r="276" spans="1:7">
      <c r="A276" s="455">
        <v>15</v>
      </c>
      <c r="B276" s="454" t="s">
        <v>723</v>
      </c>
      <c r="C276" s="453" t="s">
        <v>468</v>
      </c>
      <c r="D276" s="146">
        <v>500</v>
      </c>
      <c r="E276" s="146">
        <v>15</v>
      </c>
      <c r="F276" s="452">
        <v>6818</v>
      </c>
      <c r="G276" s="451">
        <f t="shared" si="7"/>
        <v>9.7355230501859212E-4</v>
      </c>
    </row>
    <row r="277" spans="1:7">
      <c r="A277" s="455">
        <v>16</v>
      </c>
      <c r="B277" s="454" t="s">
        <v>723</v>
      </c>
      <c r="C277" s="453" t="s">
        <v>467</v>
      </c>
      <c r="D277" s="146">
        <v>900</v>
      </c>
      <c r="E277" s="146">
        <v>8</v>
      </c>
      <c r="F277" s="452">
        <v>6545</v>
      </c>
      <c r="G277" s="451">
        <f t="shared" si="7"/>
        <v>9.3457023120367938E-4</v>
      </c>
    </row>
    <row r="278" spans="1:7">
      <c r="A278" s="455">
        <v>17</v>
      </c>
      <c r="B278" s="454" t="s">
        <v>723</v>
      </c>
      <c r="C278" s="453" t="s">
        <v>466</v>
      </c>
      <c r="D278" s="146">
        <v>1000</v>
      </c>
      <c r="E278" s="146">
        <v>7</v>
      </c>
      <c r="F278" s="452">
        <v>6364</v>
      </c>
      <c r="G278" s="451">
        <f t="shared" si="7"/>
        <v>9.0872497347291293E-4</v>
      </c>
    </row>
    <row r="279" spans="1:7">
      <c r="A279" s="455">
        <v>18</v>
      </c>
      <c r="B279" s="454" t="s">
        <v>723</v>
      </c>
      <c r="C279" s="453" t="s">
        <v>459</v>
      </c>
      <c r="D279" s="146">
        <v>500</v>
      </c>
      <c r="E279" s="146">
        <v>4</v>
      </c>
      <c r="F279" s="452">
        <v>1818</v>
      </c>
      <c r="G279" s="451">
        <f t="shared" si="7"/>
        <v>2.5959490914106786E-4</v>
      </c>
    </row>
    <row r="280" spans="1:7">
      <c r="A280" s="455">
        <v>19</v>
      </c>
      <c r="B280" s="454" t="s">
        <v>723</v>
      </c>
      <c r="C280" s="453" t="s">
        <v>458</v>
      </c>
      <c r="D280" s="146">
        <v>300</v>
      </c>
      <c r="E280" s="146">
        <v>4</v>
      </c>
      <c r="F280" s="452">
        <v>1091</v>
      </c>
      <c r="G280" s="451">
        <f t="shared" si="7"/>
        <v>1.557855037804758E-4</v>
      </c>
    </row>
    <row r="281" spans="1:7">
      <c r="A281" s="455">
        <v>20</v>
      </c>
      <c r="B281" s="454" t="s">
        <v>723</v>
      </c>
      <c r="C281" s="453" t="s">
        <v>457</v>
      </c>
      <c r="D281" s="146">
        <v>300</v>
      </c>
      <c r="E281" s="146">
        <v>4</v>
      </c>
      <c r="F281" s="452">
        <v>1091</v>
      </c>
      <c r="G281" s="451">
        <f t="shared" si="7"/>
        <v>1.557855037804758E-4</v>
      </c>
    </row>
    <row r="282" spans="1:7">
      <c r="A282" s="455">
        <v>21</v>
      </c>
      <c r="B282" s="454" t="s">
        <v>723</v>
      </c>
      <c r="C282" s="453" t="s">
        <v>456</v>
      </c>
      <c r="D282" s="146">
        <v>100</v>
      </c>
      <c r="E282" s="146">
        <v>8</v>
      </c>
      <c r="F282" s="452">
        <v>727</v>
      </c>
      <c r="G282" s="451">
        <f t="shared" si="7"/>
        <v>1.0380940536059204E-4</v>
      </c>
    </row>
    <row r="283" spans="1:7">
      <c r="A283" s="455">
        <v>22</v>
      </c>
      <c r="B283" s="454" t="s">
        <v>723</v>
      </c>
      <c r="C283" s="453" t="s">
        <v>455</v>
      </c>
      <c r="D283" s="146">
        <v>300</v>
      </c>
      <c r="E283" s="146">
        <v>2</v>
      </c>
      <c r="F283" s="452">
        <v>545</v>
      </c>
      <c r="G283" s="451">
        <f t="shared" si="7"/>
        <v>7.7821356150650149E-5</v>
      </c>
    </row>
    <row r="284" spans="1:7">
      <c r="A284" s="455">
        <v>23</v>
      </c>
      <c r="B284" s="454" t="s">
        <v>723</v>
      </c>
      <c r="C284" s="453" t="s">
        <v>453</v>
      </c>
      <c r="D284" s="146">
        <v>-100</v>
      </c>
      <c r="E284" s="146">
        <v>4092</v>
      </c>
      <c r="F284" s="452">
        <v>-372086</v>
      </c>
      <c r="G284" s="451">
        <f t="shared" si="7"/>
        <v>-5.3130710320496904E-2</v>
      </c>
    </row>
    <row r="285" spans="1:7" ht="17.25" thickBot="1">
      <c r="A285" s="455">
        <v>24</v>
      </c>
      <c r="B285" s="449" t="s">
        <v>723</v>
      </c>
      <c r="C285" s="448" t="s">
        <v>451</v>
      </c>
      <c r="D285" s="447">
        <v>-500</v>
      </c>
      <c r="E285" s="447">
        <v>5298</v>
      </c>
      <c r="F285" s="446">
        <v>-2423203</v>
      </c>
      <c r="G285" s="451">
        <f t="shared" si="7"/>
        <v>-0.34601274071252092</v>
      </c>
    </row>
    <row r="286" spans="1:7" ht="17.25" thickBot="1">
      <c r="A286" s="767" t="s">
        <v>722</v>
      </c>
      <c r="B286" s="767"/>
      <c r="C286" s="767"/>
      <c r="D286" s="767"/>
      <c r="E286" s="767"/>
      <c r="F286" s="470">
        <f>SUM(F262:F285)</f>
        <v>7003219</v>
      </c>
      <c r="G286" s="471">
        <f>F286/F288</f>
        <v>1.0499659103087016E-2</v>
      </c>
    </row>
    <row r="287" spans="1:7" ht="17.25" thickBot="1"/>
    <row r="288" spans="1:7" ht="17.25" thickBot="1">
      <c r="A288" s="767" t="s">
        <v>721</v>
      </c>
      <c r="B288" s="767"/>
      <c r="C288" s="767"/>
      <c r="D288" s="767"/>
      <c r="E288" s="767"/>
      <c r="F288" s="470">
        <f>F52+F171+F220+F253+F260+F286</f>
        <v>666994893</v>
      </c>
      <c r="G288" s="469">
        <f>G52+G171+G220+G253+G260+G286</f>
        <v>1</v>
      </c>
    </row>
  </sheetData>
  <autoFilter ref="A3:G286"/>
  <mergeCells count="8">
    <mergeCell ref="A288:E288"/>
    <mergeCell ref="A1:F1"/>
    <mergeCell ref="A171:E171"/>
    <mergeCell ref="A220:E220"/>
    <mergeCell ref="A52:E52"/>
    <mergeCell ref="A253:E253"/>
    <mergeCell ref="A260:E260"/>
    <mergeCell ref="A286:E286"/>
  </mergeCells>
  <phoneticPr fontId="1" type="noConversion"/>
  <pageMargins left="0.7" right="0.7" top="0.75" bottom="0.75" header="0.3" footer="0.3"/>
  <pageSetup paperSize="9"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C16" sqref="C16"/>
    </sheetView>
  </sheetViews>
  <sheetFormatPr defaultRowHeight="16.5"/>
  <cols>
    <col min="2" max="2" width="13" bestFit="1" customWidth="1"/>
    <col min="3" max="3" width="15.5" bestFit="1" customWidth="1"/>
    <col min="4" max="4" width="11.875" style="236" bestFit="1" customWidth="1"/>
    <col min="5" max="5" width="11.875" bestFit="1" customWidth="1"/>
    <col min="6" max="6" width="9.5" bestFit="1" customWidth="1"/>
    <col min="7" max="7" width="10.5" bestFit="1" customWidth="1"/>
    <col min="8" max="8" width="14.625" bestFit="1" customWidth="1"/>
    <col min="9" max="9" width="15.625" bestFit="1" customWidth="1"/>
  </cols>
  <sheetData>
    <row r="1" spans="1:10">
      <c r="A1" s="266" t="s">
        <v>795</v>
      </c>
    </row>
    <row r="2" spans="1:10" ht="17.25" thickBot="1"/>
    <row r="3" spans="1:10" ht="17.25" thickBot="1">
      <c r="A3" s="508"/>
      <c r="B3" s="509" t="s">
        <v>223</v>
      </c>
      <c r="C3" s="509" t="s">
        <v>224</v>
      </c>
      <c r="D3" s="509" t="s">
        <v>227</v>
      </c>
      <c r="E3" s="510" t="s">
        <v>225</v>
      </c>
      <c r="G3" s="377"/>
      <c r="H3" s="276"/>
      <c r="I3" s="373"/>
    </row>
    <row r="4" spans="1:10" s="236" customFormat="1">
      <c r="A4" s="514" t="s">
        <v>797</v>
      </c>
      <c r="B4" s="515"/>
      <c r="C4" s="522">
        <v>382909</v>
      </c>
      <c r="D4" s="522">
        <v>121409</v>
      </c>
      <c r="E4" s="523">
        <v>25400</v>
      </c>
      <c r="G4" s="377"/>
      <c r="H4" s="276"/>
      <c r="I4" s="373"/>
    </row>
    <row r="5" spans="1:10">
      <c r="A5" s="516" t="s">
        <v>173</v>
      </c>
      <c r="B5" s="424">
        <v>2367000</v>
      </c>
      <c r="C5" s="424">
        <v>1090545</v>
      </c>
      <c r="D5" s="424">
        <v>350345</v>
      </c>
      <c r="E5" s="517">
        <v>1650650</v>
      </c>
      <c r="G5" s="378"/>
      <c r="H5" s="279"/>
      <c r="I5" s="373"/>
    </row>
    <row r="6" spans="1:10">
      <c r="A6" s="516" t="s">
        <v>226</v>
      </c>
      <c r="B6" s="424">
        <v>3597100</v>
      </c>
      <c r="C6" s="424">
        <v>5562545</v>
      </c>
      <c r="D6" s="424">
        <v>1821428</v>
      </c>
      <c r="E6" s="517">
        <v>1146200</v>
      </c>
      <c r="G6" s="176"/>
      <c r="H6" s="279"/>
      <c r="I6" s="279"/>
    </row>
    <row r="7" spans="1:10">
      <c r="A7" s="516" t="s">
        <v>18</v>
      </c>
      <c r="B7" s="424">
        <v>3947700</v>
      </c>
      <c r="C7" s="424">
        <v>5370725</v>
      </c>
      <c r="D7" s="424">
        <v>1848925</v>
      </c>
      <c r="E7" s="517">
        <v>1969100</v>
      </c>
      <c r="H7" s="368"/>
    </row>
    <row r="8" spans="1:10">
      <c r="A8" s="516" t="s">
        <v>19</v>
      </c>
      <c r="B8" s="424">
        <v>2404000</v>
      </c>
      <c r="C8" s="424">
        <v>4383534</v>
      </c>
      <c r="D8" s="424">
        <v>1499484</v>
      </c>
      <c r="E8" s="517">
        <v>1461100</v>
      </c>
    </row>
    <row r="9" spans="1:10">
      <c r="A9" s="518" t="s">
        <v>20</v>
      </c>
      <c r="B9" s="426">
        <v>920200</v>
      </c>
      <c r="C9" s="426">
        <v>2863721</v>
      </c>
      <c r="D9" s="426">
        <v>960471</v>
      </c>
      <c r="E9" s="519">
        <v>463600</v>
      </c>
    </row>
    <row r="10" spans="1:10">
      <c r="A10" s="516" t="s">
        <v>21</v>
      </c>
      <c r="B10" s="424">
        <v>110400</v>
      </c>
      <c r="C10" s="424">
        <v>744362</v>
      </c>
      <c r="D10" s="424">
        <v>239594</v>
      </c>
      <c r="E10" s="517">
        <v>76550</v>
      </c>
      <c r="G10" s="129"/>
      <c r="H10" s="379"/>
      <c r="I10" s="129"/>
      <c r="J10" s="129"/>
    </row>
    <row r="11" spans="1:10">
      <c r="A11" s="516" t="s">
        <v>22</v>
      </c>
      <c r="B11" s="424">
        <v>1752500</v>
      </c>
      <c r="C11" s="424">
        <v>622363</v>
      </c>
      <c r="D11" s="424">
        <v>210113</v>
      </c>
      <c r="E11" s="517">
        <v>1403150</v>
      </c>
      <c r="G11" s="129"/>
      <c r="H11" s="380"/>
      <c r="I11" s="129"/>
      <c r="J11" s="129"/>
    </row>
    <row r="12" spans="1:10">
      <c r="A12" s="516" t="s">
        <v>23</v>
      </c>
      <c r="B12" s="424">
        <v>1619800</v>
      </c>
      <c r="C12" s="424">
        <v>3156904</v>
      </c>
      <c r="D12" s="424">
        <v>1056154</v>
      </c>
      <c r="E12" s="517">
        <v>909750</v>
      </c>
      <c r="G12" s="129"/>
      <c r="H12" s="129"/>
      <c r="I12" s="129"/>
      <c r="J12" s="129"/>
    </row>
    <row r="13" spans="1:10">
      <c r="A13" s="516" t="s">
        <v>24</v>
      </c>
      <c r="B13" s="424">
        <v>2232400</v>
      </c>
      <c r="C13" s="424">
        <v>3039633</v>
      </c>
      <c r="D13" s="424">
        <v>1031733</v>
      </c>
      <c r="E13" s="517">
        <v>1129400</v>
      </c>
      <c r="G13" s="276"/>
      <c r="H13" s="382"/>
      <c r="I13" s="279"/>
      <c r="J13" s="129"/>
    </row>
    <row r="14" spans="1:10">
      <c r="A14" s="516" t="s">
        <v>25</v>
      </c>
      <c r="B14" s="424">
        <v>2300500</v>
      </c>
      <c r="C14" s="424">
        <v>4191816</v>
      </c>
      <c r="D14" s="424">
        <v>1455516</v>
      </c>
      <c r="E14" s="517">
        <v>667100</v>
      </c>
      <c r="G14" s="129"/>
      <c r="H14" s="276"/>
      <c r="I14" s="129"/>
      <c r="J14" s="129"/>
    </row>
    <row r="15" spans="1:10" ht="17.25" thickBot="1">
      <c r="A15" s="520" t="s">
        <v>26</v>
      </c>
      <c r="B15" s="425">
        <v>1052400</v>
      </c>
      <c r="C15" s="425">
        <v>1938453</v>
      </c>
      <c r="D15" s="425">
        <v>676353</v>
      </c>
      <c r="E15" s="521">
        <v>450100</v>
      </c>
      <c r="G15" s="129"/>
      <c r="H15" s="129"/>
      <c r="I15" s="129"/>
      <c r="J15" s="129"/>
    </row>
    <row r="16" spans="1:10" ht="17.25" thickBot="1">
      <c r="A16" s="511" t="s">
        <v>228</v>
      </c>
      <c r="B16" s="512">
        <f>SUM(B4:B15)</f>
        <v>22304000</v>
      </c>
      <c r="C16" s="512">
        <f t="shared" ref="C16:D16" si="0">SUM(C4:C15)</f>
        <v>33347510</v>
      </c>
      <c r="D16" s="512">
        <f t="shared" si="0"/>
        <v>11271525</v>
      </c>
      <c r="E16" s="513"/>
      <c r="G16" s="129"/>
      <c r="H16" s="381"/>
      <c r="I16" s="380"/>
      <c r="J16" s="129"/>
    </row>
    <row r="17" spans="2:10">
      <c r="C17" s="135"/>
      <c r="G17" s="129"/>
      <c r="H17" s="129"/>
      <c r="I17" s="129"/>
      <c r="J17" s="129"/>
    </row>
    <row r="18" spans="2:10">
      <c r="B18" s="243" t="s">
        <v>229</v>
      </c>
      <c r="C18" s="273">
        <v>3683457</v>
      </c>
      <c r="D18" s="274" t="s">
        <v>230</v>
      </c>
      <c r="G18" s="129"/>
      <c r="H18" s="277"/>
      <c r="I18" s="129"/>
      <c r="J18" s="129"/>
    </row>
    <row r="19" spans="2:10" s="236" customFormat="1">
      <c r="B19" s="129"/>
      <c r="C19" s="269"/>
      <c r="D19" s="4"/>
      <c r="G19" s="4"/>
      <c r="H19" s="4"/>
      <c r="I19" s="381"/>
      <c r="J19" s="4"/>
    </row>
    <row r="20" spans="2:10">
      <c r="B20" s="245" t="s">
        <v>450</v>
      </c>
      <c r="C20" s="244" t="s">
        <v>796</v>
      </c>
      <c r="D20" s="245" t="s">
        <v>231</v>
      </c>
      <c r="G20" s="129"/>
      <c r="H20" s="129"/>
      <c r="I20" s="276"/>
      <c r="J20" s="129"/>
    </row>
    <row r="21" spans="2:10">
      <c r="B21" s="270">
        <v>671368517</v>
      </c>
      <c r="C21" s="271">
        <f>C16+C18</f>
        <v>37030967</v>
      </c>
      <c r="D21" s="272">
        <f>C21/B21</f>
        <v>5.5157437476324199E-2</v>
      </c>
      <c r="E21" s="285"/>
      <c r="G21" s="129"/>
      <c r="H21" s="129"/>
      <c r="I21" s="276"/>
      <c r="J21" s="129"/>
    </row>
    <row r="22" spans="2:10">
      <c r="B22" s="276"/>
      <c r="C22" s="374">
        <f>C16/B21</f>
        <v>4.9670946962203172E-2</v>
      </c>
      <c r="D22" s="374"/>
      <c r="E22" s="128"/>
      <c r="G22" s="129"/>
      <c r="H22" s="129"/>
      <c r="I22" s="175"/>
      <c r="J22" s="129"/>
    </row>
    <row r="23" spans="2:10">
      <c r="C23" s="276"/>
      <c r="D23" s="135"/>
      <c r="G23" s="129"/>
      <c r="H23" s="129"/>
      <c r="I23" s="175"/>
      <c r="J23" s="129"/>
    </row>
    <row r="24" spans="2:10">
      <c r="C24" s="175"/>
      <c r="D24" s="374"/>
      <c r="G24" s="129"/>
      <c r="H24" s="129"/>
      <c r="I24" s="327"/>
      <c r="J24" s="129"/>
    </row>
    <row r="25" spans="2:10">
      <c r="G25" s="129"/>
      <c r="H25" s="129"/>
      <c r="I25" s="129"/>
      <c r="J25" s="129"/>
    </row>
    <row r="26" spans="2:10">
      <c r="C26" s="128"/>
      <c r="D26" s="128"/>
      <c r="E26" s="128"/>
      <c r="G26" s="129"/>
      <c r="H26" s="129"/>
      <c r="I26" s="129"/>
      <c r="J26" s="129"/>
    </row>
    <row r="27" spans="2:10">
      <c r="E27" s="128"/>
      <c r="G27" s="129"/>
      <c r="H27" s="129"/>
      <c r="I27" s="129"/>
      <c r="J27" s="129"/>
    </row>
    <row r="28" spans="2:10">
      <c r="E28" s="128"/>
      <c r="G28" s="175"/>
      <c r="H28" s="129"/>
      <c r="I28" s="129"/>
      <c r="J28" s="129"/>
    </row>
    <row r="29" spans="2:10">
      <c r="E29" s="128"/>
      <c r="G29" s="129"/>
      <c r="H29" s="129"/>
      <c r="I29" s="129"/>
      <c r="J29" s="129"/>
    </row>
    <row r="30" spans="2:10">
      <c r="E30" s="135"/>
      <c r="G30" s="129"/>
      <c r="H30" s="129"/>
      <c r="I30" s="129"/>
      <c r="J30" s="129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A4" zoomScaleNormal="100" workbookViewId="0">
      <selection activeCell="I12" sqref="I12:I16"/>
    </sheetView>
  </sheetViews>
  <sheetFormatPr defaultRowHeight="16.5"/>
  <cols>
    <col min="1" max="12" width="10.625" style="236" customWidth="1"/>
    <col min="13" max="13" width="12.75" style="236" customWidth="1"/>
    <col min="14" max="16384" width="9" style="236"/>
  </cols>
  <sheetData>
    <row r="1" spans="1:12">
      <c r="A1" s="266" t="s">
        <v>222</v>
      </c>
    </row>
    <row r="2" spans="1:12" ht="17.25" thickBot="1"/>
    <row r="3" spans="1:12">
      <c r="A3" s="773" t="s">
        <v>221</v>
      </c>
      <c r="B3" s="772"/>
      <c r="D3" s="130" t="s">
        <v>220</v>
      </c>
      <c r="E3" s="129"/>
      <c r="F3" s="129"/>
      <c r="G3" s="129"/>
      <c r="H3" s="129"/>
      <c r="I3" s="129"/>
      <c r="J3" s="129"/>
    </row>
    <row r="4" spans="1:12">
      <c r="A4" s="777" t="s">
        <v>219</v>
      </c>
      <c r="B4" s="778"/>
      <c r="D4" s="129" t="s">
        <v>218</v>
      </c>
      <c r="E4" s="129"/>
      <c r="F4" s="129"/>
      <c r="G4" s="129"/>
      <c r="H4" s="129"/>
      <c r="I4" s="129"/>
      <c r="J4" s="129"/>
    </row>
    <row r="5" spans="1:12">
      <c r="A5" s="770" t="s">
        <v>217</v>
      </c>
      <c r="B5" s="771"/>
      <c r="D5" s="129" t="s">
        <v>869</v>
      </c>
      <c r="E5" s="129"/>
      <c r="F5" s="129"/>
      <c r="G5" s="129"/>
      <c r="H5" s="129"/>
      <c r="I5" s="129"/>
      <c r="J5" s="129"/>
    </row>
    <row r="6" spans="1:12">
      <c r="A6" s="768" t="s">
        <v>423</v>
      </c>
      <c r="B6" s="769"/>
      <c r="D6" s="129" t="s">
        <v>870</v>
      </c>
      <c r="E6" s="129"/>
      <c r="F6" s="129"/>
      <c r="G6" s="129"/>
      <c r="H6" s="129"/>
      <c r="I6" s="129"/>
      <c r="J6" s="129"/>
    </row>
    <row r="7" spans="1:12" ht="17.25" thickBot="1">
      <c r="A7" s="774" t="s">
        <v>424</v>
      </c>
      <c r="B7" s="775"/>
      <c r="D7" s="129" t="s">
        <v>871</v>
      </c>
      <c r="E7" s="129"/>
      <c r="F7" s="129"/>
      <c r="G7" s="129"/>
      <c r="H7" s="129"/>
      <c r="I7" s="129"/>
      <c r="J7" s="129"/>
    </row>
    <row r="8" spans="1:12">
      <c r="A8" s="776" t="s">
        <v>425</v>
      </c>
      <c r="B8" s="776"/>
      <c r="D8" s="129"/>
      <c r="E8" s="129"/>
      <c r="F8" s="129"/>
      <c r="G8" s="129"/>
      <c r="H8" s="129"/>
      <c r="I8" s="129"/>
      <c r="J8" s="129"/>
    </row>
    <row r="9" spans="1:12" ht="17.25" thickBot="1"/>
    <row r="10" spans="1:12" ht="17.25" thickBot="1">
      <c r="A10" s="773" t="s">
        <v>906</v>
      </c>
      <c r="B10" s="772"/>
      <c r="C10" s="34"/>
      <c r="D10" s="803" t="s">
        <v>907</v>
      </c>
      <c r="E10" s="804"/>
      <c r="F10" s="805"/>
      <c r="G10" s="773" t="s">
        <v>908</v>
      </c>
      <c r="H10" s="772"/>
      <c r="I10" s="651" t="s">
        <v>909</v>
      </c>
      <c r="J10" s="651" t="s">
        <v>957</v>
      </c>
      <c r="K10" s="806" t="s">
        <v>216</v>
      </c>
      <c r="L10" s="807"/>
    </row>
    <row r="11" spans="1:12">
      <c r="A11" s="265" t="s">
        <v>215</v>
      </c>
      <c r="B11" s="264" t="s">
        <v>214</v>
      </c>
      <c r="C11" s="176"/>
      <c r="D11" s="265" t="s">
        <v>213</v>
      </c>
      <c r="E11" s="814" t="s">
        <v>212</v>
      </c>
      <c r="F11" s="812" t="s">
        <v>208</v>
      </c>
      <c r="G11" s="265" t="s">
        <v>211</v>
      </c>
      <c r="H11" s="264" t="s">
        <v>210</v>
      </c>
      <c r="I11" s="654" t="s">
        <v>209</v>
      </c>
      <c r="J11" s="654" t="s">
        <v>207</v>
      </c>
      <c r="K11" s="808" t="s">
        <v>929</v>
      </c>
      <c r="L11" s="809" t="s">
        <v>931</v>
      </c>
    </row>
    <row r="12" spans="1:12">
      <c r="A12" s="258" t="s">
        <v>428</v>
      </c>
      <c r="B12" s="618" t="s">
        <v>201</v>
      </c>
      <c r="C12" s="176"/>
      <c r="D12" s="258" t="s">
        <v>966</v>
      </c>
      <c r="E12" s="334" t="s">
        <v>965</v>
      </c>
      <c r="F12" s="813" t="s">
        <v>970</v>
      </c>
      <c r="G12" s="258" t="s">
        <v>206</v>
      </c>
      <c r="H12" s="261" t="s">
        <v>205</v>
      </c>
      <c r="I12" s="652" t="s">
        <v>204</v>
      </c>
      <c r="J12" s="652" t="s">
        <v>203</v>
      </c>
      <c r="K12" s="263" t="s">
        <v>930</v>
      </c>
      <c r="L12" s="262" t="s">
        <v>932</v>
      </c>
    </row>
    <row r="13" spans="1:12">
      <c r="A13" s="652" t="s">
        <v>429</v>
      </c>
      <c r="B13" s="618" t="s">
        <v>202</v>
      </c>
      <c r="C13" s="176"/>
      <c r="D13" s="258" t="s">
        <v>200</v>
      </c>
      <c r="E13" s="815" t="s">
        <v>933</v>
      </c>
      <c r="F13" s="813" t="s">
        <v>971</v>
      </c>
      <c r="G13" s="258" t="s">
        <v>199</v>
      </c>
      <c r="H13" s="257" t="s">
        <v>198</v>
      </c>
      <c r="I13" s="653" t="s">
        <v>987</v>
      </c>
      <c r="J13" s="652" t="s">
        <v>426</v>
      </c>
      <c r="K13" s="649" t="s">
        <v>958</v>
      </c>
      <c r="L13" s="262" t="s">
        <v>960</v>
      </c>
    </row>
    <row r="14" spans="1:12">
      <c r="A14" s="652" t="s">
        <v>195</v>
      </c>
      <c r="B14" s="655" t="s">
        <v>194</v>
      </c>
      <c r="C14" s="176"/>
      <c r="D14" s="595" t="s">
        <v>967</v>
      </c>
      <c r="E14" s="815"/>
      <c r="F14" s="813" t="s">
        <v>972</v>
      </c>
      <c r="G14" s="258" t="s">
        <v>197</v>
      </c>
      <c r="H14" s="257" t="s">
        <v>196</v>
      </c>
      <c r="I14" s="657" t="s">
        <v>988</v>
      </c>
      <c r="J14" s="811" t="s">
        <v>991</v>
      </c>
      <c r="K14" s="649" t="s">
        <v>962</v>
      </c>
      <c r="L14" s="262" t="s">
        <v>963</v>
      </c>
    </row>
    <row r="15" spans="1:12">
      <c r="A15" s="652" t="s">
        <v>430</v>
      </c>
      <c r="B15" s="618"/>
      <c r="C15" s="176"/>
      <c r="D15" s="811" t="s">
        <v>968</v>
      </c>
      <c r="E15" s="334"/>
      <c r="F15" s="802" t="s">
        <v>973</v>
      </c>
      <c r="G15" s="657" t="s">
        <v>964</v>
      </c>
      <c r="H15" s="422"/>
      <c r="I15" s="817" t="s">
        <v>989</v>
      </c>
      <c r="J15" s="653" t="s">
        <v>427</v>
      </c>
      <c r="K15" s="263" t="s">
        <v>959</v>
      </c>
      <c r="L15" s="262" t="s">
        <v>961</v>
      </c>
    </row>
    <row r="16" spans="1:12">
      <c r="A16" s="648" t="s">
        <v>994</v>
      </c>
      <c r="B16" s="257"/>
      <c r="C16" s="176"/>
      <c r="D16" s="656" t="s">
        <v>969</v>
      </c>
      <c r="E16" s="334"/>
      <c r="F16" s="813"/>
      <c r="G16" s="597" t="s">
        <v>986</v>
      </c>
      <c r="H16" s="257"/>
      <c r="I16" s="656" t="s">
        <v>990</v>
      </c>
      <c r="J16" s="653" t="s">
        <v>992</v>
      </c>
      <c r="K16" s="263" t="s">
        <v>974</v>
      </c>
      <c r="L16" s="262" t="s">
        <v>981</v>
      </c>
    </row>
    <row r="17" spans="1:12" ht="17.25" thickBot="1">
      <c r="A17" s="650" t="s">
        <v>993</v>
      </c>
      <c r="B17" s="596"/>
      <c r="C17" s="176"/>
      <c r="D17" s="420"/>
      <c r="E17" s="816"/>
      <c r="F17" s="802"/>
      <c r="G17" s="597"/>
      <c r="H17" s="596"/>
      <c r="I17" s="653"/>
      <c r="J17" s="818"/>
      <c r="K17" s="263" t="s">
        <v>975</v>
      </c>
      <c r="L17" s="262" t="s">
        <v>982</v>
      </c>
    </row>
    <row r="18" spans="1:12">
      <c r="A18" s="779"/>
      <c r="B18" s="776"/>
      <c r="D18" s="776"/>
      <c r="E18" s="776"/>
      <c r="F18" s="776"/>
      <c r="G18" s="776"/>
      <c r="H18" s="776"/>
      <c r="I18" s="776"/>
      <c r="J18" s="810"/>
      <c r="K18" s="263" t="s">
        <v>976</v>
      </c>
      <c r="L18" s="262" t="s">
        <v>981</v>
      </c>
    </row>
    <row r="19" spans="1:12">
      <c r="K19" s="263" t="s">
        <v>977</v>
      </c>
      <c r="L19" s="262" t="s">
        <v>983</v>
      </c>
    </row>
    <row r="20" spans="1:12">
      <c r="K20" s="263" t="s">
        <v>978</v>
      </c>
      <c r="L20" s="262" t="s">
        <v>984</v>
      </c>
    </row>
    <row r="21" spans="1:12">
      <c r="K21" s="263" t="s">
        <v>979</v>
      </c>
      <c r="L21" s="262" t="s">
        <v>985</v>
      </c>
    </row>
    <row r="22" spans="1:12" ht="17.25" thickBot="1">
      <c r="K22" s="260" t="s">
        <v>980</v>
      </c>
      <c r="L22" s="259" t="s">
        <v>983</v>
      </c>
    </row>
    <row r="38" spans="3:3">
      <c r="C38" s="129"/>
    </row>
  </sheetData>
  <mergeCells count="14">
    <mergeCell ref="D10:F10"/>
    <mergeCell ref="K10:L10"/>
    <mergeCell ref="A18:B18"/>
    <mergeCell ref="D18:E18"/>
    <mergeCell ref="F18:G18"/>
    <mergeCell ref="H18:I18"/>
    <mergeCell ref="A10:B10"/>
    <mergeCell ref="G10:H10"/>
    <mergeCell ref="A3:B3"/>
    <mergeCell ref="A5:B5"/>
    <mergeCell ref="A7:B7"/>
    <mergeCell ref="A8:B8"/>
    <mergeCell ref="A4:B4"/>
    <mergeCell ref="A6:B6"/>
  </mergeCells>
  <phoneticPr fontId="1" type="noConversion"/>
  <pageMargins left="0.7" right="0.7" top="0.75" bottom="0.75" header="0.3" footer="0.3"/>
  <pageSetup paperSize="9" scale="7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6"/>
  <sheetViews>
    <sheetView topLeftCell="A24" workbookViewId="0">
      <selection activeCell="L49" sqref="L49"/>
    </sheetView>
  </sheetViews>
  <sheetFormatPr defaultRowHeight="12"/>
  <cols>
    <col min="1" max="1" width="7.5" style="4" customWidth="1"/>
    <col min="2" max="2" width="9" style="4"/>
    <col min="3" max="3" width="10.5" style="4" bestFit="1" customWidth="1"/>
    <col min="4" max="4" width="5" style="4" customWidth="1"/>
    <col min="5" max="5" width="10.5" style="4" bestFit="1" customWidth="1"/>
    <col min="6" max="7" width="9" style="4"/>
    <col min="8" max="8" width="9.625" style="4" customWidth="1"/>
    <col min="9" max="9" width="9" style="4"/>
    <col min="10" max="10" width="9.375" style="4" bestFit="1" customWidth="1"/>
    <col min="11" max="16384" width="9" style="4"/>
  </cols>
  <sheetData>
    <row r="2" spans="1:8">
      <c r="A2" s="129" t="s">
        <v>101</v>
      </c>
    </row>
    <row r="5" spans="1:8">
      <c r="A5" s="4" t="s">
        <v>100</v>
      </c>
    </row>
    <row r="6" spans="1:8" ht="15" customHeight="1">
      <c r="A6" s="131"/>
      <c r="B6" s="132" t="s">
        <v>79</v>
      </c>
      <c r="C6" s="132" t="s">
        <v>80</v>
      </c>
      <c r="D6" s="725" t="s">
        <v>81</v>
      </c>
      <c r="E6" s="725"/>
      <c r="F6" s="725"/>
      <c r="G6" s="725"/>
      <c r="H6" s="725"/>
    </row>
    <row r="7" spans="1:8" ht="61.5" customHeight="1">
      <c r="A7" s="725" t="s">
        <v>82</v>
      </c>
      <c r="B7" s="132" t="s">
        <v>83</v>
      </c>
      <c r="C7" s="133">
        <v>22000000</v>
      </c>
      <c r="D7" s="780" t="s">
        <v>136</v>
      </c>
      <c r="E7" s="725"/>
      <c r="F7" s="725"/>
      <c r="G7" s="725"/>
      <c r="H7" s="725"/>
    </row>
    <row r="8" spans="1:8" ht="15" customHeight="1">
      <c r="A8" s="725"/>
      <c r="B8" s="132" t="s">
        <v>84</v>
      </c>
      <c r="C8" s="133">
        <v>2000000</v>
      </c>
      <c r="D8" s="725" t="s">
        <v>85</v>
      </c>
      <c r="E8" s="725"/>
      <c r="F8" s="725"/>
      <c r="G8" s="725"/>
      <c r="H8" s="725"/>
    </row>
    <row r="9" spans="1:8" ht="15" customHeight="1">
      <c r="A9" s="725" t="s">
        <v>86</v>
      </c>
      <c r="B9" s="132" t="s">
        <v>87</v>
      </c>
      <c r="C9" s="133">
        <v>11356800</v>
      </c>
      <c r="D9" s="725" t="s">
        <v>102</v>
      </c>
      <c r="E9" s="725"/>
      <c r="F9" s="725"/>
      <c r="G9" s="725"/>
      <c r="H9" s="725"/>
    </row>
    <row r="10" spans="1:8" ht="15" customHeight="1">
      <c r="A10" s="725"/>
      <c r="B10" s="132" t="s">
        <v>88</v>
      </c>
      <c r="C10" s="133">
        <v>13500000</v>
      </c>
      <c r="D10" s="725" t="s">
        <v>103</v>
      </c>
      <c r="E10" s="725"/>
      <c r="F10" s="725"/>
      <c r="G10" s="725"/>
      <c r="H10" s="725"/>
    </row>
    <row r="11" spans="1:8" ht="15" customHeight="1">
      <c r="A11" s="725" t="s">
        <v>89</v>
      </c>
      <c r="B11" s="725"/>
      <c r="C11" s="133">
        <f>SUM(C7:C10)</f>
        <v>48856800</v>
      </c>
      <c r="D11" s="725" t="s">
        <v>134</v>
      </c>
      <c r="E11" s="725"/>
      <c r="F11" s="725"/>
      <c r="G11" s="725"/>
      <c r="H11" s="725"/>
    </row>
    <row r="12" spans="1:8" ht="15" customHeight="1"/>
    <row r="13" spans="1:8" ht="15" customHeight="1"/>
    <row r="14" spans="1:8" ht="15" customHeight="1">
      <c r="A14" s="4" t="s">
        <v>90</v>
      </c>
    </row>
    <row r="15" spans="1:8" ht="15" customHeight="1">
      <c r="A15" s="725"/>
      <c r="B15" s="725"/>
      <c r="C15" s="132" t="s">
        <v>104</v>
      </c>
      <c r="D15" s="132" t="s">
        <v>105</v>
      </c>
      <c r="E15" s="132" t="s">
        <v>106</v>
      </c>
      <c r="F15" s="725" t="s">
        <v>81</v>
      </c>
      <c r="G15" s="725"/>
      <c r="H15" s="725"/>
    </row>
    <row r="16" spans="1:8" ht="15" customHeight="1">
      <c r="A16" s="725" t="s">
        <v>91</v>
      </c>
      <c r="B16" s="725"/>
      <c r="C16" s="132" t="s">
        <v>107</v>
      </c>
      <c r="D16" s="132">
        <v>1</v>
      </c>
      <c r="E16" s="133">
        <v>3150000</v>
      </c>
      <c r="F16" s="725" t="s">
        <v>108</v>
      </c>
      <c r="G16" s="725"/>
      <c r="H16" s="725"/>
    </row>
    <row r="17" spans="1:8" ht="15" customHeight="1">
      <c r="A17" s="725" t="s">
        <v>92</v>
      </c>
      <c r="B17" s="725"/>
      <c r="C17" s="132" t="s">
        <v>107</v>
      </c>
      <c r="D17" s="132">
        <v>1</v>
      </c>
      <c r="E17" s="133">
        <v>910000</v>
      </c>
      <c r="F17" s="725" t="s">
        <v>109</v>
      </c>
      <c r="G17" s="725"/>
      <c r="H17" s="725"/>
    </row>
    <row r="18" spans="1:8" ht="15" customHeight="1">
      <c r="A18" s="725" t="s">
        <v>93</v>
      </c>
      <c r="B18" s="725"/>
      <c r="C18" s="132" t="s">
        <v>107</v>
      </c>
      <c r="D18" s="132">
        <v>1</v>
      </c>
      <c r="E18" s="133">
        <v>610000</v>
      </c>
      <c r="F18" s="725" t="s">
        <v>110</v>
      </c>
      <c r="G18" s="725"/>
      <c r="H18" s="725"/>
    </row>
    <row r="19" spans="1:8" ht="15" customHeight="1">
      <c r="A19" s="725" t="s">
        <v>94</v>
      </c>
      <c r="B19" s="725"/>
      <c r="C19" s="132" t="s">
        <v>107</v>
      </c>
      <c r="D19" s="132">
        <v>1</v>
      </c>
      <c r="E19" s="133">
        <v>1230000</v>
      </c>
      <c r="F19" s="725" t="s">
        <v>111</v>
      </c>
      <c r="G19" s="725"/>
      <c r="H19" s="725"/>
    </row>
    <row r="20" spans="1:8" ht="15" customHeight="1">
      <c r="A20" s="725" t="s">
        <v>95</v>
      </c>
      <c r="B20" s="725"/>
      <c r="C20" s="132" t="s">
        <v>107</v>
      </c>
      <c r="D20" s="132">
        <v>1</v>
      </c>
      <c r="E20" s="133">
        <v>1230000</v>
      </c>
      <c r="F20" s="725" t="s">
        <v>111</v>
      </c>
      <c r="G20" s="725"/>
      <c r="H20" s="725"/>
    </row>
    <row r="21" spans="1:8" ht="15" customHeight="1">
      <c r="A21" s="725" t="s">
        <v>96</v>
      </c>
      <c r="B21" s="725"/>
      <c r="C21" s="132" t="s">
        <v>107</v>
      </c>
      <c r="D21" s="132">
        <v>1</v>
      </c>
      <c r="E21" s="133">
        <v>1510000</v>
      </c>
      <c r="F21" s="725" t="s">
        <v>112</v>
      </c>
      <c r="G21" s="725"/>
      <c r="H21" s="725"/>
    </row>
    <row r="22" spans="1:8" ht="15" customHeight="1">
      <c r="A22" s="725" t="s">
        <v>97</v>
      </c>
      <c r="B22" s="725"/>
      <c r="C22" s="132" t="s">
        <v>107</v>
      </c>
      <c r="D22" s="132">
        <v>1</v>
      </c>
      <c r="E22" s="133">
        <v>2160000</v>
      </c>
      <c r="F22" s="725" t="s">
        <v>113</v>
      </c>
      <c r="G22" s="725"/>
      <c r="H22" s="725"/>
    </row>
    <row r="23" spans="1:8" ht="15" customHeight="1">
      <c r="A23" s="725" t="s">
        <v>98</v>
      </c>
      <c r="B23" s="725"/>
      <c r="C23" s="132" t="s">
        <v>107</v>
      </c>
      <c r="D23" s="132">
        <v>1</v>
      </c>
      <c r="E23" s="133">
        <v>460000</v>
      </c>
      <c r="F23" s="725" t="s">
        <v>114</v>
      </c>
      <c r="G23" s="725"/>
      <c r="H23" s="725"/>
    </row>
    <row r="24" spans="1:8" ht="15" customHeight="1">
      <c r="A24" s="725" t="s">
        <v>99</v>
      </c>
      <c r="B24" s="725"/>
      <c r="C24" s="132" t="s">
        <v>107</v>
      </c>
      <c r="D24" s="132">
        <v>1</v>
      </c>
      <c r="E24" s="133">
        <v>96800</v>
      </c>
      <c r="F24" s="725" t="s">
        <v>115</v>
      </c>
      <c r="G24" s="725"/>
      <c r="H24" s="725"/>
    </row>
    <row r="25" spans="1:8" ht="15" customHeight="1">
      <c r="A25" s="725" t="s">
        <v>89</v>
      </c>
      <c r="B25" s="725"/>
      <c r="C25" s="131"/>
      <c r="D25" s="131"/>
      <c r="E25" s="133">
        <f>SUM(E16:E24)</f>
        <v>11356800</v>
      </c>
      <c r="F25" s="725"/>
      <c r="G25" s="725"/>
      <c r="H25" s="725"/>
    </row>
    <row r="26" spans="1:8" ht="15" customHeight="1"/>
    <row r="27" spans="1:8" ht="15" customHeight="1">
      <c r="A27" s="130" t="s">
        <v>144</v>
      </c>
    </row>
    <row r="28" spans="1:8" ht="15" customHeight="1">
      <c r="A28" s="129"/>
      <c r="G28" s="782" t="s">
        <v>147</v>
      </c>
      <c r="H28" s="782"/>
    </row>
    <row r="29" spans="1:8" ht="28.5" customHeight="1">
      <c r="A29" s="131"/>
      <c r="B29" s="725" t="s">
        <v>121</v>
      </c>
      <c r="C29" s="725"/>
      <c r="D29" s="781">
        <v>62300000</v>
      </c>
      <c r="E29" s="781"/>
      <c r="F29" s="780" t="s">
        <v>135</v>
      </c>
      <c r="G29" s="725"/>
      <c r="H29" s="725"/>
    </row>
    <row r="30" spans="1:8" ht="15" customHeight="1">
      <c r="A30" s="132" t="s">
        <v>128</v>
      </c>
      <c r="B30" s="722" t="s">
        <v>116</v>
      </c>
      <c r="C30" s="722"/>
      <c r="D30" s="781">
        <v>230400000</v>
      </c>
      <c r="E30" s="781"/>
      <c r="F30" s="725" t="s">
        <v>122</v>
      </c>
      <c r="G30" s="725"/>
      <c r="H30" s="725"/>
    </row>
    <row r="31" spans="1:8" ht="15" customHeight="1">
      <c r="A31" s="132" t="s">
        <v>129</v>
      </c>
      <c r="B31" s="722" t="s">
        <v>117</v>
      </c>
      <c r="C31" s="722"/>
      <c r="D31" s="781">
        <f>D30*30%</f>
        <v>69120000</v>
      </c>
      <c r="E31" s="781"/>
      <c r="F31" s="725" t="s">
        <v>123</v>
      </c>
      <c r="G31" s="725"/>
      <c r="H31" s="725"/>
    </row>
    <row r="32" spans="1:8" ht="15" customHeight="1">
      <c r="A32" s="132" t="s">
        <v>130</v>
      </c>
      <c r="B32" s="722" t="s">
        <v>118</v>
      </c>
      <c r="C32" s="722"/>
      <c r="D32" s="781">
        <v>26400000</v>
      </c>
      <c r="E32" s="781"/>
      <c r="F32" s="725" t="s">
        <v>124</v>
      </c>
      <c r="G32" s="725"/>
      <c r="H32" s="725"/>
    </row>
    <row r="33" spans="1:8" ht="15" customHeight="1">
      <c r="A33" s="132" t="s">
        <v>131</v>
      </c>
      <c r="B33" s="722" t="s">
        <v>119</v>
      </c>
      <c r="C33" s="722"/>
      <c r="D33" s="781">
        <v>56000000</v>
      </c>
      <c r="E33" s="781"/>
      <c r="F33" s="725" t="s">
        <v>125</v>
      </c>
      <c r="G33" s="725"/>
      <c r="H33" s="725"/>
    </row>
    <row r="34" spans="1:8" ht="15" customHeight="1">
      <c r="A34" s="132" t="s">
        <v>132</v>
      </c>
      <c r="B34" s="722" t="s">
        <v>120</v>
      </c>
      <c r="C34" s="722"/>
      <c r="D34" s="781">
        <v>12000000</v>
      </c>
      <c r="E34" s="781"/>
      <c r="F34" s="725" t="s">
        <v>126</v>
      </c>
      <c r="G34" s="725"/>
      <c r="H34" s="725"/>
    </row>
    <row r="35" spans="1:8" ht="15" customHeight="1">
      <c r="A35" s="132"/>
      <c r="B35" s="722" t="s">
        <v>127</v>
      </c>
      <c r="C35" s="722"/>
      <c r="D35" s="781">
        <f>D30-D31-D32-D33-D34</f>
        <v>66880000</v>
      </c>
      <c r="E35" s="781"/>
      <c r="F35" s="725" t="s">
        <v>133</v>
      </c>
      <c r="G35" s="725"/>
      <c r="H35" s="725"/>
    </row>
    <row r="37" spans="1:8" ht="15" customHeight="1">
      <c r="A37" s="130" t="s">
        <v>145</v>
      </c>
    </row>
    <row r="38" spans="1:8" ht="15" customHeight="1">
      <c r="A38" s="129"/>
      <c r="G38" s="782" t="s">
        <v>147</v>
      </c>
      <c r="H38" s="782"/>
    </row>
    <row r="39" spans="1:8" ht="39.75" customHeight="1">
      <c r="A39" s="131"/>
      <c r="B39" s="725" t="s">
        <v>121</v>
      </c>
      <c r="C39" s="725"/>
      <c r="D39" s="781">
        <v>115000000</v>
      </c>
      <c r="E39" s="781"/>
      <c r="F39" s="780" t="s">
        <v>142</v>
      </c>
      <c r="G39" s="725"/>
      <c r="H39" s="725"/>
    </row>
    <row r="40" spans="1:8" ht="15" customHeight="1">
      <c r="A40" s="132" t="s">
        <v>128</v>
      </c>
      <c r="B40" s="722" t="s">
        <v>116</v>
      </c>
      <c r="C40" s="722"/>
      <c r="D40" s="781">
        <v>118800000</v>
      </c>
      <c r="E40" s="781"/>
      <c r="F40" s="725" t="s">
        <v>137</v>
      </c>
      <c r="G40" s="725"/>
      <c r="H40" s="725"/>
    </row>
    <row r="41" spans="1:8" ht="15" customHeight="1">
      <c r="A41" s="132" t="s">
        <v>129</v>
      </c>
      <c r="B41" s="722" t="s">
        <v>117</v>
      </c>
      <c r="C41" s="722"/>
      <c r="D41" s="781">
        <f>D40*30%</f>
        <v>35640000</v>
      </c>
      <c r="E41" s="781"/>
      <c r="F41" s="725" t="s">
        <v>123</v>
      </c>
      <c r="G41" s="725"/>
      <c r="H41" s="725"/>
    </row>
    <row r="42" spans="1:8" ht="15" customHeight="1">
      <c r="A42" s="132" t="s">
        <v>130</v>
      </c>
      <c r="B42" s="722" t="s">
        <v>118</v>
      </c>
      <c r="C42" s="722"/>
      <c r="D42" s="781">
        <v>13200000</v>
      </c>
      <c r="E42" s="781"/>
      <c r="F42" s="725" t="s">
        <v>146</v>
      </c>
      <c r="G42" s="725"/>
      <c r="H42" s="725"/>
    </row>
    <row r="43" spans="1:8" ht="15" customHeight="1">
      <c r="A43" s="132" t="s">
        <v>131</v>
      </c>
      <c r="B43" s="722" t="s">
        <v>119</v>
      </c>
      <c r="C43" s="722"/>
      <c r="D43" s="781">
        <v>40000000</v>
      </c>
      <c r="E43" s="781"/>
      <c r="F43" s="725" t="s">
        <v>138</v>
      </c>
      <c r="G43" s="725"/>
      <c r="H43" s="725"/>
    </row>
    <row r="44" spans="1:8" ht="15" customHeight="1">
      <c r="A44" s="132" t="s">
        <v>132</v>
      </c>
      <c r="B44" s="722" t="s">
        <v>120</v>
      </c>
      <c r="C44" s="722"/>
      <c r="D44" s="781">
        <v>5400000</v>
      </c>
      <c r="E44" s="781"/>
      <c r="F44" s="725" t="s">
        <v>126</v>
      </c>
      <c r="G44" s="725"/>
      <c r="H44" s="725"/>
    </row>
    <row r="45" spans="1:8" ht="15" customHeight="1">
      <c r="A45" s="132"/>
      <c r="B45" s="722" t="s">
        <v>127</v>
      </c>
      <c r="C45" s="722"/>
      <c r="D45" s="781">
        <f>D40-D41-D42-D43-D44</f>
        <v>24560000</v>
      </c>
      <c r="E45" s="781"/>
      <c r="F45" s="725" t="s">
        <v>133</v>
      </c>
      <c r="G45" s="725"/>
      <c r="H45" s="725"/>
    </row>
    <row r="48" spans="1:8" ht="15" customHeight="1">
      <c r="A48" s="130" t="s">
        <v>143</v>
      </c>
    </row>
    <row r="49" spans="1:8" ht="15" customHeight="1">
      <c r="A49" s="129"/>
      <c r="G49" s="782" t="s">
        <v>147</v>
      </c>
      <c r="H49" s="782"/>
    </row>
    <row r="50" spans="1:8" ht="15" customHeight="1">
      <c r="A50" s="131"/>
      <c r="B50" s="725" t="s">
        <v>121</v>
      </c>
      <c r="C50" s="725"/>
      <c r="D50" s="781">
        <v>85000000</v>
      </c>
      <c r="E50" s="781"/>
      <c r="F50" s="780" t="s">
        <v>815</v>
      </c>
      <c r="G50" s="725"/>
      <c r="H50" s="725"/>
    </row>
    <row r="51" spans="1:8" ht="15" customHeight="1">
      <c r="A51" s="132" t="s">
        <v>128</v>
      </c>
      <c r="B51" s="722" t="s">
        <v>116</v>
      </c>
      <c r="C51" s="722"/>
      <c r="D51" s="781">
        <v>108000000</v>
      </c>
      <c r="E51" s="781"/>
      <c r="F51" s="725" t="s">
        <v>139</v>
      </c>
      <c r="G51" s="725"/>
      <c r="H51" s="725"/>
    </row>
    <row r="52" spans="1:8" ht="15" customHeight="1">
      <c r="A52" s="132" t="s">
        <v>129</v>
      </c>
      <c r="B52" s="722" t="s">
        <v>117</v>
      </c>
      <c r="C52" s="722"/>
      <c r="D52" s="781">
        <f>D51*30%</f>
        <v>32400000</v>
      </c>
      <c r="E52" s="781"/>
      <c r="F52" s="725" t="s">
        <v>123</v>
      </c>
      <c r="G52" s="725"/>
      <c r="H52" s="725"/>
    </row>
    <row r="53" spans="1:8" ht="15" customHeight="1">
      <c r="A53" s="132" t="s">
        <v>130</v>
      </c>
      <c r="B53" s="722" t="s">
        <v>118</v>
      </c>
      <c r="C53" s="722"/>
      <c r="D53" s="781">
        <v>8400000</v>
      </c>
      <c r="E53" s="781"/>
      <c r="F53" s="725" t="s">
        <v>140</v>
      </c>
      <c r="G53" s="725"/>
      <c r="H53" s="725"/>
    </row>
    <row r="54" spans="1:8" ht="15" customHeight="1">
      <c r="A54" s="132" t="s">
        <v>131</v>
      </c>
      <c r="B54" s="722" t="s">
        <v>119</v>
      </c>
      <c r="C54" s="722"/>
      <c r="D54" s="781">
        <v>36000000</v>
      </c>
      <c r="E54" s="781"/>
      <c r="F54" s="725" t="s">
        <v>141</v>
      </c>
      <c r="G54" s="725"/>
      <c r="H54" s="725"/>
    </row>
    <row r="55" spans="1:8" ht="15" customHeight="1">
      <c r="A55" s="132" t="s">
        <v>132</v>
      </c>
      <c r="B55" s="722" t="s">
        <v>120</v>
      </c>
      <c r="C55" s="722"/>
      <c r="D55" s="781">
        <v>13050000</v>
      </c>
      <c r="E55" s="781"/>
      <c r="F55" s="725" t="s">
        <v>126</v>
      </c>
      <c r="G55" s="725"/>
      <c r="H55" s="725"/>
    </row>
    <row r="56" spans="1:8" ht="15" customHeight="1">
      <c r="A56" s="132"/>
      <c r="B56" s="722" t="s">
        <v>127</v>
      </c>
      <c r="C56" s="722"/>
      <c r="D56" s="781">
        <f>D51-D52-D53-D54-D55</f>
        <v>18150000</v>
      </c>
      <c r="E56" s="781"/>
      <c r="F56" s="725" t="s">
        <v>133</v>
      </c>
      <c r="G56" s="725"/>
      <c r="H56" s="725"/>
    </row>
  </sheetData>
  <mergeCells count="97">
    <mergeCell ref="B56:C56"/>
    <mergeCell ref="D56:E56"/>
    <mergeCell ref="F56:H56"/>
    <mergeCell ref="G28:H28"/>
    <mergeCell ref="G38:H38"/>
    <mergeCell ref="G49:H49"/>
    <mergeCell ref="B54:C54"/>
    <mergeCell ref="D54:E54"/>
    <mergeCell ref="F54:H54"/>
    <mergeCell ref="B55:C55"/>
    <mergeCell ref="D55:E55"/>
    <mergeCell ref="F55:H55"/>
    <mergeCell ref="B52:C52"/>
    <mergeCell ref="D52:E52"/>
    <mergeCell ref="F52:H52"/>
    <mergeCell ref="B53:C53"/>
    <mergeCell ref="D53:E53"/>
    <mergeCell ref="F53:H53"/>
    <mergeCell ref="B50:C50"/>
    <mergeCell ref="D50:E50"/>
    <mergeCell ref="F50:H50"/>
    <mergeCell ref="B51:C51"/>
    <mergeCell ref="D51:E51"/>
    <mergeCell ref="F51:H51"/>
    <mergeCell ref="B44:C44"/>
    <mergeCell ref="D44:E44"/>
    <mergeCell ref="F44:H44"/>
    <mergeCell ref="B45:C45"/>
    <mergeCell ref="D45:E45"/>
    <mergeCell ref="F45:H45"/>
    <mergeCell ref="B42:C42"/>
    <mergeCell ref="D42:E42"/>
    <mergeCell ref="F42:H42"/>
    <mergeCell ref="B43:C43"/>
    <mergeCell ref="D43:E43"/>
    <mergeCell ref="F43:H43"/>
    <mergeCell ref="B40:C40"/>
    <mergeCell ref="D40:E40"/>
    <mergeCell ref="F40:H40"/>
    <mergeCell ref="B41:C41"/>
    <mergeCell ref="D41:E41"/>
    <mergeCell ref="F41:H41"/>
    <mergeCell ref="F34:H34"/>
    <mergeCell ref="F35:H35"/>
    <mergeCell ref="B39:C39"/>
    <mergeCell ref="D39:E39"/>
    <mergeCell ref="F39:H39"/>
    <mergeCell ref="D34:E34"/>
    <mergeCell ref="D35:E35"/>
    <mergeCell ref="D29:E29"/>
    <mergeCell ref="B29:C29"/>
    <mergeCell ref="F29:H29"/>
    <mergeCell ref="F30:H30"/>
    <mergeCell ref="F31:H31"/>
    <mergeCell ref="B30:C30"/>
    <mergeCell ref="B31:C31"/>
    <mergeCell ref="F32:H32"/>
    <mergeCell ref="D30:E30"/>
    <mergeCell ref="D31:E31"/>
    <mergeCell ref="D32:E32"/>
    <mergeCell ref="D33:E33"/>
    <mergeCell ref="F33:H33"/>
    <mergeCell ref="B32:C32"/>
    <mergeCell ref="B33:C33"/>
    <mergeCell ref="B34:C34"/>
    <mergeCell ref="B35:C35"/>
    <mergeCell ref="A7:A8"/>
    <mergeCell ref="A9:A10"/>
    <mergeCell ref="A15:B15"/>
    <mergeCell ref="A21:B21"/>
    <mergeCell ref="A22:B22"/>
    <mergeCell ref="A23:B23"/>
    <mergeCell ref="A24:B24"/>
    <mergeCell ref="A25:B25"/>
    <mergeCell ref="A11:B11"/>
    <mergeCell ref="A16:B16"/>
    <mergeCell ref="A17:B17"/>
    <mergeCell ref="A18:B18"/>
    <mergeCell ref="F15:H15"/>
    <mergeCell ref="D6:H6"/>
    <mergeCell ref="D7:H7"/>
    <mergeCell ref="D8:H8"/>
    <mergeCell ref="D9:H9"/>
    <mergeCell ref="D10:H10"/>
    <mergeCell ref="D11:H11"/>
    <mergeCell ref="F21:H21"/>
    <mergeCell ref="F22:H22"/>
    <mergeCell ref="F23:H23"/>
    <mergeCell ref="F24:H24"/>
    <mergeCell ref="F25:H25"/>
    <mergeCell ref="A19:B19"/>
    <mergeCell ref="A20:B20"/>
    <mergeCell ref="F16:H16"/>
    <mergeCell ref="F17:H17"/>
    <mergeCell ref="F18:H18"/>
    <mergeCell ref="F19:H19"/>
    <mergeCell ref="F20:H20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4"/>
  <sheetViews>
    <sheetView workbookViewId="0">
      <selection activeCell="J6" sqref="J6"/>
    </sheetView>
  </sheetViews>
  <sheetFormatPr defaultRowHeight="16.5"/>
  <cols>
    <col min="10" max="10" width="43.5" bestFit="1" customWidth="1"/>
  </cols>
  <sheetData>
    <row r="4" spans="3:10">
      <c r="C4" t="s">
        <v>380</v>
      </c>
      <c r="D4" t="s">
        <v>392</v>
      </c>
      <c r="E4" t="s">
        <v>395</v>
      </c>
      <c r="F4" t="s">
        <v>397</v>
      </c>
      <c r="G4" t="s">
        <v>400</v>
      </c>
    </row>
    <row r="5" spans="3:10">
      <c r="C5" t="s">
        <v>391</v>
      </c>
      <c r="D5" t="s">
        <v>393</v>
      </c>
      <c r="E5" t="s">
        <v>396</v>
      </c>
      <c r="F5" t="s">
        <v>398</v>
      </c>
      <c r="G5" t="s">
        <v>401</v>
      </c>
      <c r="J5" t="s">
        <v>420</v>
      </c>
    </row>
    <row r="6" spans="3:10">
      <c r="D6" t="s">
        <v>394</v>
      </c>
      <c r="F6" t="s">
        <v>399</v>
      </c>
    </row>
    <row r="7" spans="3:10">
      <c r="J7" t="s">
        <v>405</v>
      </c>
    </row>
    <row r="8" spans="3:10">
      <c r="J8" t="s">
        <v>406</v>
      </c>
    </row>
    <row r="9" spans="3:10">
      <c r="J9" t="s">
        <v>402</v>
      </c>
    </row>
    <row r="10" spans="3:10" s="236" customFormat="1">
      <c r="J10" s="236" t="s">
        <v>419</v>
      </c>
    </row>
    <row r="12" spans="3:10">
      <c r="J12" t="s">
        <v>407</v>
      </c>
    </row>
    <row r="13" spans="3:10">
      <c r="J13" t="s">
        <v>403</v>
      </c>
    </row>
    <row r="14" spans="3:10">
      <c r="J14" t="s">
        <v>404</v>
      </c>
    </row>
    <row r="16" spans="3:10">
      <c r="J16" t="s">
        <v>408</v>
      </c>
    </row>
    <row r="17" spans="3:10">
      <c r="C17" s="236"/>
      <c r="D17" s="236"/>
      <c r="E17" s="236"/>
      <c r="F17" s="236"/>
      <c r="G17" s="236"/>
      <c r="J17" t="s">
        <v>416</v>
      </c>
    </row>
    <row r="18" spans="3:10">
      <c r="C18" s="236" t="s">
        <v>381</v>
      </c>
      <c r="D18" s="236"/>
      <c r="E18" s="236"/>
      <c r="F18" s="236"/>
      <c r="G18" s="236"/>
      <c r="J18" t="s">
        <v>409</v>
      </c>
    </row>
    <row r="19" spans="3:10">
      <c r="C19" s="236" t="s">
        <v>382</v>
      </c>
      <c r="D19" s="236"/>
      <c r="E19" s="236"/>
      <c r="F19" s="236"/>
      <c r="G19" s="236"/>
      <c r="J19" t="s">
        <v>410</v>
      </c>
    </row>
    <row r="20" spans="3:10">
      <c r="C20" s="236"/>
      <c r="D20" s="236"/>
      <c r="E20" s="236"/>
      <c r="F20" s="236"/>
      <c r="G20" s="236"/>
    </row>
    <row r="21" spans="3:10">
      <c r="C21" s="236" t="s">
        <v>383</v>
      </c>
      <c r="D21" s="236"/>
      <c r="E21" s="236"/>
      <c r="F21" s="236"/>
      <c r="G21" s="236"/>
      <c r="J21" t="s">
        <v>411</v>
      </c>
    </row>
    <row r="22" spans="3:10">
      <c r="C22" s="236" t="s">
        <v>384</v>
      </c>
      <c r="D22" s="236"/>
      <c r="E22" s="236"/>
      <c r="F22" s="236"/>
      <c r="G22" s="236"/>
      <c r="J22" t="s">
        <v>412</v>
      </c>
    </row>
    <row r="23" spans="3:10">
      <c r="C23" s="236"/>
      <c r="D23" s="236"/>
      <c r="E23" s="236"/>
      <c r="F23" s="236"/>
      <c r="G23" s="236"/>
      <c r="J23" t="s">
        <v>413</v>
      </c>
    </row>
    <row r="24" spans="3:10">
      <c r="C24" s="236" t="s">
        <v>385</v>
      </c>
      <c r="D24" s="236"/>
      <c r="E24" s="236"/>
      <c r="F24" s="236"/>
      <c r="G24" s="236"/>
      <c r="J24" s="236" t="s">
        <v>417</v>
      </c>
    </row>
    <row r="25" spans="3:10">
      <c r="C25" s="236" t="s">
        <v>386</v>
      </c>
      <c r="D25" s="236"/>
      <c r="E25" s="236"/>
      <c r="F25" s="236"/>
      <c r="G25" s="236"/>
    </row>
    <row r="26" spans="3:10">
      <c r="C26" s="236"/>
      <c r="D26" s="236"/>
      <c r="E26" s="236"/>
      <c r="F26" s="236"/>
      <c r="G26" s="236"/>
      <c r="J26" t="s">
        <v>414</v>
      </c>
    </row>
    <row r="27" spans="3:10">
      <c r="C27" s="236" t="s">
        <v>387</v>
      </c>
      <c r="D27" s="236"/>
      <c r="E27" s="236"/>
      <c r="F27" s="236"/>
      <c r="G27" s="236"/>
      <c r="J27" t="s">
        <v>415</v>
      </c>
    </row>
    <row r="28" spans="3:10">
      <c r="C28" s="236"/>
      <c r="D28" s="236"/>
      <c r="E28" s="236"/>
      <c r="F28" s="236"/>
      <c r="G28" s="236"/>
      <c r="J28" t="s">
        <v>418</v>
      </c>
    </row>
    <row r="29" spans="3:10">
      <c r="C29" s="236" t="s">
        <v>82</v>
      </c>
      <c r="D29" s="236"/>
      <c r="E29" s="236"/>
      <c r="F29" s="236"/>
      <c r="G29" s="236"/>
    </row>
    <row r="30" spans="3:10">
      <c r="C30" s="236" t="s">
        <v>388</v>
      </c>
      <c r="D30" s="236"/>
      <c r="E30" s="236"/>
      <c r="F30" s="236"/>
      <c r="G30" s="236"/>
    </row>
    <row r="31" spans="3:10">
      <c r="C31" s="236"/>
      <c r="D31" s="236"/>
      <c r="E31" s="236"/>
      <c r="F31" s="236"/>
      <c r="G31" s="236"/>
    </row>
    <row r="32" spans="3:10">
      <c r="C32" s="236" t="s">
        <v>389</v>
      </c>
      <c r="D32" s="236"/>
      <c r="E32" s="236"/>
      <c r="F32" s="236"/>
      <c r="G32" s="236"/>
    </row>
    <row r="33" spans="3:7">
      <c r="C33" s="236" t="s">
        <v>390</v>
      </c>
      <c r="D33" s="236"/>
      <c r="E33" s="236"/>
      <c r="F33" s="236"/>
      <c r="G33" s="236"/>
    </row>
    <row r="34" spans="3:7">
      <c r="C34" s="236"/>
      <c r="D34" s="236"/>
      <c r="E34" s="236"/>
      <c r="F34" s="236"/>
      <c r="G34" s="236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R51"/>
  <sheetViews>
    <sheetView topLeftCell="A37" workbookViewId="0">
      <selection activeCell="H41" sqref="H41"/>
    </sheetView>
  </sheetViews>
  <sheetFormatPr defaultRowHeight="15" customHeight="1"/>
  <cols>
    <col min="1" max="1" width="9" style="381"/>
    <col min="2" max="2" width="23.125" style="381" bestFit="1" customWidth="1"/>
    <col min="3" max="3" width="11.5" style="381" bestFit="1" customWidth="1"/>
    <col min="4" max="4" width="10.5" style="381" bestFit="1" customWidth="1"/>
    <col min="5" max="5" width="11.125" style="381" bestFit="1" customWidth="1"/>
    <col min="6" max="10" width="10.5" style="381" bestFit="1" customWidth="1"/>
    <col min="11" max="11" width="11.25" style="381" bestFit="1" customWidth="1"/>
    <col min="12" max="14" width="10.5" style="381" bestFit="1" customWidth="1"/>
    <col min="15" max="15" width="11.5" style="381" bestFit="1" customWidth="1"/>
    <col min="16" max="16" width="10.5" style="381" bestFit="1" customWidth="1"/>
    <col min="17" max="17" width="13.875" style="381" bestFit="1" customWidth="1"/>
    <col min="18" max="18" width="11.75" style="381" bestFit="1" customWidth="1"/>
    <col min="19" max="16384" width="9" style="381"/>
  </cols>
  <sheetData>
    <row r="3" spans="1:18" ht="15" customHeight="1">
      <c r="K3" s="337" t="s">
        <v>890</v>
      </c>
      <c r="L3" s="337">
        <v>9860</v>
      </c>
    </row>
    <row r="5" spans="1:18" ht="15" customHeight="1">
      <c r="K5" s="786" t="s">
        <v>160</v>
      </c>
      <c r="L5" s="786"/>
    </row>
    <row r="6" spans="1:18" ht="15" customHeight="1">
      <c r="K6" s="68"/>
      <c r="L6" s="68" t="s">
        <v>155</v>
      </c>
      <c r="M6" s="68" t="s">
        <v>156</v>
      </c>
      <c r="N6" s="787" t="s">
        <v>154</v>
      </c>
      <c r="O6" s="787"/>
      <c r="P6" s="696"/>
      <c r="Q6" s="788"/>
      <c r="R6" s="697"/>
    </row>
    <row r="7" spans="1:18" ht="15" customHeight="1">
      <c r="K7" s="72" t="s">
        <v>149</v>
      </c>
      <c r="L7" s="72">
        <v>350000</v>
      </c>
      <c r="M7" s="72">
        <v>500000</v>
      </c>
      <c r="N7" s="789" t="s">
        <v>159</v>
      </c>
      <c r="O7" s="784"/>
      <c r="P7" s="790" t="s">
        <v>234</v>
      </c>
      <c r="Q7" s="791"/>
      <c r="R7" s="792"/>
    </row>
    <row r="8" spans="1:18" ht="15" customHeight="1">
      <c r="K8" s="72" t="s">
        <v>148</v>
      </c>
      <c r="L8" s="72">
        <v>700000</v>
      </c>
      <c r="M8" s="72">
        <v>900000</v>
      </c>
      <c r="N8" s="784"/>
      <c r="O8" s="784"/>
      <c r="P8" s="793"/>
      <c r="Q8" s="794"/>
      <c r="R8" s="795"/>
    </row>
    <row r="10" spans="1:18" ht="15" customHeight="1">
      <c r="K10" s="381" t="s">
        <v>161</v>
      </c>
    </row>
    <row r="11" spans="1:18" ht="15" customHeight="1">
      <c r="K11" s="72" t="s">
        <v>149</v>
      </c>
      <c r="L11" s="696">
        <v>1237000</v>
      </c>
      <c r="M11" s="697"/>
      <c r="N11" s="696" t="s">
        <v>816</v>
      </c>
      <c r="O11" s="697"/>
    </row>
    <row r="12" spans="1:18" ht="15" customHeight="1">
      <c r="K12" s="72" t="s">
        <v>148</v>
      </c>
      <c r="L12" s="696">
        <f>L11*2</f>
        <v>2474000</v>
      </c>
      <c r="M12" s="697"/>
      <c r="N12" s="696" t="s">
        <v>162</v>
      </c>
      <c r="O12" s="697"/>
    </row>
    <row r="15" spans="1:18" ht="15" customHeight="1" thickBot="1">
      <c r="A15" s="381" t="s">
        <v>368</v>
      </c>
    </row>
    <row r="16" spans="1:18" ht="24.75" customHeight="1" thickBot="1">
      <c r="A16" s="389" t="s">
        <v>150</v>
      </c>
      <c r="B16" s="427" t="s">
        <v>151</v>
      </c>
      <c r="C16" s="390" t="s">
        <v>157</v>
      </c>
      <c r="D16" s="390" t="s">
        <v>158</v>
      </c>
      <c r="E16" s="427" t="s">
        <v>817</v>
      </c>
      <c r="F16" s="427" t="s">
        <v>152</v>
      </c>
      <c r="G16" s="427" t="s">
        <v>153</v>
      </c>
      <c r="H16" s="390" t="s">
        <v>163</v>
      </c>
      <c r="I16" s="390" t="s">
        <v>164</v>
      </c>
      <c r="J16" s="391" t="s">
        <v>154</v>
      </c>
      <c r="K16" s="796" t="s">
        <v>165</v>
      </c>
      <c r="L16" s="796"/>
      <c r="M16" s="796" t="s">
        <v>166</v>
      </c>
      <c r="N16" s="796"/>
      <c r="O16" s="796" t="s">
        <v>167</v>
      </c>
      <c r="P16" s="796"/>
      <c r="Q16" s="427" t="s">
        <v>233</v>
      </c>
      <c r="R16" s="392" t="s">
        <v>232</v>
      </c>
    </row>
    <row r="17" spans="1:18" ht="15" customHeight="1">
      <c r="A17" s="799" t="s">
        <v>367</v>
      </c>
      <c r="B17" s="387" t="s">
        <v>362</v>
      </c>
      <c r="C17" s="387">
        <v>8</v>
      </c>
      <c r="D17" s="387">
        <v>209</v>
      </c>
      <c r="E17" s="387">
        <v>2110162</v>
      </c>
      <c r="F17" s="387" t="s">
        <v>359</v>
      </c>
      <c r="G17" s="387" t="s">
        <v>359</v>
      </c>
      <c r="H17" s="387">
        <v>0</v>
      </c>
      <c r="I17" s="387">
        <v>0</v>
      </c>
      <c r="J17" s="387"/>
      <c r="K17" s="783">
        <f>(E17+E18+E19+E20+E21)*12</f>
        <v>68745384</v>
      </c>
      <c r="L17" s="783"/>
      <c r="M17" s="783">
        <f>(H17+H18+H19+H20+H21)*8</f>
        <v>21664000</v>
      </c>
      <c r="N17" s="783"/>
      <c r="O17" s="783">
        <f>(I17+I18+I19+I20+I21)*8</f>
        <v>79168000</v>
      </c>
      <c r="P17" s="783"/>
      <c r="Q17" s="387">
        <f>E17-50000</f>
        <v>2060162</v>
      </c>
      <c r="R17" s="388">
        <f t="shared" ref="R17:R21" si="0">Q17*60%</f>
        <v>1236097.2</v>
      </c>
    </row>
    <row r="18" spans="1:18" ht="15" customHeight="1">
      <c r="A18" s="800"/>
      <c r="B18" s="337" t="s">
        <v>363</v>
      </c>
      <c r="C18" s="337">
        <v>6</v>
      </c>
      <c r="D18" s="337">
        <v>157</v>
      </c>
      <c r="E18" s="337">
        <f>D18*$L$3</f>
        <v>1548020</v>
      </c>
      <c r="F18" s="337" t="s">
        <v>360</v>
      </c>
      <c r="G18" s="337" t="s">
        <v>361</v>
      </c>
      <c r="H18" s="337">
        <v>890000</v>
      </c>
      <c r="I18" s="337">
        <v>2474000</v>
      </c>
      <c r="J18" s="337"/>
      <c r="K18" s="784"/>
      <c r="L18" s="784"/>
      <c r="M18" s="784"/>
      <c r="N18" s="784"/>
      <c r="O18" s="784"/>
      <c r="P18" s="784"/>
      <c r="Q18" s="337">
        <f>E18-50000</f>
        <v>1498020</v>
      </c>
      <c r="R18" s="384">
        <f t="shared" si="0"/>
        <v>898812</v>
      </c>
    </row>
    <row r="19" spans="1:18" ht="15" customHeight="1">
      <c r="A19" s="800"/>
      <c r="B19" s="337" t="s">
        <v>364</v>
      </c>
      <c r="C19" s="337">
        <v>4</v>
      </c>
      <c r="D19" s="337">
        <v>105</v>
      </c>
      <c r="E19" s="337">
        <f t="shared" ref="E19:E21" si="1">D19*$L$3</f>
        <v>1035300</v>
      </c>
      <c r="F19" s="337" t="s">
        <v>360</v>
      </c>
      <c r="G19" s="337" t="s">
        <v>361</v>
      </c>
      <c r="H19" s="337">
        <v>606000</v>
      </c>
      <c r="I19" s="337">
        <v>2474000</v>
      </c>
      <c r="J19" s="337"/>
      <c r="K19" s="784"/>
      <c r="L19" s="784"/>
      <c r="M19" s="784"/>
      <c r="N19" s="784"/>
      <c r="O19" s="784"/>
      <c r="P19" s="784"/>
      <c r="Q19" s="337">
        <f>E19-50000</f>
        <v>985300</v>
      </c>
      <c r="R19" s="384">
        <f t="shared" si="0"/>
        <v>591180</v>
      </c>
    </row>
    <row r="20" spans="1:18" ht="15" customHeight="1">
      <c r="A20" s="800"/>
      <c r="B20" s="337" t="s">
        <v>365</v>
      </c>
      <c r="C20" s="337">
        <v>4</v>
      </c>
      <c r="D20" s="337">
        <v>105</v>
      </c>
      <c r="E20" s="337">
        <f t="shared" si="1"/>
        <v>1035300</v>
      </c>
      <c r="F20" s="337" t="s">
        <v>360</v>
      </c>
      <c r="G20" s="337" t="s">
        <v>361</v>
      </c>
      <c r="H20" s="337">
        <v>606000</v>
      </c>
      <c r="I20" s="337">
        <v>2474000</v>
      </c>
      <c r="J20" s="337"/>
      <c r="K20" s="784"/>
      <c r="L20" s="784"/>
      <c r="M20" s="784"/>
      <c r="N20" s="784"/>
      <c r="O20" s="784"/>
      <c r="P20" s="784"/>
      <c r="Q20" s="337">
        <f>E20-50000</f>
        <v>985300</v>
      </c>
      <c r="R20" s="384">
        <f t="shared" si="0"/>
        <v>591180</v>
      </c>
    </row>
    <row r="21" spans="1:18" ht="15" customHeight="1" thickBot="1">
      <c r="A21" s="801"/>
      <c r="B21" s="385" t="s">
        <v>366</v>
      </c>
      <c r="C21" s="385">
        <v>0</v>
      </c>
      <c r="D21" s="385">
        <v>0</v>
      </c>
      <c r="E21" s="385">
        <f t="shared" si="1"/>
        <v>0</v>
      </c>
      <c r="F21" s="385" t="s">
        <v>360</v>
      </c>
      <c r="G21" s="385" t="s">
        <v>361</v>
      </c>
      <c r="H21" s="385">
        <v>606000</v>
      </c>
      <c r="I21" s="385">
        <v>2474000</v>
      </c>
      <c r="J21" s="385"/>
      <c r="K21" s="785"/>
      <c r="L21" s="785"/>
      <c r="M21" s="785"/>
      <c r="N21" s="785"/>
      <c r="O21" s="785"/>
      <c r="P21" s="785"/>
      <c r="Q21" s="385">
        <f>E21-50000</f>
        <v>-50000</v>
      </c>
      <c r="R21" s="386">
        <f t="shared" si="0"/>
        <v>-30000</v>
      </c>
    </row>
    <row r="22" spans="1:18" ht="15" customHeight="1">
      <c r="A22" s="355"/>
      <c r="B22" s="393"/>
      <c r="C22" s="393"/>
      <c r="D22" s="393"/>
      <c r="E22" s="393"/>
      <c r="F22" s="393"/>
      <c r="G22" s="393"/>
      <c r="H22" s="393"/>
      <c r="I22" s="393"/>
      <c r="J22" s="393"/>
      <c r="K22" s="355"/>
      <c r="L22" s="355"/>
      <c r="M22" s="355"/>
      <c r="N22" s="355"/>
      <c r="O22" s="355"/>
      <c r="P22" s="355"/>
      <c r="Q22" s="393"/>
      <c r="R22" s="393"/>
    </row>
    <row r="23" spans="1:18" ht="15" customHeight="1">
      <c r="B23" s="438">
        <v>671412425</v>
      </c>
    </row>
    <row r="24" spans="1:18" ht="15" customHeight="1">
      <c r="A24" s="797" t="s">
        <v>892</v>
      </c>
      <c r="B24" s="381" t="s">
        <v>891</v>
      </c>
      <c r="C24" s="565" t="s">
        <v>369</v>
      </c>
      <c r="D24" s="565" t="s">
        <v>16</v>
      </c>
      <c r="E24" s="565" t="s">
        <v>17</v>
      </c>
      <c r="F24" s="565" t="s">
        <v>18</v>
      </c>
      <c r="G24" s="565" t="s">
        <v>19</v>
      </c>
      <c r="H24" s="565" t="s">
        <v>20</v>
      </c>
      <c r="I24" s="565" t="s">
        <v>21</v>
      </c>
      <c r="J24" s="565" t="s">
        <v>22</v>
      </c>
      <c r="K24" s="565" t="s">
        <v>23</v>
      </c>
      <c r="L24" s="565" t="s">
        <v>24</v>
      </c>
      <c r="M24" s="565" t="s">
        <v>25</v>
      </c>
      <c r="N24" s="565" t="s">
        <v>26</v>
      </c>
      <c r="O24" s="565" t="s">
        <v>370</v>
      </c>
    </row>
    <row r="25" spans="1:18" ht="15" customHeight="1">
      <c r="A25" s="798"/>
    </row>
    <row r="26" spans="1:18" ht="15" customHeight="1">
      <c r="A26" s="798"/>
      <c r="B26" s="381" t="s">
        <v>14</v>
      </c>
      <c r="C26" s="381">
        <v>1852749.7577493382</v>
      </c>
      <c r="D26" s="381">
        <v>2691619.2072309745</v>
      </c>
      <c r="E26" s="381">
        <v>6158614.4470102312</v>
      </c>
      <c r="F26" s="381">
        <v>6542269.0678689396</v>
      </c>
      <c r="G26" s="381">
        <v>7283774.5417723153</v>
      </c>
      <c r="H26" s="381">
        <v>5071333.9180948529</v>
      </c>
      <c r="I26" s="381">
        <v>3277266.3535181759</v>
      </c>
      <c r="J26" s="381">
        <v>3496619.1358640306</v>
      </c>
      <c r="K26" s="381">
        <v>5769818.5831596144</v>
      </c>
      <c r="L26" s="381">
        <v>4912267.7620394398</v>
      </c>
      <c r="M26" s="381">
        <v>5632403.9718236513</v>
      </c>
      <c r="N26" s="381">
        <v>3499166.9258408444</v>
      </c>
      <c r="O26" s="381">
        <v>56187903.671972401</v>
      </c>
      <c r="P26" s="589">
        <f>O26/$O$35</f>
        <v>8.1248664393308953E-2</v>
      </c>
      <c r="Q26" s="400">
        <f>O26/12</f>
        <v>4682325.3059977004</v>
      </c>
    </row>
    <row r="27" spans="1:18" ht="15" customHeight="1">
      <c r="A27" s="798"/>
      <c r="B27" s="381" t="s">
        <v>6</v>
      </c>
      <c r="C27" s="381">
        <v>2595717.4866740298</v>
      </c>
      <c r="D27" s="381">
        <v>3229245.4419877958</v>
      </c>
      <c r="E27" s="381">
        <v>9274805.4707886316</v>
      </c>
      <c r="F27" s="381">
        <v>9784514.9844145887</v>
      </c>
      <c r="G27" s="381">
        <v>6689219.989631352</v>
      </c>
      <c r="H27" s="381">
        <v>7661106.9074217612</v>
      </c>
      <c r="I27" s="381">
        <v>4797543.529543817</v>
      </c>
      <c r="J27" s="381">
        <v>3943153.8360282765</v>
      </c>
      <c r="K27" s="381">
        <v>7365900.5539169535</v>
      </c>
      <c r="L27" s="381">
        <v>8069243.1435770141</v>
      </c>
      <c r="M27" s="381">
        <v>8952153.555684315</v>
      </c>
      <c r="N27" s="381">
        <v>6241401.5354136182</v>
      </c>
      <c r="O27" s="381">
        <v>78604006.435082167</v>
      </c>
      <c r="P27" s="589">
        <f t="shared" ref="P27:P34" si="2">O27/$O$35</f>
        <v>0.11366273025770815</v>
      </c>
      <c r="Q27" s="400">
        <f t="shared" ref="Q27:Q35" si="3">O27/12</f>
        <v>6550333.8695901809</v>
      </c>
    </row>
    <row r="28" spans="1:18" ht="15" customHeight="1">
      <c r="A28" s="798"/>
      <c r="B28" s="381" t="s">
        <v>7</v>
      </c>
      <c r="C28" s="381">
        <v>1714817.2860474156</v>
      </c>
      <c r="D28" s="381">
        <v>773818.30026510532</v>
      </c>
      <c r="E28" s="381">
        <v>18907992.108543783</v>
      </c>
      <c r="F28" s="381">
        <v>15935647.957721014</v>
      </c>
      <c r="G28" s="381">
        <v>15788845.440833015</v>
      </c>
      <c r="H28" s="381">
        <v>12491481.123693267</v>
      </c>
      <c r="I28" s="381">
        <v>4405916.5573197817</v>
      </c>
      <c r="J28" s="381">
        <v>1414705.269316378</v>
      </c>
      <c r="K28" s="381">
        <v>14027985.283049844</v>
      </c>
      <c r="L28" s="381">
        <v>11444627.95060141</v>
      </c>
      <c r="M28" s="381">
        <v>11518783.686973372</v>
      </c>
      <c r="N28" s="381">
        <v>6794074.7790803416</v>
      </c>
      <c r="O28" s="381">
        <v>115218695.74344473</v>
      </c>
      <c r="P28" s="589">
        <f t="shared" si="2"/>
        <v>0.16660819376615296</v>
      </c>
      <c r="Q28" s="400">
        <f t="shared" si="3"/>
        <v>9601557.9786203932</v>
      </c>
    </row>
    <row r="29" spans="1:18" ht="15" customHeight="1">
      <c r="A29" s="798"/>
      <c r="B29" s="381" t="s">
        <v>8</v>
      </c>
      <c r="C29" s="381">
        <v>207370.38598240004</v>
      </c>
      <c r="D29" s="381">
        <v>240108.70883720188</v>
      </c>
      <c r="E29" s="381">
        <v>2829061.8390677017</v>
      </c>
      <c r="F29" s="381">
        <v>2532270.7705752798</v>
      </c>
      <c r="G29" s="381">
        <v>1943519.5754812972</v>
      </c>
      <c r="H29" s="381">
        <v>1433102.2847619837</v>
      </c>
      <c r="I29" s="381">
        <v>353322.94768057932</v>
      </c>
      <c r="J29" s="381">
        <v>407665.07662389986</v>
      </c>
      <c r="K29" s="381">
        <v>602110.74718013813</v>
      </c>
      <c r="L29" s="381">
        <v>492764.375238423</v>
      </c>
      <c r="M29" s="381">
        <v>440403.39947870164</v>
      </c>
      <c r="N29" s="381">
        <v>413515.13450548612</v>
      </c>
      <c r="O29" s="381">
        <v>11895215.245413093</v>
      </c>
      <c r="P29" s="589">
        <f t="shared" si="2"/>
        <v>1.7200683567107959E-2</v>
      </c>
      <c r="Q29" s="400">
        <f t="shared" si="3"/>
        <v>991267.93711775774</v>
      </c>
    </row>
    <row r="30" spans="1:18" ht="15" customHeight="1">
      <c r="A30" s="798"/>
      <c r="B30" s="381" t="s">
        <v>9</v>
      </c>
      <c r="C30" s="381">
        <v>3029516.3503431845</v>
      </c>
      <c r="D30" s="381">
        <v>4348177.7210061522</v>
      </c>
      <c r="E30" s="381">
        <v>11025360.31106885</v>
      </c>
      <c r="F30" s="381">
        <v>9560369.6586418841</v>
      </c>
      <c r="G30" s="381">
        <v>8054715.0328293955</v>
      </c>
      <c r="H30" s="381">
        <v>6675860.4375451971</v>
      </c>
      <c r="I30" s="381">
        <v>4343648.7778457403</v>
      </c>
      <c r="J30" s="381">
        <v>4505507.6438105628</v>
      </c>
      <c r="K30" s="381">
        <v>7437886.2581742443</v>
      </c>
      <c r="L30" s="381">
        <v>5883078.4850412719</v>
      </c>
      <c r="M30" s="381">
        <v>8622964.5615315512</v>
      </c>
      <c r="N30" s="381">
        <v>4412898.8509914717</v>
      </c>
      <c r="O30" s="381">
        <v>77899984.088829502</v>
      </c>
      <c r="P30" s="589">
        <f t="shared" si="2"/>
        <v>0.1126447019705164</v>
      </c>
      <c r="Q30" s="400">
        <f t="shared" si="3"/>
        <v>6491665.3407357922</v>
      </c>
    </row>
    <row r="31" spans="1:18" ht="15" customHeight="1">
      <c r="A31" s="798"/>
      <c r="B31" s="381" t="s">
        <v>10</v>
      </c>
      <c r="C31" s="381">
        <v>1127424.5663422917</v>
      </c>
      <c r="D31" s="381">
        <v>1492256.6752623229</v>
      </c>
      <c r="E31" s="381">
        <v>3130938.1095505035</v>
      </c>
      <c r="F31" s="381">
        <v>2362779.9504395882</v>
      </c>
      <c r="G31" s="381">
        <v>2427027.8453009045</v>
      </c>
      <c r="H31" s="381">
        <v>2123426.7573266714</v>
      </c>
      <c r="I31" s="381">
        <v>1955774.9122781132</v>
      </c>
      <c r="J31" s="381">
        <v>1841995.0744378467</v>
      </c>
      <c r="K31" s="381">
        <v>3353875.4404014139</v>
      </c>
      <c r="L31" s="381">
        <v>2756293.6363816876</v>
      </c>
      <c r="M31" s="381">
        <v>3069612.6491391696</v>
      </c>
      <c r="N31" s="381">
        <v>1990493.3505201901</v>
      </c>
      <c r="O31" s="381">
        <v>27631898.967380702</v>
      </c>
      <c r="P31" s="589">
        <f t="shared" si="2"/>
        <v>3.9956195889728686E-2</v>
      </c>
      <c r="Q31" s="400">
        <f t="shared" si="3"/>
        <v>2302658.2472817251</v>
      </c>
    </row>
    <row r="32" spans="1:18" ht="15" customHeight="1">
      <c r="A32" s="798"/>
      <c r="B32" s="381" t="s">
        <v>11</v>
      </c>
      <c r="C32" s="381">
        <v>2397969.5482130186</v>
      </c>
      <c r="D32" s="381">
        <v>2240224.5068787802</v>
      </c>
      <c r="E32" s="381">
        <v>10956206.752981303</v>
      </c>
      <c r="F32" s="381">
        <v>9048264.911098823</v>
      </c>
      <c r="G32" s="381">
        <v>7266838.7435517013</v>
      </c>
      <c r="H32" s="381">
        <v>6771903.2984022833</v>
      </c>
      <c r="I32" s="381">
        <v>3360478.9384146356</v>
      </c>
      <c r="J32" s="381">
        <v>3247075.8206401868</v>
      </c>
      <c r="K32" s="381">
        <v>8417187.1929073613</v>
      </c>
      <c r="L32" s="381">
        <v>7576006.5710109128</v>
      </c>
      <c r="M32" s="381">
        <v>7891025.4941480365</v>
      </c>
      <c r="N32" s="381">
        <v>5727314.5968906339</v>
      </c>
      <c r="O32" s="381">
        <v>74900496.375137657</v>
      </c>
      <c r="P32" s="589">
        <f t="shared" si="2"/>
        <v>0.10830739171910786</v>
      </c>
      <c r="Q32" s="400">
        <f t="shared" si="3"/>
        <v>6241708.0312614711</v>
      </c>
    </row>
    <row r="33" spans="1:17" ht="15" customHeight="1">
      <c r="A33" s="798"/>
      <c r="B33" s="381" t="s">
        <v>12</v>
      </c>
      <c r="C33" s="381">
        <v>3595237.807198693</v>
      </c>
      <c r="D33" s="381">
        <v>5142941.8644900005</v>
      </c>
      <c r="E33" s="381">
        <v>21642754.584579673</v>
      </c>
      <c r="F33" s="381">
        <v>19107953.666565098</v>
      </c>
      <c r="G33" s="381">
        <v>19211873.40152565</v>
      </c>
      <c r="H33" s="381">
        <v>14636984.92223246</v>
      </c>
      <c r="I33" s="381">
        <v>5658348.8799378341</v>
      </c>
      <c r="J33" s="381">
        <v>5808451.5891379584</v>
      </c>
      <c r="K33" s="381">
        <v>20102019.329607833</v>
      </c>
      <c r="L33" s="381">
        <v>20205761.601396881</v>
      </c>
      <c r="M33" s="381">
        <v>20975561.554293267</v>
      </c>
      <c r="N33" s="381">
        <v>13941123.806276206</v>
      </c>
      <c r="O33" s="381">
        <v>170029013.00724155</v>
      </c>
      <c r="P33" s="589">
        <f t="shared" si="2"/>
        <v>0.24586484478227533</v>
      </c>
      <c r="Q33" s="400">
        <f t="shared" si="3"/>
        <v>14169084.41727013</v>
      </c>
    </row>
    <row r="34" spans="1:17" ht="15" customHeight="1">
      <c r="A34" s="798"/>
      <c r="B34" s="381" t="s">
        <v>13</v>
      </c>
      <c r="C34" s="381">
        <v>2866865.6457827166</v>
      </c>
      <c r="D34" s="381">
        <v>3958344.0608309684</v>
      </c>
      <c r="E34" s="381">
        <v>9485835.1266114563</v>
      </c>
      <c r="F34" s="381">
        <v>8765698.9168272447</v>
      </c>
      <c r="G34" s="381">
        <v>8575311.0299000666</v>
      </c>
      <c r="H34" s="381">
        <v>6384617.4282039125</v>
      </c>
      <c r="I34" s="381">
        <v>5432014.8417166146</v>
      </c>
      <c r="J34" s="381">
        <v>4850848.8999588955</v>
      </c>
      <c r="K34" s="381">
        <v>8774755.7653517462</v>
      </c>
      <c r="L34" s="381">
        <v>7233911.5417658277</v>
      </c>
      <c r="M34" s="381">
        <v>7613179.3975605909</v>
      </c>
      <c r="N34" s="381">
        <v>5246201.5609881291</v>
      </c>
      <c r="O34" s="381">
        <v>79187584.215498164</v>
      </c>
      <c r="P34" s="589">
        <f t="shared" si="2"/>
        <v>0.11450659365409364</v>
      </c>
      <c r="Q34" s="400">
        <f t="shared" si="3"/>
        <v>6598965.351291514</v>
      </c>
    </row>
    <row r="35" spans="1:17" ht="15" customHeight="1">
      <c r="A35" s="798"/>
      <c r="B35" s="381" t="s">
        <v>371</v>
      </c>
      <c r="C35" s="381">
        <v>19387668.834333088</v>
      </c>
      <c r="D35" s="381">
        <v>24116736.486789301</v>
      </c>
      <c r="E35" s="381">
        <v>93411568.750202134</v>
      </c>
      <c r="F35" s="381">
        <v>83639769.884152457</v>
      </c>
      <c r="G35" s="381">
        <v>77241125.600825697</v>
      </c>
      <c r="H35" s="381">
        <v>63249817.077682391</v>
      </c>
      <c r="I35" s="381">
        <v>33584315.738255292</v>
      </c>
      <c r="J35" s="381">
        <v>29516022.345818035</v>
      </c>
      <c r="K35" s="381">
        <v>75851539.153749153</v>
      </c>
      <c r="L35" s="381">
        <v>68573955.067052871</v>
      </c>
      <c r="M35" s="381">
        <v>74716088.270632654</v>
      </c>
      <c r="N35" s="381">
        <v>48266190.540506922</v>
      </c>
      <c r="O35" s="381">
        <v>691554797.75</v>
      </c>
      <c r="P35" s="590">
        <f>SUM(P26:P34)</f>
        <v>0.99999999999999989</v>
      </c>
      <c r="Q35" s="400">
        <f t="shared" si="3"/>
        <v>57629566.479166664</v>
      </c>
    </row>
    <row r="38" spans="1:17" ht="15" customHeight="1">
      <c r="A38" s="381" t="s">
        <v>374</v>
      </c>
    </row>
    <row r="39" spans="1:17" ht="15" customHeight="1" thickBot="1">
      <c r="B39" s="408" t="s">
        <v>376</v>
      </c>
    </row>
    <row r="40" spans="1:17" ht="15" customHeight="1" thickBot="1">
      <c r="A40" s="44"/>
      <c r="B40" s="394" t="s">
        <v>893</v>
      </c>
      <c r="C40" s="383" t="s">
        <v>375</v>
      </c>
    </row>
    <row r="41" spans="1:17" ht="15" customHeight="1">
      <c r="A41" s="75" t="s">
        <v>4</v>
      </c>
      <c r="B41" s="395">
        <v>74606972.5</v>
      </c>
      <c r="C41" s="400">
        <f>B41/12</f>
        <v>6217247.708333333</v>
      </c>
      <c r="D41" s="381">
        <f>C41/20</f>
        <v>310862.38541666663</v>
      </c>
      <c r="E41" s="589">
        <f>B41/O35</f>
        <v>0.10788295120319696</v>
      </c>
    </row>
    <row r="42" spans="1:17" ht="15" customHeight="1">
      <c r="A42" s="69" t="s">
        <v>43</v>
      </c>
      <c r="B42" s="396">
        <f>B41*25%</f>
        <v>18651743.125</v>
      </c>
      <c r="D42" s="381">
        <v>4363636</v>
      </c>
      <c r="E42" s="256"/>
      <c r="G42" s="381" t="s">
        <v>372</v>
      </c>
    </row>
    <row r="43" spans="1:17" ht="15" customHeight="1">
      <c r="A43" s="69" t="s">
        <v>168</v>
      </c>
      <c r="B43" s="588">
        <v>4363636</v>
      </c>
      <c r="C43" s="400">
        <f>D42/12</f>
        <v>363636.33333333331</v>
      </c>
      <c r="D43" s="381">
        <f>B43*1.1</f>
        <v>4799999.6000000006</v>
      </c>
    </row>
    <row r="44" spans="1:17" ht="15" customHeight="1">
      <c r="A44" s="137" t="s">
        <v>169</v>
      </c>
      <c r="B44" s="399">
        <f>B41*3%</f>
        <v>2238209.1749999998</v>
      </c>
    </row>
    <row r="45" spans="1:17" ht="15" customHeight="1" thickBot="1">
      <c r="A45" s="36" t="s">
        <v>42</v>
      </c>
      <c r="B45" s="397">
        <f>B51</f>
        <v>49353384</v>
      </c>
    </row>
    <row r="46" spans="1:17" ht="15" customHeight="1" thickBot="1">
      <c r="A46" s="64" t="s">
        <v>41</v>
      </c>
      <c r="B46" s="398">
        <f>B41-B42-B43-B44-B45</f>
        <v>0.20000000298023224</v>
      </c>
      <c r="C46" s="393"/>
      <c r="D46" s="393"/>
      <c r="E46" s="393"/>
    </row>
    <row r="47" spans="1:17" ht="15" customHeight="1">
      <c r="A47" s="406"/>
      <c r="B47" s="406"/>
      <c r="C47" s="406"/>
      <c r="D47" s="406"/>
      <c r="E47" s="406"/>
      <c r="F47" s="60"/>
      <c r="G47" s="60"/>
      <c r="H47" s="60"/>
      <c r="I47" s="60"/>
      <c r="J47" s="60"/>
      <c r="K47" s="47"/>
    </row>
    <row r="48" spans="1:17" ht="15" customHeight="1" thickBot="1">
      <c r="A48" s="407" t="s">
        <v>49</v>
      </c>
      <c r="B48" s="407"/>
      <c r="C48" s="407"/>
      <c r="D48" s="46"/>
      <c r="E48" s="45"/>
      <c r="F48" s="45"/>
      <c r="G48" s="45"/>
      <c r="H48" s="45"/>
      <c r="I48" s="45"/>
      <c r="J48" s="45"/>
      <c r="K48" s="47"/>
    </row>
    <row r="49" spans="1:2" ht="15" customHeight="1">
      <c r="A49" s="402" t="s">
        <v>40</v>
      </c>
      <c r="B49" s="403">
        <f>K17</f>
        <v>68745384</v>
      </c>
    </row>
    <row r="50" spans="1:2" ht="15" customHeight="1" thickBot="1">
      <c r="A50" s="53" t="s">
        <v>39</v>
      </c>
      <c r="B50" s="404">
        <v>19392000</v>
      </c>
    </row>
    <row r="51" spans="1:2" ht="15" customHeight="1" thickBot="1">
      <c r="A51" s="138" t="s">
        <v>37</v>
      </c>
      <c r="B51" s="405">
        <f>B49-B50</f>
        <v>49353384</v>
      </c>
    </row>
  </sheetData>
  <mergeCells count="17">
    <mergeCell ref="A24:A35"/>
    <mergeCell ref="A17:A21"/>
    <mergeCell ref="K5:L5"/>
    <mergeCell ref="N6:O6"/>
    <mergeCell ref="P6:R6"/>
    <mergeCell ref="N7:O8"/>
    <mergeCell ref="P7:R8"/>
    <mergeCell ref="L11:M11"/>
    <mergeCell ref="N11:O11"/>
    <mergeCell ref="L12:M12"/>
    <mergeCell ref="N12:O12"/>
    <mergeCell ref="K17:L21"/>
    <mergeCell ref="M17:N21"/>
    <mergeCell ref="O17:P21"/>
    <mergeCell ref="K16:L16"/>
    <mergeCell ref="M16:N16"/>
    <mergeCell ref="O16:P1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6:M23"/>
  <sheetViews>
    <sheetView showGridLines="0" zoomScaleNormal="100" workbookViewId="0">
      <selection activeCell="E30" sqref="E30"/>
    </sheetView>
  </sheetViews>
  <sheetFormatPr defaultRowHeight="16.5"/>
  <cols>
    <col min="1" max="3" width="9" style="236"/>
    <col min="4" max="4" width="13" style="236" bestFit="1" customWidth="1"/>
    <col min="5" max="10" width="12.625" style="236" customWidth="1"/>
    <col min="11" max="11" width="9" style="236"/>
    <col min="12" max="12" width="16.25" style="236" customWidth="1"/>
    <col min="13" max="13" width="27" style="236" customWidth="1"/>
    <col min="14" max="16384" width="9" style="236"/>
  </cols>
  <sheetData>
    <row r="6" spans="4:13">
      <c r="F6" s="236" t="s">
        <v>956</v>
      </c>
    </row>
    <row r="7" spans="4:13">
      <c r="F7" s="236" t="s">
        <v>955</v>
      </c>
      <c r="G7" s="236" t="s">
        <v>954</v>
      </c>
      <c r="H7" s="236" t="s">
        <v>953</v>
      </c>
      <c r="I7" s="236" t="s">
        <v>952</v>
      </c>
      <c r="L7" s="647"/>
      <c r="M7" s="647"/>
    </row>
    <row r="8" spans="4:13">
      <c r="D8" s="646" t="s">
        <v>939</v>
      </c>
      <c r="E8" s="646">
        <v>2024</v>
      </c>
      <c r="F8" s="646">
        <v>2025</v>
      </c>
      <c r="G8" s="646">
        <v>2026</v>
      </c>
      <c r="H8" s="646">
        <v>2027</v>
      </c>
      <c r="I8" s="646">
        <v>2028</v>
      </c>
      <c r="J8" s="646">
        <v>2029</v>
      </c>
      <c r="L8" s="634" t="s">
        <v>939</v>
      </c>
      <c r="M8" s="628" t="s">
        <v>951</v>
      </c>
    </row>
    <row r="9" spans="4:13">
      <c r="D9" s="623" t="s">
        <v>950</v>
      </c>
      <c r="E9" s="638">
        <v>6.91</v>
      </c>
      <c r="F9" s="638">
        <f>(E9*103%)-0.12-0.27+0.746+0.746</f>
        <v>8.2193000000000005</v>
      </c>
      <c r="G9" s="638">
        <f>F9*103%-0.56+0.746</f>
        <v>8.651879000000001</v>
      </c>
      <c r="H9" s="638">
        <f>G9*103%+0.746</f>
        <v>9.6574353700000017</v>
      </c>
      <c r="I9" s="638">
        <f>H9*103%+0.746</f>
        <v>10.693158431100002</v>
      </c>
      <c r="J9" s="638">
        <f>I9*103%+0.746</f>
        <v>11.759953184033003</v>
      </c>
      <c r="L9" s="645" t="s">
        <v>4</v>
      </c>
      <c r="M9" s="644">
        <v>74606972.5</v>
      </c>
    </row>
    <row r="10" spans="4:13">
      <c r="D10" s="623" t="s">
        <v>949</v>
      </c>
      <c r="E10" s="638">
        <v>1.86</v>
      </c>
      <c r="F10" s="638">
        <f>F9*27%</f>
        <v>2.2192110000000005</v>
      </c>
      <c r="G10" s="638">
        <f>G9*27%</f>
        <v>2.3360073300000006</v>
      </c>
      <c r="H10" s="638">
        <f>H9*27%</f>
        <v>2.6075075499000007</v>
      </c>
      <c r="I10" s="638">
        <f>I9*27%</f>
        <v>2.8871527763970009</v>
      </c>
      <c r="J10" s="638">
        <f>J9*27%</f>
        <v>3.1751873596889113</v>
      </c>
      <c r="L10" s="628" t="s">
        <v>43</v>
      </c>
      <c r="M10" s="643">
        <v>18651743.125</v>
      </c>
    </row>
    <row r="11" spans="4:13">
      <c r="D11" s="623" t="s">
        <v>948</v>
      </c>
      <c r="E11" s="638">
        <v>12.9</v>
      </c>
      <c r="F11" s="638">
        <f>E11*103%</f>
        <v>13.287000000000001</v>
      </c>
      <c r="G11" s="638">
        <f>F11*103%</f>
        <v>13.68561</v>
      </c>
      <c r="H11" s="638">
        <f>G11*103%</f>
        <v>14.0961783</v>
      </c>
      <c r="I11" s="638">
        <f>H11*103%</f>
        <v>14.519063649</v>
      </c>
      <c r="J11" s="638">
        <f>I11*103%</f>
        <v>14.954635558470001</v>
      </c>
      <c r="L11" s="628" t="s">
        <v>947</v>
      </c>
      <c r="M11" s="642">
        <v>4363636</v>
      </c>
    </row>
    <row r="12" spans="4:13">
      <c r="D12" s="637" t="s">
        <v>946</v>
      </c>
      <c r="E12" s="636">
        <f t="shared" ref="E12:J12" si="0">E9-E10-E11</f>
        <v>-7.8500000000000005</v>
      </c>
      <c r="F12" s="636">
        <f t="shared" si="0"/>
        <v>-7.2869110000000008</v>
      </c>
      <c r="G12" s="636">
        <f t="shared" si="0"/>
        <v>-7.3697383300000006</v>
      </c>
      <c r="H12" s="636">
        <f t="shared" si="0"/>
        <v>-7.0462504798999994</v>
      </c>
      <c r="I12" s="636">
        <f t="shared" si="0"/>
        <v>-6.7130579942969977</v>
      </c>
      <c r="J12" s="636">
        <f t="shared" si="0"/>
        <v>-6.3698697341259081</v>
      </c>
      <c r="L12" s="628" t="s">
        <v>945</v>
      </c>
      <c r="M12" s="642">
        <v>2238209.1749999998</v>
      </c>
    </row>
    <row r="13" spans="4:13">
      <c r="D13" s="623" t="s">
        <v>944</v>
      </c>
      <c r="E13" s="638">
        <v>3.29</v>
      </c>
      <c r="F13" s="638">
        <v>3.29</v>
      </c>
      <c r="G13" s="638">
        <v>3.29</v>
      </c>
      <c r="H13" s="638">
        <v>3.29</v>
      </c>
      <c r="I13" s="638">
        <v>3.29</v>
      </c>
      <c r="J13" s="638">
        <v>3.29</v>
      </c>
      <c r="L13" s="632" t="s">
        <v>943</v>
      </c>
      <c r="M13" s="641">
        <v>49353384</v>
      </c>
    </row>
    <row r="14" spans="4:13">
      <c r="D14" s="623" t="s">
        <v>942</v>
      </c>
      <c r="E14" s="638">
        <v>13.16</v>
      </c>
      <c r="F14" s="638">
        <f>E14*103%</f>
        <v>13.5548</v>
      </c>
      <c r="G14" s="638">
        <f>F14*103%</f>
        <v>13.961444</v>
      </c>
      <c r="H14" s="638">
        <f>G14*103%</f>
        <v>14.380287320000001</v>
      </c>
      <c r="I14" s="638">
        <f>H14*103%</f>
        <v>14.811695939600002</v>
      </c>
      <c r="J14" s="638">
        <f>I14*103%</f>
        <v>15.256046817788002</v>
      </c>
      <c r="L14" s="640" t="s">
        <v>41</v>
      </c>
      <c r="M14" s="639">
        <v>0.20000000298023224</v>
      </c>
    </row>
    <row r="15" spans="4:13">
      <c r="D15" s="623" t="s">
        <v>941</v>
      </c>
      <c r="E15" s="638">
        <v>0.05</v>
      </c>
      <c r="F15" s="638">
        <v>0.05</v>
      </c>
      <c r="G15" s="638">
        <v>0.05</v>
      </c>
      <c r="H15" s="638">
        <v>0.05</v>
      </c>
      <c r="I15" s="638">
        <v>0.05</v>
      </c>
      <c r="J15" s="638">
        <v>0.05</v>
      </c>
    </row>
    <row r="16" spans="4:13">
      <c r="D16" s="637" t="s">
        <v>940</v>
      </c>
      <c r="E16" s="636">
        <f t="shared" ref="E16:J16" si="1">E12+E13+E14+E15</f>
        <v>8.65</v>
      </c>
      <c r="F16" s="636">
        <f t="shared" si="1"/>
        <v>9.6078890000000001</v>
      </c>
      <c r="G16" s="636">
        <f t="shared" si="1"/>
        <v>9.9317056699999995</v>
      </c>
      <c r="H16" s="636">
        <f t="shared" si="1"/>
        <v>10.674036840100001</v>
      </c>
      <c r="I16" s="636">
        <f t="shared" si="1"/>
        <v>11.438637945303004</v>
      </c>
      <c r="J16" s="636">
        <f t="shared" si="1"/>
        <v>12.226177083662094</v>
      </c>
    </row>
    <row r="17" spans="4:10">
      <c r="D17" s="635"/>
      <c r="E17" s="635"/>
      <c r="F17" s="635"/>
      <c r="G17" s="635"/>
      <c r="H17" s="635"/>
      <c r="I17" s="635"/>
      <c r="J17" s="635"/>
    </row>
    <row r="18" spans="4:10">
      <c r="D18" s="634" t="s">
        <v>939</v>
      </c>
      <c r="E18" s="633">
        <v>2024</v>
      </c>
      <c r="F18" s="633">
        <v>2025</v>
      </c>
      <c r="G18" s="633">
        <v>2026</v>
      </c>
      <c r="H18" s="633">
        <v>2027</v>
      </c>
      <c r="I18" s="633">
        <v>2028</v>
      </c>
      <c r="J18" s="633">
        <v>2029</v>
      </c>
    </row>
    <row r="19" spans="4:10">
      <c r="D19" s="628" t="s">
        <v>938</v>
      </c>
      <c r="E19" s="627">
        <v>6.91</v>
      </c>
      <c r="F19" s="627">
        <v>8.2193000000000005</v>
      </c>
      <c r="G19" s="627">
        <v>8.651879000000001</v>
      </c>
      <c r="H19" s="627">
        <v>9.6574353700000017</v>
      </c>
      <c r="I19" s="627">
        <v>10.693158431100002</v>
      </c>
      <c r="J19" s="627">
        <v>11.759953184033003</v>
      </c>
    </row>
    <row r="20" spans="4:10">
      <c r="D20" s="632" t="s">
        <v>937</v>
      </c>
      <c r="E20" s="631">
        <f t="shared" ref="E20:J20" si="2">E10+E11</f>
        <v>14.76</v>
      </c>
      <c r="F20" s="631">
        <f t="shared" si="2"/>
        <v>15.506211</v>
      </c>
      <c r="G20" s="631">
        <f t="shared" si="2"/>
        <v>16.021617330000002</v>
      </c>
      <c r="H20" s="631">
        <f t="shared" si="2"/>
        <v>16.703685849900001</v>
      </c>
      <c r="I20" s="631">
        <f t="shared" si="2"/>
        <v>17.406216425397002</v>
      </c>
      <c r="J20" s="631">
        <f t="shared" si="2"/>
        <v>18.129822918158911</v>
      </c>
    </row>
    <row r="21" spans="4:10">
      <c r="D21" s="630" t="s">
        <v>936</v>
      </c>
      <c r="E21" s="629">
        <f t="shared" ref="E21:J21" si="3">E19-E20</f>
        <v>-7.85</v>
      </c>
      <c r="F21" s="629">
        <f t="shared" si="3"/>
        <v>-7.2869109999999999</v>
      </c>
      <c r="G21" s="629">
        <f t="shared" si="3"/>
        <v>-7.3697383300000006</v>
      </c>
      <c r="H21" s="629">
        <f t="shared" si="3"/>
        <v>-7.0462504798999994</v>
      </c>
      <c r="I21" s="629">
        <f t="shared" si="3"/>
        <v>-6.7130579942969995</v>
      </c>
      <c r="J21" s="629">
        <f t="shared" si="3"/>
        <v>-6.3698697341259081</v>
      </c>
    </row>
    <row r="22" spans="4:10">
      <c r="D22" s="628" t="s">
        <v>935</v>
      </c>
      <c r="E22" s="627">
        <f t="shared" ref="E22:J22" si="4">E13+E14+E15</f>
        <v>16.5</v>
      </c>
      <c r="F22" s="627">
        <f t="shared" si="4"/>
        <v>16.8948</v>
      </c>
      <c r="G22" s="627">
        <f t="shared" si="4"/>
        <v>17.301444</v>
      </c>
      <c r="H22" s="627">
        <f t="shared" si="4"/>
        <v>17.720287320000001</v>
      </c>
      <c r="I22" s="627">
        <f t="shared" si="4"/>
        <v>18.151695939600003</v>
      </c>
      <c r="J22" s="627">
        <f t="shared" si="4"/>
        <v>18.596046817788004</v>
      </c>
    </row>
    <row r="23" spans="4:10">
      <c r="D23" s="626" t="s">
        <v>934</v>
      </c>
      <c r="E23" s="625">
        <f t="shared" ref="E23:J23" si="5">E21+E22</f>
        <v>8.65</v>
      </c>
      <c r="F23" s="625">
        <f t="shared" si="5"/>
        <v>9.6078890000000001</v>
      </c>
      <c r="G23" s="625">
        <f t="shared" si="5"/>
        <v>9.9317056699999995</v>
      </c>
      <c r="H23" s="625">
        <f t="shared" si="5"/>
        <v>10.674036840100001</v>
      </c>
      <c r="I23" s="625">
        <f t="shared" si="5"/>
        <v>11.438637945303004</v>
      </c>
      <c r="J23" s="625">
        <f t="shared" si="5"/>
        <v>12.226177083662096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3</vt:i4>
      </vt:variant>
    </vt:vector>
  </HeadingPairs>
  <TitlesOfParts>
    <vt:vector size="19" baseType="lpstr">
      <vt:lpstr>2022결산대비23년계획</vt:lpstr>
      <vt:lpstr>2024카페사업팀사업계획_추정손익_ver.1</vt:lpstr>
      <vt:lpstr>2024가상BEP</vt:lpstr>
      <vt:lpstr>2024년목표 매출</vt:lpstr>
      <vt:lpstr>Sheet1</vt:lpstr>
      <vt:lpstr>연간매출자료18~23년</vt:lpstr>
      <vt:lpstr>월간매출자료18~23년</vt:lpstr>
      <vt:lpstr>메뉴판매요약</vt:lpstr>
      <vt:lpstr>연간메뉴판매현황</vt:lpstr>
      <vt:lpstr>메뉴카테고리별</vt:lpstr>
      <vt:lpstr>2023년카페디저트판매현황</vt:lpstr>
      <vt:lpstr>2024년카페인력현황</vt:lpstr>
      <vt:lpstr>신규개설 시뮬레이션</vt:lpstr>
      <vt:lpstr>베이커리사업장step</vt:lpstr>
      <vt:lpstr>한의과대시뮬</vt:lpstr>
      <vt:lpstr>Sheet2</vt:lpstr>
      <vt:lpstr>'2022결산대비23년계획'!Print_Area</vt:lpstr>
      <vt:lpstr>'2024가상BEP'!Print_Area</vt:lpstr>
      <vt:lpstr>'2024카페사업팀사업계획_추정손익_ver.1'!Print_Area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KMC_경영6</dc:creator>
  <cp:lastModifiedBy>Windows 사용자</cp:lastModifiedBy>
  <cp:lastPrinted>2024-03-06T09:32:50Z</cp:lastPrinted>
  <dcterms:created xsi:type="dcterms:W3CDTF">2022-01-05T06:26:39Z</dcterms:created>
  <dcterms:modified xsi:type="dcterms:W3CDTF">2024-10-16T09:20:59Z</dcterms:modified>
</cp:coreProperties>
</file>