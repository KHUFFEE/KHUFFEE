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카페쿠피\"/>
    </mc:Choice>
  </mc:AlternateContent>
  <xr:revisionPtr revIDLastSave="0" documentId="13_ncr:1_{EF88A821-BC13-4642-B626-255440F8DF54}" xr6:coauthVersionLast="47" xr6:coauthVersionMax="47" xr10:uidLastSave="{00000000-0000-0000-0000-000000000000}"/>
  <bookViews>
    <workbookView xWindow="-120" yWindow="-120" windowWidth="29040" windowHeight="15840" activeTab="4" xr2:uid="{FAC8E84E-C064-4AD6-A78C-7CF3E15D9A45}"/>
  </bookViews>
  <sheets>
    <sheet name="커피" sheetId="6" r:id="rId1"/>
    <sheet name="논커피" sheetId="2" r:id="rId2"/>
    <sheet name="스무디" sheetId="4" r:id="rId3"/>
    <sheet name="차" sheetId="3" r:id="rId4"/>
    <sheet name="에이드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5" l="1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51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2" i="4"/>
  <c r="G6" i="4"/>
  <c r="G5" i="4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51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2" i="6"/>
  <c r="G6" i="6"/>
  <c r="G5" i="6"/>
  <c r="BD53" i="6" l="1"/>
  <c r="BD55" i="6" s="1"/>
  <c r="BE53" i="6"/>
  <c r="BE55" i="6" s="1"/>
  <c r="M53" i="6"/>
  <c r="M55" i="6" s="1"/>
  <c r="Y53" i="6"/>
  <c r="Y55" i="6" s="1"/>
  <c r="AK53" i="6"/>
  <c r="AK55" i="6" s="1"/>
  <c r="AW53" i="6"/>
  <c r="AW55" i="6" s="1"/>
  <c r="R53" i="6"/>
  <c r="R55" i="6" s="1"/>
  <c r="AT53" i="6"/>
  <c r="AT55" i="6" s="1"/>
  <c r="U53" i="6"/>
  <c r="U55" i="6" s="1"/>
  <c r="AG53" i="6"/>
  <c r="AG55" i="6" s="1"/>
  <c r="AS53" i="6"/>
  <c r="AS55" i="6" s="1"/>
  <c r="BA53" i="6"/>
  <c r="BA55" i="6" s="1"/>
  <c r="N53" i="6"/>
  <c r="N55" i="6" s="1"/>
  <c r="Z53" i="6"/>
  <c r="Z55" i="6" s="1"/>
  <c r="AH53" i="6"/>
  <c r="AH55" i="6" s="1"/>
  <c r="AP53" i="6"/>
  <c r="AP55" i="6" s="1"/>
  <c r="BB53" i="6"/>
  <c r="BB55" i="6" s="1"/>
  <c r="K53" i="6"/>
  <c r="K55" i="6" s="1"/>
  <c r="O53" i="6"/>
  <c r="O55" i="6" s="1"/>
  <c r="S53" i="6"/>
  <c r="S55" i="6" s="1"/>
  <c r="W53" i="6"/>
  <c r="W55" i="6" s="1"/>
  <c r="AA53" i="6"/>
  <c r="AA55" i="6" s="1"/>
  <c r="AE53" i="6"/>
  <c r="AE55" i="6" s="1"/>
  <c r="AI53" i="6"/>
  <c r="AI55" i="6" s="1"/>
  <c r="AM53" i="6"/>
  <c r="AM55" i="6" s="1"/>
  <c r="AQ53" i="6"/>
  <c r="AQ55" i="6" s="1"/>
  <c r="AU53" i="6"/>
  <c r="AU55" i="6" s="1"/>
  <c r="AY53" i="6"/>
  <c r="AY55" i="6" s="1"/>
  <c r="BC53" i="6"/>
  <c r="BC55" i="6" s="1"/>
  <c r="Q53" i="6"/>
  <c r="Q55" i="6" s="1"/>
  <c r="AC53" i="6"/>
  <c r="AC55" i="6" s="1"/>
  <c r="AO53" i="6"/>
  <c r="AO55" i="6" s="1"/>
  <c r="J53" i="6"/>
  <c r="J55" i="6" s="1"/>
  <c r="V53" i="6"/>
  <c r="V55" i="6" s="1"/>
  <c r="AD53" i="6"/>
  <c r="AD55" i="6" s="1"/>
  <c r="AL53" i="6"/>
  <c r="AL55" i="6" s="1"/>
  <c r="AX53" i="6"/>
  <c r="AX55" i="6" s="1"/>
  <c r="L53" i="6"/>
  <c r="L55" i="6" s="1"/>
  <c r="P53" i="6"/>
  <c r="P55" i="6" s="1"/>
  <c r="T53" i="6"/>
  <c r="T55" i="6" s="1"/>
  <c r="X53" i="6"/>
  <c r="X55" i="6" s="1"/>
  <c r="AB53" i="6"/>
  <c r="AB55" i="6" s="1"/>
  <c r="AF53" i="6"/>
  <c r="AF55" i="6" s="1"/>
  <c r="AJ53" i="6"/>
  <c r="AJ55" i="6" s="1"/>
  <c r="AN53" i="6"/>
  <c r="AN55" i="6" s="1"/>
  <c r="AR53" i="6"/>
  <c r="AR55" i="6" s="1"/>
  <c r="AV53" i="6"/>
  <c r="AV55" i="6" s="1"/>
  <c r="AZ53" i="6"/>
  <c r="AZ55" i="6" s="1"/>
  <c r="R53" i="5" l="1"/>
  <c r="R55" i="5" s="1"/>
  <c r="N53" i="5"/>
  <c r="N55" i="5" s="1"/>
  <c r="J53" i="5"/>
  <c r="J55" i="5" s="1"/>
  <c r="M53" i="5"/>
  <c r="M55" i="5" s="1"/>
  <c r="U53" i="5"/>
  <c r="U55" i="5" s="1"/>
  <c r="Q53" i="5"/>
  <c r="Q55" i="5" s="1"/>
  <c r="T53" i="5"/>
  <c r="T55" i="5" s="1"/>
  <c r="P53" i="5"/>
  <c r="P55" i="5" s="1"/>
  <c r="L53" i="5"/>
  <c r="L55" i="5" s="1"/>
  <c r="S53" i="5"/>
  <c r="S55" i="5" s="1"/>
  <c r="O53" i="5"/>
  <c r="O55" i="5" s="1"/>
  <c r="K53" i="5"/>
  <c r="K55" i="5" s="1"/>
  <c r="AH53" i="4"/>
  <c r="AH55" i="4" s="1"/>
  <c r="AF53" i="4"/>
  <c r="AF55" i="4" s="1"/>
  <c r="AG53" i="4"/>
  <c r="AG55" i="4" s="1"/>
  <c r="AI53" i="4"/>
  <c r="AI55" i="4" s="1"/>
  <c r="AJ53" i="4"/>
  <c r="AJ55" i="4" s="1"/>
  <c r="AQ53" i="4"/>
  <c r="AQ55" i="4" s="1"/>
  <c r="AO53" i="4"/>
  <c r="AO55" i="4" s="1"/>
  <c r="AK53" i="4"/>
  <c r="AK55" i="4" s="1"/>
  <c r="AE53" i="4"/>
  <c r="AE55" i="4" s="1"/>
  <c r="AA53" i="4"/>
  <c r="AA55" i="4" s="1"/>
  <c r="W53" i="4"/>
  <c r="W55" i="4" s="1"/>
  <c r="S53" i="4"/>
  <c r="S55" i="4" s="1"/>
  <c r="O53" i="4"/>
  <c r="O55" i="4" s="1"/>
  <c r="AL53" i="4"/>
  <c r="AL55" i="4" s="1"/>
  <c r="X53" i="4"/>
  <c r="X55" i="4" s="1"/>
  <c r="L53" i="4"/>
  <c r="L55" i="4" s="1"/>
  <c r="AP53" i="4"/>
  <c r="AP55" i="4" s="1"/>
  <c r="AN53" i="4"/>
  <c r="AN55" i="4" s="1"/>
  <c r="AD53" i="4"/>
  <c r="AD55" i="4" s="1"/>
  <c r="Z53" i="4"/>
  <c r="Z55" i="4" s="1"/>
  <c r="V53" i="4"/>
  <c r="V55" i="4" s="1"/>
  <c r="R53" i="4"/>
  <c r="R55" i="4" s="1"/>
  <c r="N53" i="4"/>
  <c r="N55" i="4" s="1"/>
  <c r="AB53" i="4"/>
  <c r="AB55" i="4" s="1"/>
  <c r="P53" i="4"/>
  <c r="P55" i="4" s="1"/>
  <c r="AM53" i="4"/>
  <c r="AM55" i="4" s="1"/>
  <c r="AC53" i="4"/>
  <c r="AC55" i="4" s="1"/>
  <c r="Y53" i="4"/>
  <c r="Y55" i="4" s="1"/>
  <c r="U53" i="4"/>
  <c r="U55" i="4" s="1"/>
  <c r="Q53" i="4"/>
  <c r="Q55" i="4" s="1"/>
  <c r="M53" i="4"/>
  <c r="M55" i="4" s="1"/>
  <c r="T53" i="4"/>
  <c r="T55" i="4" s="1"/>
  <c r="K53" i="4"/>
  <c r="K55" i="4" s="1"/>
  <c r="AK53" i="3"/>
  <c r="AK55" i="3" s="1"/>
  <c r="AG53" i="3"/>
  <c r="AG55" i="3" s="1"/>
  <c r="AC53" i="3"/>
  <c r="AC55" i="3" s="1"/>
  <c r="Y53" i="3"/>
  <c r="Y55" i="3" s="1"/>
  <c r="U53" i="3"/>
  <c r="U55" i="3" s="1"/>
  <c r="Q53" i="3"/>
  <c r="Q55" i="3" s="1"/>
  <c r="Z53" i="3"/>
  <c r="Z55" i="3" s="1"/>
  <c r="R53" i="3"/>
  <c r="R55" i="3" s="1"/>
  <c r="AJ53" i="3"/>
  <c r="AJ55" i="3" s="1"/>
  <c r="AF53" i="3"/>
  <c r="AF55" i="3" s="1"/>
  <c r="AB53" i="3"/>
  <c r="AB55" i="3" s="1"/>
  <c r="X53" i="3"/>
  <c r="X55" i="3" s="1"/>
  <c r="T53" i="3"/>
  <c r="T55" i="3" s="1"/>
  <c r="P53" i="3"/>
  <c r="P55" i="3" s="1"/>
  <c r="AH53" i="3"/>
  <c r="AH55" i="3" s="1"/>
  <c r="V53" i="3"/>
  <c r="V55" i="3" s="1"/>
  <c r="AI53" i="3"/>
  <c r="AI55" i="3" s="1"/>
  <c r="AE53" i="3"/>
  <c r="AE55" i="3" s="1"/>
  <c r="AA53" i="3"/>
  <c r="AA55" i="3" s="1"/>
  <c r="W53" i="3"/>
  <c r="W55" i="3" s="1"/>
  <c r="S53" i="3"/>
  <c r="S55" i="3" s="1"/>
  <c r="O53" i="3"/>
  <c r="O55" i="3" s="1"/>
  <c r="AD53" i="3"/>
  <c r="AD55" i="3" s="1"/>
  <c r="N53" i="3"/>
  <c r="N55" i="3" s="1"/>
  <c r="J53" i="3"/>
  <c r="J55" i="3" s="1"/>
  <c r="M53" i="3"/>
  <c r="M55" i="3" s="1"/>
  <c r="K53" i="3"/>
  <c r="K55" i="3" s="1"/>
  <c r="L53" i="3"/>
  <c r="L55" i="3" s="1"/>
  <c r="V53" i="2"/>
  <c r="V55" i="2" s="1"/>
  <c r="AC53" i="2"/>
  <c r="AC55" i="2" s="1"/>
  <c r="AI53" i="2"/>
  <c r="AI55" i="2" s="1"/>
  <c r="W53" i="2"/>
  <c r="W55" i="2" s="1"/>
  <c r="AD53" i="2"/>
  <c r="AD55" i="2" s="1"/>
  <c r="AM53" i="2"/>
  <c r="AM55" i="2" s="1"/>
  <c r="U53" i="2"/>
  <c r="U55" i="2" s="1"/>
  <c r="X53" i="2"/>
  <c r="X55" i="2" s="1"/>
  <c r="AK53" i="2"/>
  <c r="AK55" i="2" s="1"/>
  <c r="AN53" i="2"/>
  <c r="AN55" i="2" s="1"/>
  <c r="S53" i="2"/>
  <c r="S55" i="2" s="1"/>
  <c r="Z53" i="2"/>
  <c r="Z55" i="2" s="1"/>
  <c r="AF53" i="2"/>
  <c r="AF55" i="2" s="1"/>
  <c r="T53" i="2"/>
  <c r="T55" i="2" s="1"/>
  <c r="AA53" i="2"/>
  <c r="AA55" i="2" s="1"/>
  <c r="AG53" i="2"/>
  <c r="AG55" i="2" s="1"/>
  <c r="AJ53" i="2"/>
  <c r="AJ55" i="2" s="1"/>
  <c r="Y53" i="2"/>
  <c r="Y55" i="2" s="1"/>
  <c r="AB53" i="2"/>
  <c r="AB55" i="2" s="1"/>
  <c r="AE53" i="2"/>
  <c r="AE55" i="2" s="1"/>
  <c r="AH53" i="2"/>
  <c r="AH55" i="2" s="1"/>
  <c r="AL53" i="2"/>
  <c r="AL55" i="2" s="1"/>
  <c r="AO53" i="2"/>
  <c r="AO55" i="2" s="1"/>
  <c r="O53" i="2"/>
  <c r="O55" i="2" s="1"/>
  <c r="P53" i="2"/>
  <c r="P55" i="2" s="1"/>
  <c r="J53" i="2"/>
  <c r="J55" i="2" s="1"/>
  <c r="M53" i="2"/>
  <c r="M55" i="2" s="1"/>
  <c r="Q53" i="2"/>
  <c r="Q55" i="2" s="1"/>
  <c r="N53" i="2"/>
  <c r="N55" i="2" s="1"/>
  <c r="R53" i="2"/>
  <c r="R55" i="2" s="1"/>
  <c r="K53" i="2"/>
  <c r="K55" i="2" s="1"/>
  <c r="L53" i="2"/>
  <c r="L55" i="2" s="1"/>
  <c r="J53" i="4"/>
  <c r="J55" i="4" s="1"/>
  <c r="J57" i="6" l="1"/>
  <c r="J58" i="6"/>
  <c r="J56" i="6"/>
  <c r="J56" i="5" l="1"/>
  <c r="J56" i="4"/>
  <c r="J56" i="3"/>
  <c r="J56" i="2"/>
</calcChain>
</file>

<file path=xl/sharedStrings.xml><?xml version="1.0" encoding="utf-8"?>
<sst xmlns="http://schemas.openxmlformats.org/spreadsheetml/2006/main" count="1192" uniqueCount="141">
  <si>
    <t>메뉴명</t>
    <phoneticPr fontId="1" type="noConversion"/>
  </si>
  <si>
    <t>hot</t>
    <phoneticPr fontId="1" type="noConversion"/>
  </si>
  <si>
    <t>ice</t>
    <phoneticPr fontId="1" type="noConversion"/>
  </si>
  <si>
    <t>재료명</t>
    <phoneticPr fontId="1" type="noConversion"/>
  </si>
  <si>
    <t>합계</t>
    <phoneticPr fontId="1" type="noConversion"/>
  </si>
  <si>
    <t>원가율</t>
    <phoneticPr fontId="1" type="noConversion"/>
  </si>
  <si>
    <t>coffee</t>
    <phoneticPr fontId="1" type="noConversion"/>
  </si>
  <si>
    <t>아메리카노</t>
    <phoneticPr fontId="1" type="noConversion"/>
  </si>
  <si>
    <t>고구마라떼</t>
    <phoneticPr fontId="1" type="noConversion"/>
  </si>
  <si>
    <t>초코라떼</t>
    <phoneticPr fontId="1" type="noConversion"/>
  </si>
  <si>
    <t>복숭아아이스티</t>
    <phoneticPr fontId="1" type="noConversion"/>
  </si>
  <si>
    <t>tea</t>
    <phoneticPr fontId="1" type="noConversion"/>
  </si>
  <si>
    <t>판매가</t>
    <phoneticPr fontId="1" type="noConversion"/>
  </si>
  <si>
    <t>온도</t>
    <phoneticPr fontId="1" type="noConversion"/>
  </si>
  <si>
    <t>컵홀더</t>
    <phoneticPr fontId="1" type="noConversion"/>
  </si>
  <si>
    <t>슈가시럽</t>
    <phoneticPr fontId="1" type="noConversion"/>
  </si>
  <si>
    <t>바닐라시럽</t>
    <phoneticPr fontId="1" type="noConversion"/>
  </si>
  <si>
    <t>딸기 베이스</t>
    <phoneticPr fontId="1" type="noConversion"/>
  </si>
  <si>
    <t>망고 베이스</t>
    <phoneticPr fontId="1" type="noConversion"/>
  </si>
  <si>
    <t>베리믹스 베이스</t>
    <phoneticPr fontId="1" type="noConversion"/>
  </si>
  <si>
    <t>홍차 파우더</t>
    <phoneticPr fontId="1" type="noConversion"/>
  </si>
  <si>
    <t>초코소스</t>
    <phoneticPr fontId="1" type="noConversion"/>
  </si>
  <si>
    <t>카라멜소스</t>
    <phoneticPr fontId="1" type="noConversion"/>
  </si>
  <si>
    <t>청포도 베이스</t>
    <phoneticPr fontId="1" type="noConversion"/>
  </si>
  <si>
    <t>레몬 베이스</t>
    <phoneticPr fontId="1" type="noConversion"/>
  </si>
  <si>
    <t>원두</t>
    <phoneticPr fontId="1" type="noConversion"/>
  </si>
  <si>
    <t>캐모마일</t>
    <phoneticPr fontId="1" type="noConversion"/>
  </si>
  <si>
    <t>페퍼민트</t>
    <phoneticPr fontId="1" type="noConversion"/>
  </si>
  <si>
    <t>루이보스오렌지</t>
    <phoneticPr fontId="1" type="noConversion"/>
  </si>
  <si>
    <t>잉글리쉬블랙퍼스트</t>
    <phoneticPr fontId="1" type="noConversion"/>
  </si>
  <si>
    <t>16oz 핫컵</t>
    <phoneticPr fontId="1" type="noConversion"/>
  </si>
  <si>
    <t>16oz 핫컵 뚜껑</t>
    <phoneticPr fontId="1" type="noConversion"/>
  </si>
  <si>
    <t>16oz 아이스컵</t>
    <phoneticPr fontId="1" type="noConversion"/>
  </si>
  <si>
    <t>24oz 아이스컵</t>
    <phoneticPr fontId="1" type="noConversion"/>
  </si>
  <si>
    <t>93Ø 돔뚜껑</t>
    <phoneticPr fontId="1" type="noConversion"/>
  </si>
  <si>
    <t>98Ø 돔뚜껑</t>
    <phoneticPr fontId="1" type="noConversion"/>
  </si>
  <si>
    <t>21cm  일자 스트로우 (투명)</t>
  </si>
  <si>
    <t xml:space="preserve">21cm  버블티 스트로우 </t>
  </si>
  <si>
    <t>25cm  일자 스트로우 (블랙)</t>
  </si>
  <si>
    <t>25cm 버블티 스트로우</t>
  </si>
  <si>
    <t>18cm 커피스틱</t>
    <phoneticPr fontId="1" type="noConversion"/>
  </si>
  <si>
    <t>쿠키앤크림 파우더</t>
  </si>
  <si>
    <t>자몽 베이스</t>
  </si>
  <si>
    <t>수박 베이스</t>
  </si>
  <si>
    <t>크림소다 베이스</t>
  </si>
  <si>
    <t>말차 파우더</t>
    <phoneticPr fontId="1" type="noConversion"/>
  </si>
  <si>
    <t xml:space="preserve">공주밤 베이스 </t>
    <phoneticPr fontId="1" type="noConversion"/>
  </si>
  <si>
    <t>피스타치오 파우더</t>
    <phoneticPr fontId="1" type="noConversion"/>
  </si>
  <si>
    <t>17곡 파우더</t>
  </si>
  <si>
    <t>군고구마 베이스</t>
    <phoneticPr fontId="1" type="noConversion"/>
  </si>
  <si>
    <t>디카페인 원두</t>
    <phoneticPr fontId="1" type="noConversion"/>
  </si>
  <si>
    <t>탄산수</t>
    <phoneticPr fontId="1" type="noConversion"/>
  </si>
  <si>
    <t>헤이즐넛시럽</t>
    <phoneticPr fontId="1" type="noConversion"/>
  </si>
  <si>
    <t>복숭아 파우더</t>
    <phoneticPr fontId="1" type="noConversion"/>
  </si>
  <si>
    <t>자두 베이스</t>
    <phoneticPr fontId="1" type="noConversion"/>
  </si>
  <si>
    <t>요거트 파우더</t>
    <phoneticPr fontId="1" type="noConversion"/>
  </si>
  <si>
    <t>민트초코 파우더</t>
    <phoneticPr fontId="1" type="noConversion"/>
  </si>
  <si>
    <t>다크초코 파우더</t>
    <phoneticPr fontId="1" type="noConversion"/>
  </si>
  <si>
    <t>청귤 베이스</t>
    <phoneticPr fontId="1" type="noConversion"/>
  </si>
  <si>
    <t>흑당 베이스</t>
    <phoneticPr fontId="1" type="noConversion"/>
  </si>
  <si>
    <t>우유</t>
    <phoneticPr fontId="1" type="noConversion"/>
  </si>
  <si>
    <t>토피넛 파우더</t>
    <phoneticPr fontId="1" type="noConversion"/>
  </si>
  <si>
    <t>부자재</t>
    <phoneticPr fontId="1" type="noConversion"/>
  </si>
  <si>
    <t>시럽/ 소스</t>
    <phoneticPr fontId="1" type="noConversion"/>
  </si>
  <si>
    <t>파우더</t>
    <phoneticPr fontId="1" type="noConversion"/>
  </si>
  <si>
    <t>티백</t>
    <phoneticPr fontId="1" type="noConversion"/>
  </si>
  <si>
    <t>음료</t>
    <phoneticPr fontId="1" type="noConversion"/>
  </si>
  <si>
    <t>단위</t>
    <phoneticPr fontId="1" type="noConversion"/>
  </si>
  <si>
    <t>ea</t>
    <phoneticPr fontId="1" type="noConversion"/>
  </si>
  <si>
    <t>g</t>
    <phoneticPr fontId="1" type="noConversion"/>
  </si>
  <si>
    <t>ml</t>
    <phoneticPr fontId="1" type="noConversion"/>
  </si>
  <si>
    <t>베이스</t>
    <phoneticPr fontId="1" type="noConversion"/>
  </si>
  <si>
    <t>사이즈</t>
    <phoneticPr fontId="1" type="noConversion"/>
  </si>
  <si>
    <t>소분류</t>
    <phoneticPr fontId="1" type="noConversion"/>
  </si>
  <si>
    <t>L</t>
    <phoneticPr fontId="1" type="noConversion"/>
  </si>
  <si>
    <t>L</t>
    <phoneticPr fontId="1" type="noConversion"/>
  </si>
  <si>
    <t>XL</t>
    <phoneticPr fontId="1" type="noConversion"/>
  </si>
  <si>
    <t>용량</t>
    <phoneticPr fontId="1" type="noConversion"/>
  </si>
  <si>
    <t>가격</t>
    <phoneticPr fontId="1" type="noConversion"/>
  </si>
  <si>
    <t>카푸치노</t>
    <phoneticPr fontId="1" type="noConversion"/>
  </si>
  <si>
    <t>카페라떼</t>
    <phoneticPr fontId="1" type="noConversion"/>
  </si>
  <si>
    <t>바닐라라떼</t>
    <phoneticPr fontId="1" type="noConversion"/>
  </si>
  <si>
    <t>카페모카</t>
    <phoneticPr fontId="1" type="noConversion"/>
  </si>
  <si>
    <t>헤이즐넛라떼</t>
    <phoneticPr fontId="1" type="noConversion"/>
  </si>
  <si>
    <t>카라멜마끼아또</t>
    <phoneticPr fontId="1" type="noConversion"/>
  </si>
  <si>
    <t>민트모카</t>
    <phoneticPr fontId="1" type="noConversion"/>
  </si>
  <si>
    <t>샷추가</t>
    <phoneticPr fontId="1" type="noConversion"/>
  </si>
  <si>
    <t xml:space="preserve">기타 </t>
    <phoneticPr fontId="1" type="noConversion"/>
  </si>
  <si>
    <t>de-coffee</t>
    <phoneticPr fontId="1" type="noConversion"/>
  </si>
  <si>
    <t>커피류 평균 원가율</t>
    <phoneticPr fontId="1" type="noConversion"/>
  </si>
  <si>
    <t>디카페인 평균 원가율</t>
    <phoneticPr fontId="1" type="noConversion"/>
  </si>
  <si>
    <t>기타 평균 월가율</t>
    <phoneticPr fontId="1" type="noConversion"/>
  </si>
  <si>
    <t>디카페인 샷</t>
    <phoneticPr fontId="1" type="noConversion"/>
  </si>
  <si>
    <t>noncoffee</t>
  </si>
  <si>
    <t>noncoffee</t>
    <phoneticPr fontId="1" type="noConversion"/>
  </si>
  <si>
    <t>녹차라떼</t>
    <phoneticPr fontId="1" type="noConversion"/>
  </si>
  <si>
    <t>토피넛라떼</t>
    <phoneticPr fontId="1" type="noConversion"/>
  </si>
  <si>
    <t>아샷추</t>
    <phoneticPr fontId="1" type="noConversion"/>
  </si>
  <si>
    <t>홍차라떼</t>
    <phoneticPr fontId="1" type="noConversion"/>
  </si>
  <si>
    <t>오곡라떼</t>
    <phoneticPr fontId="1" type="noConversion"/>
  </si>
  <si>
    <t>민트초코라떼</t>
    <phoneticPr fontId="1" type="noConversion"/>
  </si>
  <si>
    <t>브라운슈가라떼</t>
    <phoneticPr fontId="1" type="noConversion"/>
  </si>
  <si>
    <t>크림소다라떼</t>
    <phoneticPr fontId="1" type="noConversion"/>
  </si>
  <si>
    <t>공주밤라떼</t>
    <phoneticPr fontId="1" type="noConversion"/>
  </si>
  <si>
    <t>피스타치오라떼</t>
    <phoneticPr fontId="1" type="noConversion"/>
  </si>
  <si>
    <t>논커피류 평균 원가율</t>
    <phoneticPr fontId="1" type="noConversion"/>
  </si>
  <si>
    <t>레몬차</t>
    <phoneticPr fontId="1" type="noConversion"/>
  </si>
  <si>
    <t>청귤차</t>
    <phoneticPr fontId="1" type="noConversion"/>
  </si>
  <si>
    <t>자몽차</t>
    <phoneticPr fontId="1" type="noConversion"/>
  </si>
  <si>
    <t>자몽홍차</t>
    <phoneticPr fontId="1" type="noConversion"/>
  </si>
  <si>
    <t>차류 평균 원가율</t>
    <phoneticPr fontId="1" type="noConversion"/>
  </si>
  <si>
    <t>smoothie</t>
    <phoneticPr fontId="1" type="noConversion"/>
  </si>
  <si>
    <t>스무디류 평균 원가율</t>
    <phoneticPr fontId="1" type="noConversion"/>
  </si>
  <si>
    <t>딸기 스무디</t>
    <phoneticPr fontId="1" type="noConversion"/>
  </si>
  <si>
    <t>청포도 스무디</t>
    <phoneticPr fontId="1" type="noConversion"/>
  </si>
  <si>
    <t>청귤 스무디</t>
    <phoneticPr fontId="1" type="noConversion"/>
  </si>
  <si>
    <t>레몬요거트 스무디</t>
    <phoneticPr fontId="1" type="noConversion"/>
  </si>
  <si>
    <t>초코프라페</t>
    <phoneticPr fontId="1" type="noConversion"/>
  </si>
  <si>
    <t>오곡프라페</t>
    <phoneticPr fontId="1" type="noConversion"/>
  </si>
  <si>
    <t>쿠키앤프림프라페</t>
    <phoneticPr fontId="1" type="noConversion"/>
  </si>
  <si>
    <t>크림소다 스무디</t>
    <phoneticPr fontId="1" type="noConversion"/>
  </si>
  <si>
    <t>망고 스무디</t>
    <phoneticPr fontId="1" type="noConversion"/>
  </si>
  <si>
    <t>블루베리 스무디</t>
    <phoneticPr fontId="1" type="noConversion"/>
  </si>
  <si>
    <t>수박 스무디</t>
    <phoneticPr fontId="1" type="noConversion"/>
  </si>
  <si>
    <t>자몽 스무디</t>
    <phoneticPr fontId="1" type="noConversion"/>
  </si>
  <si>
    <t>플레인 요거트</t>
    <phoneticPr fontId="1" type="noConversion"/>
  </si>
  <si>
    <t>딸기 요거트</t>
    <phoneticPr fontId="1" type="noConversion"/>
  </si>
  <si>
    <t>망고 요거트</t>
    <phoneticPr fontId="1" type="noConversion"/>
  </si>
  <si>
    <t>블루베리 요거트</t>
    <phoneticPr fontId="1" type="noConversion"/>
  </si>
  <si>
    <t>자두요거트 스무디</t>
    <phoneticPr fontId="1" type="noConversion"/>
  </si>
  <si>
    <t>에이드류 평균 원가율</t>
    <phoneticPr fontId="1" type="noConversion"/>
  </si>
  <si>
    <t>ade</t>
    <phoneticPr fontId="1" type="noConversion"/>
  </si>
  <si>
    <t>레몬 에이드</t>
    <phoneticPr fontId="1" type="noConversion"/>
  </si>
  <si>
    <t>자두 에이드</t>
    <phoneticPr fontId="1" type="noConversion"/>
  </si>
  <si>
    <t>자몽 에이드</t>
    <phoneticPr fontId="1" type="noConversion"/>
  </si>
  <si>
    <t>수박 에이드</t>
    <phoneticPr fontId="1" type="noConversion"/>
  </si>
  <si>
    <t>청귤 에이드</t>
    <phoneticPr fontId="1" type="noConversion"/>
  </si>
  <si>
    <t>청포도 에이드</t>
    <phoneticPr fontId="1" type="noConversion"/>
  </si>
  <si>
    <r>
      <t>VAT 포함</t>
    </r>
    <r>
      <rPr>
        <sz val="6"/>
        <color theme="1"/>
        <rFont val="맑은 고딕"/>
        <family val="3"/>
        <charset val="129"/>
        <scheme val="minor"/>
      </rPr>
      <t>(우유 제외)</t>
    </r>
    <phoneticPr fontId="1" type="noConversion"/>
  </si>
  <si>
    <t>수량</t>
    <phoneticPr fontId="1" type="noConversion"/>
  </si>
  <si>
    <t>`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</si>
</sst>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);[Red]\(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4" fillId="0" borderId="11" xfId="2" applyFont="1" applyFill="1" applyBorder="1" applyAlignment="1" applyProtection="1">
      <alignment horizontal="left" vertical="center"/>
      <protection locked="0"/>
    </xf>
    <xf numFmtId="41" fontId="3" fillId="0" borderId="11" xfId="2" applyFont="1" applyFill="1" applyBorder="1" applyAlignment="1" applyProtection="1">
      <alignment horizontal="left" vertical="center"/>
      <protection locked="0"/>
    </xf>
    <xf numFmtId="41" fontId="4" fillId="0" borderId="3" xfId="2" applyFont="1" applyFill="1" applyBorder="1" applyAlignment="1" applyProtection="1">
      <alignment horizontal="left" vertical="center"/>
      <protection locked="0"/>
    </xf>
    <xf numFmtId="41" fontId="4" fillId="0" borderId="12" xfId="2" applyFont="1" applyFill="1" applyBorder="1" applyAlignment="1" applyProtection="1">
      <alignment horizontal="left" vertical="center"/>
      <protection locked="0"/>
    </xf>
    <xf numFmtId="176" fontId="3" fillId="0" borderId="0" xfId="0" applyNumberFormat="1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1" fontId="3" fillId="0" borderId="0" xfId="3" applyNumberFormat="1" applyFont="1" applyAlignment="1">
      <alignment horizontal="center" vertical="center"/>
    </xf>
    <xf numFmtId="41" fontId="0" fillId="0" borderId="0" xfId="3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1" fontId="3" fillId="0" borderId="0" xfId="3" applyNumberFormat="1" applyFont="1" applyBorder="1" applyAlignment="1">
      <alignment horizontal="center" vertical="center"/>
    </xf>
    <xf numFmtId="43" fontId="3" fillId="0" borderId="11" xfId="0" applyNumberFormat="1" applyFont="1" applyBorder="1" applyAlignment="1">
      <alignment horizontal="center" vertical="center"/>
    </xf>
    <xf numFmtId="41" fontId="4" fillId="0" borderId="11" xfId="2" applyFont="1" applyFill="1" applyBorder="1" applyAlignment="1" applyProtection="1">
      <alignment horizontal="center" vertical="center"/>
      <protection locked="0"/>
    </xf>
    <xf numFmtId="41" fontId="3" fillId="0" borderId="11" xfId="2" applyFont="1" applyFill="1" applyBorder="1" applyAlignment="1" applyProtection="1">
      <alignment horizontal="center" vertical="center"/>
      <protection locked="0"/>
    </xf>
    <xf numFmtId="41" fontId="4" fillId="0" borderId="12" xfId="2" applyFont="1" applyFill="1" applyBorder="1" applyAlignment="1" applyProtection="1">
      <alignment horizontal="center" vertical="center"/>
      <protection locked="0"/>
    </xf>
    <xf numFmtId="41" fontId="4" fillId="0" borderId="3" xfId="2" applyFont="1" applyFill="1" applyBorder="1" applyAlignment="1" applyProtection="1">
      <alignment horizontal="center" vertical="center"/>
      <protection locked="0"/>
    </xf>
    <xf numFmtId="43" fontId="3" fillId="0" borderId="1" xfId="0" applyNumberFormat="1" applyFont="1" applyBorder="1" applyAlignment="1">
      <alignment horizontal="center" vertical="center"/>
    </xf>
    <xf numFmtId="41" fontId="4" fillId="0" borderId="12" xfId="2" applyFont="1" applyBorder="1" applyAlignment="1" applyProtection="1">
      <alignment horizontal="left" vertical="center"/>
      <protection locked="0"/>
    </xf>
    <xf numFmtId="41" fontId="4" fillId="0" borderId="12" xfId="2" applyFont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3" fillId="2" borderId="8" xfId="0" applyNumberFormat="1" applyFont="1" applyFill="1" applyBorder="1" applyAlignment="1">
      <alignment horizontal="center" vertical="center"/>
    </xf>
    <xf numFmtId="43" fontId="3" fillId="0" borderId="14" xfId="0" applyNumberFormat="1" applyFont="1" applyBorder="1" applyAlignment="1">
      <alignment horizontal="center" vertical="center"/>
    </xf>
    <xf numFmtId="41" fontId="3" fillId="0" borderId="20" xfId="3" applyNumberFormat="1" applyFont="1" applyBorder="1" applyAlignment="1">
      <alignment horizontal="center" vertical="center"/>
    </xf>
    <xf numFmtId="41" fontId="3" fillId="0" borderId="21" xfId="3" applyNumberFormat="1" applyFont="1" applyBorder="1" applyAlignment="1">
      <alignment horizontal="center" vertical="center"/>
    </xf>
    <xf numFmtId="41" fontId="3" fillId="0" borderId="22" xfId="3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1" fontId="4" fillId="0" borderId="17" xfId="2" applyFont="1" applyBorder="1" applyAlignment="1" applyProtection="1">
      <alignment horizontal="center" vertical="center"/>
      <protection locked="0"/>
    </xf>
    <xf numFmtId="41" fontId="4" fillId="0" borderId="18" xfId="2" applyFont="1" applyFill="1" applyBorder="1" applyAlignment="1" applyProtection="1">
      <alignment horizontal="center" vertical="center"/>
      <protection locked="0"/>
    </xf>
    <xf numFmtId="41" fontId="3" fillId="0" borderId="18" xfId="2" applyFont="1" applyFill="1" applyBorder="1" applyAlignment="1" applyProtection="1">
      <alignment horizontal="center" vertical="center"/>
      <protection locked="0"/>
    </xf>
    <xf numFmtId="41" fontId="4" fillId="0" borderId="27" xfId="2" applyFont="1" applyFill="1" applyBorder="1" applyAlignment="1" applyProtection="1">
      <alignment horizontal="center" vertical="center"/>
      <protection locked="0"/>
    </xf>
    <xf numFmtId="41" fontId="4" fillId="0" borderId="17" xfId="2" applyFont="1" applyFill="1" applyBorder="1" applyAlignment="1" applyProtection="1">
      <alignment horizontal="center" vertical="center"/>
      <protection locked="0"/>
    </xf>
    <xf numFmtId="176" fontId="3" fillId="0" borderId="26" xfId="0" applyNumberFormat="1" applyFont="1" applyBorder="1" applyAlignment="1">
      <alignment horizontal="center" vertical="center"/>
    </xf>
    <xf numFmtId="176" fontId="3" fillId="0" borderId="24" xfId="0" applyNumberFormat="1" applyFont="1" applyBorder="1" applyAlignment="1">
      <alignment horizontal="center" vertical="center"/>
    </xf>
    <xf numFmtId="176" fontId="3" fillId="0" borderId="25" xfId="0" applyNumberFormat="1" applyFont="1" applyBorder="1" applyAlignment="1">
      <alignment horizontal="center" vertical="center"/>
    </xf>
    <xf numFmtId="41" fontId="3" fillId="2" borderId="19" xfId="3" applyNumberFormat="1" applyFont="1" applyFill="1" applyBorder="1" applyAlignment="1">
      <alignment horizontal="center" vertical="center"/>
    </xf>
    <xf numFmtId="176" fontId="3" fillId="2" borderId="29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1" fontId="3" fillId="0" borderId="0" xfId="3" applyNumberFormat="1" applyFont="1" applyBorder="1" applyAlignment="1">
      <alignment vertical="center"/>
    </xf>
    <xf numFmtId="43" fontId="3" fillId="0" borderId="48" xfId="0" applyNumberFormat="1" applyFont="1" applyBorder="1" applyAlignment="1">
      <alignment horizontal="center" vertical="center"/>
    </xf>
    <xf numFmtId="43" fontId="3" fillId="0" borderId="49" xfId="0" applyNumberFormat="1" applyFont="1" applyBorder="1" applyAlignment="1">
      <alignment horizontal="center" vertical="center"/>
    </xf>
    <xf numFmtId="10" fontId="3" fillId="0" borderId="0" xfId="4" applyNumberFormat="1" applyFont="1" applyBorder="1" applyAlignment="1">
      <alignment horizontal="center" vertical="center"/>
    </xf>
    <xf numFmtId="10" fontId="3" fillId="0" borderId="0" xfId="4" applyNumberFormat="1" applyFont="1" applyBorder="1" applyAlignment="1">
      <alignment vertical="center"/>
    </xf>
    <xf numFmtId="43" fontId="3" fillId="0" borderId="0" xfId="3" applyNumberFormat="1" applyFont="1" applyAlignment="1">
      <alignment horizontal="center" vertical="center"/>
    </xf>
    <xf numFmtId="43" fontId="3" fillId="0" borderId="9" xfId="3" applyNumberFormat="1" applyFont="1" applyBorder="1" applyAlignment="1">
      <alignment horizontal="center" vertical="center"/>
    </xf>
    <xf numFmtId="43" fontId="3" fillId="0" borderId="0" xfId="3" applyNumberFormat="1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3" fontId="3" fillId="3" borderId="31" xfId="3" applyNumberFormat="1" applyFont="1" applyFill="1" applyBorder="1" applyAlignment="1">
      <alignment horizontal="center" vertical="center"/>
    </xf>
    <xf numFmtId="43" fontId="3" fillId="3" borderId="38" xfId="3" applyNumberFormat="1" applyFont="1" applyFill="1" applyBorder="1" applyAlignment="1">
      <alignment horizontal="center" vertical="center"/>
    </xf>
    <xf numFmtId="43" fontId="3" fillId="3" borderId="30" xfId="3" applyNumberFormat="1" applyFont="1" applyFill="1" applyBorder="1" applyAlignment="1">
      <alignment horizontal="center" vertical="center"/>
    </xf>
    <xf numFmtId="43" fontId="3" fillId="3" borderId="32" xfId="3" applyNumberFormat="1" applyFont="1" applyFill="1" applyBorder="1" applyAlignment="1">
      <alignment horizontal="center" vertical="center"/>
    </xf>
    <xf numFmtId="43" fontId="3" fillId="3" borderId="41" xfId="3" applyNumberFormat="1" applyFont="1" applyFill="1" applyBorder="1" applyAlignment="1">
      <alignment horizontal="center" vertical="center"/>
    </xf>
    <xf numFmtId="43" fontId="3" fillId="3" borderId="44" xfId="3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43" fontId="2" fillId="3" borderId="5" xfId="3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76" fontId="3" fillId="0" borderId="28" xfId="0" applyNumberFormat="1" applyFont="1" applyBorder="1" applyAlignment="1">
      <alignment horizontal="center" vertical="center"/>
    </xf>
    <xf numFmtId="41" fontId="3" fillId="0" borderId="19" xfId="3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10" fontId="0" fillId="0" borderId="5" xfId="0" applyNumberFormat="1" applyBorder="1">
      <alignment vertical="center"/>
    </xf>
    <xf numFmtId="43" fontId="3" fillId="0" borderId="50" xfId="0" applyNumberFormat="1" applyFont="1" applyBorder="1" applyAlignment="1">
      <alignment horizontal="center" vertical="center"/>
    </xf>
    <xf numFmtId="41" fontId="3" fillId="0" borderId="55" xfId="3" applyNumberFormat="1" applyFont="1" applyBorder="1" applyAlignment="1">
      <alignment horizontal="center" vertical="center"/>
    </xf>
    <xf numFmtId="41" fontId="4" fillId="0" borderId="16" xfId="2" applyFont="1" applyFill="1" applyBorder="1" applyAlignment="1" applyProtection="1">
      <alignment horizontal="center" vertical="center"/>
      <protection locked="0"/>
    </xf>
    <xf numFmtId="41" fontId="2" fillId="4" borderId="5" xfId="3" applyNumberFormat="1" applyFont="1" applyFill="1" applyBorder="1" applyAlignment="1">
      <alignment horizontal="center" vertical="center"/>
    </xf>
    <xf numFmtId="41" fontId="3" fillId="4" borderId="33" xfId="3" applyNumberFormat="1" applyFont="1" applyFill="1" applyBorder="1" applyAlignment="1">
      <alignment horizontal="center" vertical="center"/>
    </xf>
    <xf numFmtId="41" fontId="3" fillId="4" borderId="34" xfId="3" applyNumberFormat="1" applyFont="1" applyFill="1" applyBorder="1" applyAlignment="1">
      <alignment horizontal="center" vertical="center"/>
    </xf>
    <xf numFmtId="10" fontId="2" fillId="2" borderId="5" xfId="4" applyNumberFormat="1" applyFont="1" applyFill="1" applyBorder="1" applyAlignment="1">
      <alignment horizontal="center" vertical="center"/>
    </xf>
    <xf numFmtId="10" fontId="3" fillId="2" borderId="35" xfId="4" applyNumberFormat="1" applyFont="1" applyFill="1" applyBorder="1" applyAlignment="1">
      <alignment horizontal="center" vertical="center"/>
    </xf>
    <xf numFmtId="10" fontId="3" fillId="2" borderId="37" xfId="4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1" fontId="3" fillId="4" borderId="47" xfId="3" applyNumberFormat="1" applyFont="1" applyFill="1" applyBorder="1" applyAlignment="1">
      <alignment horizontal="center" vertical="center"/>
    </xf>
    <xf numFmtId="41" fontId="3" fillId="4" borderId="23" xfId="3" applyNumberFormat="1" applyFont="1" applyFill="1" applyBorder="1" applyAlignment="1">
      <alignment horizontal="center" vertical="center"/>
    </xf>
    <xf numFmtId="10" fontId="3" fillId="2" borderId="36" xfId="4" applyNumberFormat="1" applyFont="1" applyFill="1" applyBorder="1" applyAlignment="1">
      <alignment horizontal="center" vertical="center"/>
    </xf>
    <xf numFmtId="10" fontId="3" fillId="2" borderId="52" xfId="4" applyNumberFormat="1" applyFont="1" applyFill="1" applyBorder="1" applyAlignment="1">
      <alignment horizontal="center" vertical="center"/>
    </xf>
    <xf numFmtId="10" fontId="3" fillId="2" borderId="51" xfId="4" applyNumberFormat="1" applyFont="1" applyFill="1" applyBorder="1" applyAlignment="1">
      <alignment horizontal="center" vertical="center"/>
    </xf>
    <xf numFmtId="10" fontId="3" fillId="2" borderId="40" xfId="4" applyNumberFormat="1" applyFont="1" applyFill="1" applyBorder="1" applyAlignment="1">
      <alignment horizontal="center" vertical="center"/>
    </xf>
    <xf numFmtId="41" fontId="3" fillId="4" borderId="45" xfId="3" applyNumberFormat="1" applyFont="1" applyFill="1" applyBorder="1" applyAlignment="1">
      <alignment horizontal="center" vertical="center"/>
    </xf>
    <xf numFmtId="41" fontId="3" fillId="4" borderId="39" xfId="3" applyNumberFormat="1" applyFont="1" applyFill="1" applyBorder="1" applyAlignment="1">
      <alignment horizontal="center" vertical="center"/>
    </xf>
    <xf numFmtId="41" fontId="3" fillId="4" borderId="42" xfId="3" applyNumberFormat="1" applyFont="1" applyFill="1" applyBorder="1" applyAlignment="1">
      <alignment horizontal="center" vertical="center"/>
    </xf>
    <xf numFmtId="10" fontId="3" fillId="2" borderId="46" xfId="4" applyNumberFormat="1" applyFont="1" applyFill="1" applyBorder="1" applyAlignment="1">
      <alignment horizontal="center" vertical="center"/>
    </xf>
    <xf numFmtId="10" fontId="3" fillId="2" borderId="43" xfId="4" applyNumberFormat="1" applyFont="1" applyFill="1" applyBorder="1" applyAlignment="1">
      <alignment horizontal="center" vertical="center"/>
    </xf>
    <xf numFmtId="10" fontId="3" fillId="2" borderId="53" xfId="4" applyNumberFormat="1" applyFont="1" applyFill="1" applyBorder="1" applyAlignment="1">
      <alignment horizontal="center" vertical="center"/>
    </xf>
    <xf numFmtId="10" fontId="3" fillId="2" borderId="54" xfId="4" applyNumberFormat="1" applyFont="1" applyFill="1" applyBorder="1" applyAlignment="1">
      <alignment horizontal="center" vertical="center"/>
    </xf>
    <xf numFmtId="41" fontId="3" fillId="2" borderId="28" xfId="3" applyNumberFormat="1" applyFont="1" applyFill="1" applyBorder="1" applyAlignment="1">
      <alignment horizontal="center" vertical="center"/>
    </xf>
    <xf numFmtId="41" fontId="3" fillId="0" borderId="26" xfId="3" applyNumberFormat="1" applyFont="1" applyBorder="1" applyAlignment="1">
      <alignment horizontal="center" vertical="center"/>
    </xf>
    <xf numFmtId="41" fontId="3" fillId="0" borderId="24" xfId="3" applyNumberFormat="1" applyFont="1" applyBorder="1" applyAlignment="1">
      <alignment horizontal="center" vertical="center"/>
    </xf>
    <xf numFmtId="41" fontId="3" fillId="0" borderId="25" xfId="3" applyNumberFormat="1" applyFont="1" applyBorder="1" applyAlignment="1">
      <alignment horizontal="center" vertical="center"/>
    </xf>
    <xf numFmtId="41" fontId="3" fillId="0" borderId="28" xfId="3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</cellXfs>
  <cellStyles count="5">
    <cellStyle name="백분율" xfId="4" builtinId="5"/>
    <cellStyle name="쉼표 [0] 2 10 13 3" xfId="1" xr:uid="{CD3B627A-937A-4BC4-A20A-E1960B733E18}"/>
    <cellStyle name="쉼표 [0] 2 10 13 3 2" xfId="2" xr:uid="{B2B48FB7-CABA-4D1F-ABAE-2BA767A2F02B}"/>
    <cellStyle name="통화 [0]" xfId="3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B411-ED3F-417B-A35F-85C7C67457B3}">
  <dimension ref="A1:EQ326"/>
  <sheetViews>
    <sheetView zoomScaleNormal="100" workbookViewId="0">
      <selection activeCell="I21" sqref="I21:I23"/>
    </sheetView>
  </sheetViews>
  <sheetFormatPr defaultColWidth="8.625" defaultRowHeight="16.5"/>
  <cols>
    <col min="1" max="1" width="9.625" style="1" customWidth="1"/>
    <col min="2" max="2" width="24.625" style="1" customWidth="1"/>
    <col min="3" max="3" width="4.125" style="1" customWidth="1"/>
    <col min="4" max="4" width="7.625" style="13" customWidth="1"/>
    <col min="5" max="5" width="4.125" style="1" customWidth="1"/>
    <col min="6" max="6" width="8.625" style="13" customWidth="1"/>
    <col min="7" max="7" width="19.125" style="15" customWidth="1"/>
    <col min="8" max="8" width="1.625" style="15" customWidth="1"/>
    <col min="9" max="9" width="25.625" style="1" customWidth="1"/>
    <col min="10" max="57" width="10.125" style="1" customWidth="1"/>
    <col min="58" max="59" width="17.125" style="1" bestFit="1" customWidth="1"/>
    <col min="60" max="60" width="14.375" style="1" bestFit="1" customWidth="1"/>
    <col min="61" max="61" width="17.125" style="1" bestFit="1" customWidth="1"/>
    <col min="62" max="70" width="14.375" style="1" bestFit="1" customWidth="1"/>
    <col min="71" max="71" width="17.125" style="1" bestFit="1" customWidth="1"/>
    <col min="72" max="72" width="14.375" style="1" bestFit="1" customWidth="1"/>
    <col min="73" max="73" width="17.125" style="1" bestFit="1" customWidth="1"/>
    <col min="74" max="77" width="14.375" style="1" bestFit="1" customWidth="1"/>
    <col min="78" max="79" width="17.125" style="1" bestFit="1" customWidth="1"/>
    <col min="80" max="81" width="14.375" style="1" bestFit="1" customWidth="1"/>
    <col min="82" max="83" width="17.125" style="1" bestFit="1" customWidth="1"/>
    <col min="84" max="85" width="14.375" style="1" bestFit="1" customWidth="1"/>
    <col min="86" max="88" width="17.125" style="1" bestFit="1" customWidth="1"/>
    <col min="89" max="89" width="14.375" style="1" bestFit="1" customWidth="1"/>
    <col min="90" max="92" width="17.125" style="1" bestFit="1" customWidth="1"/>
    <col min="93" max="93" width="14.375" style="1" bestFit="1" customWidth="1"/>
    <col min="94" max="96" width="17.125" style="1" bestFit="1" customWidth="1"/>
    <col min="97" max="97" width="14.375" style="1" bestFit="1" customWidth="1"/>
    <col min="98" max="98" width="17.125" style="1" bestFit="1" customWidth="1"/>
    <col min="99" max="99" width="14.375" style="1" bestFit="1" customWidth="1"/>
    <col min="100" max="100" width="17.125" style="1" bestFit="1" customWidth="1"/>
    <col min="101" max="101" width="14.375" style="1" bestFit="1" customWidth="1"/>
    <col min="102" max="102" width="17.125" style="1" bestFit="1" customWidth="1"/>
    <col min="103" max="103" width="14.375" style="1" bestFit="1" customWidth="1"/>
    <col min="104" max="104" width="17.125" style="1" bestFit="1" customWidth="1"/>
    <col min="105" max="113" width="14.375" style="1" bestFit="1" customWidth="1"/>
    <col min="114" max="115" width="17.125" style="1" bestFit="1" customWidth="1"/>
    <col min="116" max="116" width="14.375" style="1" bestFit="1" customWidth="1"/>
    <col min="117" max="119" width="17.125" style="1" bestFit="1" customWidth="1"/>
    <col min="120" max="120" width="14.375" style="1" bestFit="1" customWidth="1"/>
    <col min="121" max="123" width="17.125" style="1" bestFit="1" customWidth="1"/>
    <col min="124" max="124" width="14.375" style="1" bestFit="1" customWidth="1"/>
    <col min="125" max="127" width="17.125" style="1" bestFit="1" customWidth="1"/>
    <col min="128" max="128" width="14.375" style="1" bestFit="1" customWidth="1"/>
    <col min="129" max="129" width="17.125" style="1" bestFit="1" customWidth="1"/>
    <col min="130" max="16384" width="8.625" style="1"/>
  </cols>
  <sheetData>
    <row r="1" spans="1:147" s="2" customFormat="1" ht="17.25" thickBot="1">
      <c r="D1" s="12"/>
      <c r="E1" s="7"/>
      <c r="F1" s="16"/>
      <c r="G1" s="14"/>
      <c r="H1" s="14"/>
      <c r="I1" s="67" t="s">
        <v>73</v>
      </c>
      <c r="J1" s="119" t="s">
        <v>6</v>
      </c>
      <c r="K1" s="120"/>
      <c r="L1" s="120"/>
      <c r="M1" s="119" t="s">
        <v>6</v>
      </c>
      <c r="N1" s="120"/>
      <c r="O1" s="121"/>
      <c r="P1" s="119" t="s">
        <v>6</v>
      </c>
      <c r="Q1" s="120"/>
      <c r="R1" s="121"/>
      <c r="S1" s="67" t="s">
        <v>6</v>
      </c>
      <c r="T1" s="119" t="s">
        <v>6</v>
      </c>
      <c r="U1" s="120"/>
      <c r="V1" s="121"/>
      <c r="W1" s="119" t="s">
        <v>6</v>
      </c>
      <c r="X1" s="120"/>
      <c r="Y1" s="121"/>
      <c r="Z1" s="119" t="s">
        <v>6</v>
      </c>
      <c r="AA1" s="120"/>
      <c r="AB1" s="121"/>
      <c r="AC1" s="119" t="s">
        <v>6</v>
      </c>
      <c r="AD1" s="120"/>
      <c r="AE1" s="121"/>
      <c r="AF1" s="120" t="s">
        <v>87</v>
      </c>
      <c r="AG1" s="120"/>
      <c r="AH1" s="120"/>
      <c r="AI1" s="120"/>
      <c r="AJ1" s="119" t="s">
        <v>88</v>
      </c>
      <c r="AK1" s="120"/>
      <c r="AL1" s="121"/>
      <c r="AM1" s="119" t="s">
        <v>88</v>
      </c>
      <c r="AN1" s="120"/>
      <c r="AO1" s="121"/>
      <c r="AP1" s="120" t="s">
        <v>88</v>
      </c>
      <c r="AQ1" s="120"/>
      <c r="AR1" s="121"/>
      <c r="AS1" s="67" t="s">
        <v>88</v>
      </c>
      <c r="AT1" s="119" t="s">
        <v>88</v>
      </c>
      <c r="AU1" s="120"/>
      <c r="AV1" s="121"/>
      <c r="AW1" s="119" t="s">
        <v>88</v>
      </c>
      <c r="AX1" s="120"/>
      <c r="AY1" s="121"/>
      <c r="AZ1" s="119" t="s">
        <v>88</v>
      </c>
      <c r="BA1" s="120"/>
      <c r="BB1" s="121"/>
      <c r="BC1" s="119" t="s">
        <v>88</v>
      </c>
      <c r="BD1" s="120"/>
      <c r="BE1" s="121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</row>
    <row r="2" spans="1:147" s="2" customFormat="1" ht="17.25" thickBot="1">
      <c r="D2" s="12"/>
      <c r="E2" s="7"/>
      <c r="F2" s="16"/>
      <c r="G2" s="14"/>
      <c r="H2" s="14"/>
      <c r="I2" s="74" t="s">
        <v>0</v>
      </c>
      <c r="J2" s="118" t="s">
        <v>7</v>
      </c>
      <c r="K2" s="118"/>
      <c r="L2" s="118"/>
      <c r="M2" s="118" t="s">
        <v>80</v>
      </c>
      <c r="N2" s="118"/>
      <c r="O2" s="118"/>
      <c r="P2" s="118" t="s">
        <v>81</v>
      </c>
      <c r="Q2" s="118"/>
      <c r="R2" s="118"/>
      <c r="S2" s="74" t="s">
        <v>79</v>
      </c>
      <c r="T2" s="118" t="s">
        <v>82</v>
      </c>
      <c r="U2" s="118"/>
      <c r="V2" s="118"/>
      <c r="W2" s="118" t="s">
        <v>83</v>
      </c>
      <c r="X2" s="118"/>
      <c r="Y2" s="118"/>
      <c r="Z2" s="118" t="s">
        <v>84</v>
      </c>
      <c r="AA2" s="118"/>
      <c r="AB2" s="118"/>
      <c r="AC2" s="118" t="s">
        <v>85</v>
      </c>
      <c r="AD2" s="118"/>
      <c r="AE2" s="118"/>
      <c r="AF2" s="74" t="s">
        <v>86</v>
      </c>
      <c r="AG2" s="74" t="s">
        <v>92</v>
      </c>
      <c r="AH2" s="74" t="s">
        <v>16</v>
      </c>
      <c r="AI2" s="74" t="s">
        <v>52</v>
      </c>
      <c r="AJ2" s="118" t="s">
        <v>7</v>
      </c>
      <c r="AK2" s="118"/>
      <c r="AL2" s="118"/>
      <c r="AM2" s="118" t="s">
        <v>80</v>
      </c>
      <c r="AN2" s="118"/>
      <c r="AO2" s="118"/>
      <c r="AP2" s="118" t="s">
        <v>81</v>
      </c>
      <c r="AQ2" s="118"/>
      <c r="AR2" s="118"/>
      <c r="AS2" s="74" t="s">
        <v>79</v>
      </c>
      <c r="AT2" s="118" t="s">
        <v>82</v>
      </c>
      <c r="AU2" s="118"/>
      <c r="AV2" s="118"/>
      <c r="AW2" s="118" t="s">
        <v>83</v>
      </c>
      <c r="AX2" s="118"/>
      <c r="AY2" s="118"/>
      <c r="AZ2" s="118" t="s">
        <v>84</v>
      </c>
      <c r="BA2" s="118"/>
      <c r="BB2" s="118"/>
      <c r="BC2" s="118" t="s">
        <v>85</v>
      </c>
      <c r="BD2" s="118"/>
      <c r="BE2" s="118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</row>
    <row r="3" spans="1:147" s="2" customFormat="1" ht="17.25" thickBot="1">
      <c r="D3" s="12"/>
      <c r="E3" s="7"/>
      <c r="F3" s="16"/>
      <c r="G3" s="14"/>
      <c r="H3" s="14"/>
      <c r="I3" s="25" t="s">
        <v>13</v>
      </c>
      <c r="J3" s="25" t="s">
        <v>1</v>
      </c>
      <c r="K3" s="115" t="s">
        <v>2</v>
      </c>
      <c r="L3" s="115"/>
      <c r="M3" s="25" t="s">
        <v>1</v>
      </c>
      <c r="N3" s="115" t="s">
        <v>2</v>
      </c>
      <c r="O3" s="115"/>
      <c r="P3" s="25" t="s">
        <v>1</v>
      </c>
      <c r="Q3" s="115" t="s">
        <v>2</v>
      </c>
      <c r="R3" s="115"/>
      <c r="S3" s="25" t="s">
        <v>1</v>
      </c>
      <c r="T3" s="25" t="s">
        <v>1</v>
      </c>
      <c r="U3" s="115" t="s">
        <v>2</v>
      </c>
      <c r="V3" s="115"/>
      <c r="W3" s="25" t="s">
        <v>1</v>
      </c>
      <c r="X3" s="115" t="s">
        <v>2</v>
      </c>
      <c r="Y3" s="115"/>
      <c r="Z3" s="25" t="s">
        <v>1</v>
      </c>
      <c r="AA3" s="115" t="s">
        <v>2</v>
      </c>
      <c r="AB3" s="115"/>
      <c r="AC3" s="25" t="s">
        <v>1</v>
      </c>
      <c r="AD3" s="115" t="s">
        <v>2</v>
      </c>
      <c r="AE3" s="115"/>
      <c r="AF3" s="25"/>
      <c r="AG3" s="25"/>
      <c r="AH3" s="25"/>
      <c r="AI3" s="25"/>
      <c r="AJ3" s="25" t="s">
        <v>1</v>
      </c>
      <c r="AK3" s="115" t="s">
        <v>2</v>
      </c>
      <c r="AL3" s="115"/>
      <c r="AM3" s="25" t="s">
        <v>1</v>
      </c>
      <c r="AN3" s="115" t="s">
        <v>2</v>
      </c>
      <c r="AO3" s="115"/>
      <c r="AP3" s="25" t="s">
        <v>1</v>
      </c>
      <c r="AQ3" s="115" t="s">
        <v>2</v>
      </c>
      <c r="AR3" s="115"/>
      <c r="AS3" s="25" t="s">
        <v>1</v>
      </c>
      <c r="AT3" s="25" t="s">
        <v>1</v>
      </c>
      <c r="AU3" s="115" t="s">
        <v>2</v>
      </c>
      <c r="AV3" s="115"/>
      <c r="AW3" s="25" t="s">
        <v>1</v>
      </c>
      <c r="AX3" s="115" t="s">
        <v>2</v>
      </c>
      <c r="AY3" s="115"/>
      <c r="AZ3" s="25" t="s">
        <v>1</v>
      </c>
      <c r="BA3" s="115" t="s">
        <v>2</v>
      </c>
      <c r="BB3" s="115"/>
      <c r="BC3" s="25" t="s">
        <v>1</v>
      </c>
      <c r="BD3" s="115" t="s">
        <v>2</v>
      </c>
      <c r="BE3" s="115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</row>
    <row r="4" spans="1:147" s="2" customFormat="1" ht="17.25" thickBot="1">
      <c r="A4" s="116" t="s">
        <v>3</v>
      </c>
      <c r="B4" s="117"/>
      <c r="C4" s="8" t="s">
        <v>67</v>
      </c>
      <c r="D4" s="107" t="s">
        <v>77</v>
      </c>
      <c r="E4" s="45" t="s">
        <v>139</v>
      </c>
      <c r="F4" s="44" t="s">
        <v>78</v>
      </c>
      <c r="G4" s="28" t="s">
        <v>138</v>
      </c>
      <c r="H4" s="26"/>
      <c r="I4" s="75" t="s">
        <v>72</v>
      </c>
      <c r="J4" s="75" t="s">
        <v>74</v>
      </c>
      <c r="K4" s="75" t="s">
        <v>74</v>
      </c>
      <c r="L4" s="75" t="s">
        <v>76</v>
      </c>
      <c r="M4" s="75" t="s">
        <v>74</v>
      </c>
      <c r="N4" s="75" t="s">
        <v>74</v>
      </c>
      <c r="O4" s="75" t="s">
        <v>76</v>
      </c>
      <c r="P4" s="75" t="s">
        <v>74</v>
      </c>
      <c r="Q4" s="75" t="s">
        <v>74</v>
      </c>
      <c r="R4" s="75" t="s">
        <v>76</v>
      </c>
      <c r="S4" s="75" t="s">
        <v>74</v>
      </c>
      <c r="T4" s="75" t="s">
        <v>74</v>
      </c>
      <c r="U4" s="75" t="s">
        <v>74</v>
      </c>
      <c r="V4" s="75" t="s">
        <v>76</v>
      </c>
      <c r="W4" s="75" t="s">
        <v>74</v>
      </c>
      <c r="X4" s="75" t="s">
        <v>74</v>
      </c>
      <c r="Y4" s="75" t="s">
        <v>76</v>
      </c>
      <c r="Z4" s="75" t="s">
        <v>74</v>
      </c>
      <c r="AA4" s="75" t="s">
        <v>74</v>
      </c>
      <c r="AB4" s="75" t="s">
        <v>76</v>
      </c>
      <c r="AC4" s="75" t="s">
        <v>74</v>
      </c>
      <c r="AD4" s="75" t="s">
        <v>74</v>
      </c>
      <c r="AE4" s="75" t="s">
        <v>76</v>
      </c>
      <c r="AF4" s="75"/>
      <c r="AG4" s="75"/>
      <c r="AH4" s="75"/>
      <c r="AI4" s="75"/>
      <c r="AJ4" s="75" t="s">
        <v>74</v>
      </c>
      <c r="AK4" s="75" t="s">
        <v>74</v>
      </c>
      <c r="AL4" s="75" t="s">
        <v>76</v>
      </c>
      <c r="AM4" s="75" t="s">
        <v>74</v>
      </c>
      <c r="AN4" s="75" t="s">
        <v>74</v>
      </c>
      <c r="AO4" s="75" t="s">
        <v>76</v>
      </c>
      <c r="AP4" s="75" t="s">
        <v>74</v>
      </c>
      <c r="AQ4" s="75" t="s">
        <v>74</v>
      </c>
      <c r="AR4" s="75" t="s">
        <v>76</v>
      </c>
      <c r="AS4" s="75" t="s">
        <v>74</v>
      </c>
      <c r="AT4" s="75" t="s">
        <v>74</v>
      </c>
      <c r="AU4" s="75" t="s">
        <v>74</v>
      </c>
      <c r="AV4" s="75" t="s">
        <v>76</v>
      </c>
      <c r="AW4" s="75" t="s">
        <v>74</v>
      </c>
      <c r="AX4" s="75" t="s">
        <v>74</v>
      </c>
      <c r="AY4" s="75" t="s">
        <v>76</v>
      </c>
      <c r="AZ4" s="75" t="s">
        <v>74</v>
      </c>
      <c r="BA4" s="75" t="s">
        <v>74</v>
      </c>
      <c r="BB4" s="75" t="s">
        <v>76</v>
      </c>
      <c r="BC4" s="75" t="s">
        <v>74</v>
      </c>
      <c r="BD4" s="75" t="s">
        <v>74</v>
      </c>
      <c r="BE4" s="75" t="s">
        <v>76</v>
      </c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</row>
    <row r="5" spans="1:147" s="2" customFormat="1">
      <c r="A5" s="112" t="s">
        <v>62</v>
      </c>
      <c r="B5" s="23" t="s">
        <v>30</v>
      </c>
      <c r="C5" s="36" t="s">
        <v>68</v>
      </c>
      <c r="D5" s="108">
        <v>1000</v>
      </c>
      <c r="E5" s="41">
        <v>1</v>
      </c>
      <c r="F5" s="30">
        <v>43000</v>
      </c>
      <c r="G5" s="29">
        <f>F5/(D5*E5)*1.1</f>
        <v>47.300000000000004</v>
      </c>
      <c r="H5" s="26"/>
      <c r="I5" s="24" t="s">
        <v>30</v>
      </c>
      <c r="J5" s="10">
        <v>1</v>
      </c>
      <c r="K5" s="10"/>
      <c r="L5" s="10"/>
      <c r="M5" s="50">
        <v>1</v>
      </c>
      <c r="N5" s="10"/>
      <c r="O5" s="48"/>
      <c r="P5" s="50">
        <v>1</v>
      </c>
      <c r="Q5" s="10"/>
      <c r="R5" s="48"/>
      <c r="S5" s="53">
        <v>1</v>
      </c>
      <c r="T5" s="50">
        <v>1</v>
      </c>
      <c r="U5" s="10"/>
      <c r="V5" s="48"/>
      <c r="W5" s="50">
        <v>1</v>
      </c>
      <c r="X5" s="10"/>
      <c r="Y5" s="48"/>
      <c r="Z5" s="50">
        <v>1</v>
      </c>
      <c r="AA5" s="10"/>
      <c r="AB5" s="48"/>
      <c r="AC5" s="50">
        <v>1</v>
      </c>
      <c r="AD5" s="10"/>
      <c r="AE5" s="48"/>
      <c r="AF5" s="48"/>
      <c r="AG5" s="53"/>
      <c r="AH5" s="53"/>
      <c r="AI5" s="53"/>
      <c r="AJ5" s="50">
        <v>1</v>
      </c>
      <c r="AK5" s="10"/>
      <c r="AL5" s="48"/>
      <c r="AM5" s="50">
        <v>1</v>
      </c>
      <c r="AN5" s="10"/>
      <c r="AO5" s="48"/>
      <c r="AP5" s="10">
        <v>1</v>
      </c>
      <c r="AQ5" s="10"/>
      <c r="AR5" s="48"/>
      <c r="AS5" s="53">
        <v>1</v>
      </c>
      <c r="AT5" s="50">
        <v>1</v>
      </c>
      <c r="AU5" s="10"/>
      <c r="AV5" s="48"/>
      <c r="AW5" s="50">
        <v>1</v>
      </c>
      <c r="AX5" s="10"/>
      <c r="AY5" s="48"/>
      <c r="AZ5" s="50">
        <v>1</v>
      </c>
      <c r="BA5" s="10"/>
      <c r="BB5" s="48"/>
      <c r="BC5" s="50">
        <v>1</v>
      </c>
      <c r="BD5" s="10"/>
      <c r="BE5" s="48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</row>
    <row r="6" spans="1:147" s="2" customFormat="1">
      <c r="A6" s="114"/>
      <c r="B6" s="3" t="s">
        <v>31</v>
      </c>
      <c r="C6" s="37" t="s">
        <v>68</v>
      </c>
      <c r="D6" s="109">
        <v>1000</v>
      </c>
      <c r="E6" s="42">
        <v>1</v>
      </c>
      <c r="F6" s="31">
        <v>20000</v>
      </c>
      <c r="G6" s="56">
        <f>F6/(D6*E6)*1.1</f>
        <v>22</v>
      </c>
      <c r="H6" s="14"/>
      <c r="I6" s="18" t="s">
        <v>31</v>
      </c>
      <c r="J6" s="2">
        <v>1</v>
      </c>
      <c r="M6" s="9">
        <v>1</v>
      </c>
      <c r="O6" s="27"/>
      <c r="P6" s="9">
        <v>1</v>
      </c>
      <c r="R6" s="27"/>
      <c r="S6" s="52">
        <v>1</v>
      </c>
      <c r="T6" s="9">
        <v>1</v>
      </c>
      <c r="V6" s="27"/>
      <c r="W6" s="9">
        <v>1</v>
      </c>
      <c r="Y6" s="27"/>
      <c r="Z6" s="9">
        <v>1</v>
      </c>
      <c r="AB6" s="27"/>
      <c r="AC6" s="9">
        <v>1</v>
      </c>
      <c r="AE6" s="27"/>
      <c r="AF6" s="27"/>
      <c r="AG6" s="52"/>
      <c r="AH6" s="52"/>
      <c r="AI6" s="52"/>
      <c r="AJ6" s="9">
        <v>1</v>
      </c>
      <c r="AL6" s="27"/>
      <c r="AM6" s="9">
        <v>1</v>
      </c>
      <c r="AO6" s="27"/>
      <c r="AP6" s="2">
        <v>1</v>
      </c>
      <c r="AR6" s="27"/>
      <c r="AS6" s="52">
        <v>1</v>
      </c>
      <c r="AT6" s="9">
        <v>1</v>
      </c>
      <c r="AV6" s="27"/>
      <c r="AW6" s="9">
        <v>1</v>
      </c>
      <c r="AY6" s="27"/>
      <c r="AZ6" s="9">
        <v>1</v>
      </c>
      <c r="BB6" s="27"/>
      <c r="BC6" s="9">
        <v>1</v>
      </c>
      <c r="BE6" s="2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</row>
    <row r="7" spans="1:147" s="2" customFormat="1">
      <c r="A7" s="114"/>
      <c r="B7" s="3" t="s">
        <v>32</v>
      </c>
      <c r="C7" s="37" t="s">
        <v>68</v>
      </c>
      <c r="D7" s="109">
        <v>1000</v>
      </c>
      <c r="E7" s="42">
        <v>1</v>
      </c>
      <c r="F7" s="31">
        <v>53000</v>
      </c>
      <c r="G7" s="26">
        <f t="shared" ref="G7:G52" si="0">F7/(D7*E7)*1.1</f>
        <v>58.300000000000004</v>
      </c>
      <c r="H7" s="22"/>
      <c r="I7" s="18" t="s">
        <v>32</v>
      </c>
      <c r="K7" s="2">
        <v>1</v>
      </c>
      <c r="M7" s="9"/>
      <c r="N7" s="2">
        <v>1</v>
      </c>
      <c r="O7" s="27"/>
      <c r="P7" s="9"/>
      <c r="Q7" s="2">
        <v>1</v>
      </c>
      <c r="R7" s="27"/>
      <c r="S7" s="52"/>
      <c r="T7" s="9"/>
      <c r="U7" s="2">
        <v>1</v>
      </c>
      <c r="V7" s="27"/>
      <c r="W7" s="9"/>
      <c r="X7" s="2">
        <v>1</v>
      </c>
      <c r="Y7" s="27"/>
      <c r="Z7" s="9"/>
      <c r="AA7" s="2">
        <v>1</v>
      </c>
      <c r="AB7" s="27"/>
      <c r="AC7" s="9"/>
      <c r="AD7" s="2">
        <v>1</v>
      </c>
      <c r="AE7" s="27"/>
      <c r="AF7" s="27"/>
      <c r="AG7" s="52"/>
      <c r="AH7" s="52"/>
      <c r="AI7" s="52"/>
      <c r="AJ7" s="9"/>
      <c r="AK7" s="2">
        <v>1</v>
      </c>
      <c r="AL7" s="27"/>
      <c r="AM7" s="9"/>
      <c r="AN7" s="2">
        <v>1</v>
      </c>
      <c r="AO7" s="27"/>
      <c r="AQ7" s="2">
        <v>1</v>
      </c>
      <c r="AR7" s="27"/>
      <c r="AS7" s="52"/>
      <c r="AT7" s="9"/>
      <c r="AU7" s="2">
        <v>1</v>
      </c>
      <c r="AV7" s="27"/>
      <c r="AW7" s="9"/>
      <c r="AX7" s="2">
        <v>1</v>
      </c>
      <c r="AY7" s="27"/>
      <c r="AZ7" s="9"/>
      <c r="BA7" s="2">
        <v>1</v>
      </c>
      <c r="BB7" s="27"/>
      <c r="BC7" s="9"/>
      <c r="BD7" s="2">
        <v>1</v>
      </c>
      <c r="BE7" s="2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</row>
    <row r="8" spans="1:147" s="2" customFormat="1">
      <c r="A8" s="114"/>
      <c r="B8" s="3" t="s">
        <v>33</v>
      </c>
      <c r="C8" s="37" t="s">
        <v>68</v>
      </c>
      <c r="D8" s="109">
        <v>1000</v>
      </c>
      <c r="E8" s="42">
        <v>1</v>
      </c>
      <c r="F8" s="31">
        <v>65000</v>
      </c>
      <c r="G8" s="26">
        <f t="shared" si="0"/>
        <v>71.5</v>
      </c>
      <c r="H8" s="22"/>
      <c r="I8" s="18" t="s">
        <v>33</v>
      </c>
      <c r="L8" s="2">
        <v>1</v>
      </c>
      <c r="M8" s="9"/>
      <c r="O8" s="27">
        <v>1</v>
      </c>
      <c r="P8" s="9"/>
      <c r="R8" s="27">
        <v>1</v>
      </c>
      <c r="S8" s="52"/>
      <c r="T8" s="9"/>
      <c r="V8" s="27">
        <v>1</v>
      </c>
      <c r="W8" s="9"/>
      <c r="Y8" s="27">
        <v>1</v>
      </c>
      <c r="Z8" s="9"/>
      <c r="AB8" s="27">
        <v>1</v>
      </c>
      <c r="AC8" s="9"/>
      <c r="AE8" s="27">
        <v>1</v>
      </c>
      <c r="AF8" s="27"/>
      <c r="AG8" s="52"/>
      <c r="AH8" s="52"/>
      <c r="AI8" s="52"/>
      <c r="AJ8" s="9"/>
      <c r="AL8" s="27">
        <v>1</v>
      </c>
      <c r="AM8" s="9"/>
      <c r="AO8" s="27">
        <v>1</v>
      </c>
      <c r="AR8" s="27">
        <v>1</v>
      </c>
      <c r="AS8" s="52"/>
      <c r="AT8" s="9"/>
      <c r="AV8" s="27">
        <v>1</v>
      </c>
      <c r="AW8" s="9"/>
      <c r="AY8" s="27">
        <v>1</v>
      </c>
      <c r="AZ8" s="9"/>
      <c r="BB8" s="27">
        <v>1</v>
      </c>
      <c r="BC8" s="9"/>
      <c r="BE8" s="27">
        <v>1</v>
      </c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</row>
    <row r="9" spans="1:147" s="2" customFormat="1">
      <c r="A9" s="114"/>
      <c r="B9" s="4" t="s">
        <v>34</v>
      </c>
      <c r="C9" s="38" t="s">
        <v>68</v>
      </c>
      <c r="D9" s="109">
        <v>1000</v>
      </c>
      <c r="E9" s="42">
        <v>1</v>
      </c>
      <c r="F9" s="31">
        <v>18500</v>
      </c>
      <c r="G9" s="56">
        <f t="shared" si="0"/>
        <v>20.350000000000001</v>
      </c>
      <c r="H9" s="22"/>
      <c r="I9" s="19" t="s">
        <v>34</v>
      </c>
      <c r="K9" s="2">
        <v>1</v>
      </c>
      <c r="M9" s="9"/>
      <c r="N9" s="2">
        <v>1</v>
      </c>
      <c r="O9" s="27"/>
      <c r="P9" s="9"/>
      <c r="Q9" s="2">
        <v>1</v>
      </c>
      <c r="R9" s="27"/>
      <c r="S9" s="52"/>
      <c r="T9" s="9"/>
      <c r="U9" s="2">
        <v>1</v>
      </c>
      <c r="V9" s="27"/>
      <c r="W9" s="9"/>
      <c r="X9" s="2">
        <v>1</v>
      </c>
      <c r="Y9" s="27"/>
      <c r="Z9" s="9"/>
      <c r="AA9" s="2">
        <v>1</v>
      </c>
      <c r="AB9" s="27"/>
      <c r="AC9" s="9"/>
      <c r="AD9" s="2">
        <v>1</v>
      </c>
      <c r="AE9" s="27"/>
      <c r="AF9" s="27"/>
      <c r="AG9" s="52"/>
      <c r="AH9" s="52"/>
      <c r="AI9" s="52"/>
      <c r="AJ9" s="9"/>
      <c r="AK9" s="2">
        <v>1</v>
      </c>
      <c r="AL9" s="27"/>
      <c r="AM9" s="9"/>
      <c r="AN9" s="2">
        <v>1</v>
      </c>
      <c r="AO9" s="27"/>
      <c r="AQ9" s="2">
        <v>1</v>
      </c>
      <c r="AR9" s="27"/>
      <c r="AS9" s="52"/>
      <c r="AT9" s="9"/>
      <c r="AU9" s="2">
        <v>1</v>
      </c>
      <c r="AV9" s="27"/>
      <c r="AW9" s="9"/>
      <c r="AX9" s="2">
        <v>1</v>
      </c>
      <c r="AY9" s="27"/>
      <c r="AZ9" s="9"/>
      <c r="BA9" s="2">
        <v>1</v>
      </c>
      <c r="BB9" s="27"/>
      <c r="BC9" s="9"/>
      <c r="BD9" s="2">
        <v>1</v>
      </c>
      <c r="BE9" s="2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</row>
    <row r="10" spans="1:147" s="2" customFormat="1">
      <c r="A10" s="114"/>
      <c r="B10" s="3" t="s">
        <v>35</v>
      </c>
      <c r="C10" s="37" t="s">
        <v>68</v>
      </c>
      <c r="D10" s="109">
        <v>1000</v>
      </c>
      <c r="E10" s="42">
        <v>1</v>
      </c>
      <c r="F10" s="31">
        <v>20000</v>
      </c>
      <c r="G10" s="26">
        <f t="shared" si="0"/>
        <v>22</v>
      </c>
      <c r="H10" s="22"/>
      <c r="I10" s="18" t="s">
        <v>35</v>
      </c>
      <c r="L10" s="2">
        <v>1</v>
      </c>
      <c r="M10" s="9"/>
      <c r="O10" s="27">
        <v>1</v>
      </c>
      <c r="P10" s="9"/>
      <c r="R10" s="27">
        <v>1</v>
      </c>
      <c r="S10" s="52"/>
      <c r="T10" s="9"/>
      <c r="V10" s="27">
        <v>1</v>
      </c>
      <c r="W10" s="9"/>
      <c r="Y10" s="27">
        <v>1</v>
      </c>
      <c r="Z10" s="9"/>
      <c r="AB10" s="27">
        <v>1</v>
      </c>
      <c r="AC10" s="9"/>
      <c r="AE10" s="27">
        <v>1</v>
      </c>
      <c r="AF10" s="27"/>
      <c r="AG10" s="52"/>
      <c r="AH10" s="52"/>
      <c r="AI10" s="52"/>
      <c r="AJ10" s="9"/>
      <c r="AL10" s="27">
        <v>1</v>
      </c>
      <c r="AM10" s="9"/>
      <c r="AO10" s="27">
        <v>1</v>
      </c>
      <c r="AR10" s="27">
        <v>1</v>
      </c>
      <c r="AS10" s="52"/>
      <c r="AT10" s="9"/>
      <c r="AV10" s="27">
        <v>1</v>
      </c>
      <c r="AW10" s="9"/>
      <c r="AY10" s="27">
        <v>1</v>
      </c>
      <c r="AZ10" s="9"/>
      <c r="BB10" s="27">
        <v>1</v>
      </c>
      <c r="BC10" s="9"/>
      <c r="BE10" s="27">
        <v>1</v>
      </c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</row>
    <row r="11" spans="1:147" s="2" customFormat="1">
      <c r="A11" s="114"/>
      <c r="B11" s="3" t="s">
        <v>14</v>
      </c>
      <c r="C11" s="37" t="s">
        <v>68</v>
      </c>
      <c r="D11" s="109">
        <v>1000</v>
      </c>
      <c r="E11" s="42">
        <v>1</v>
      </c>
      <c r="F11" s="31">
        <v>18000</v>
      </c>
      <c r="G11" s="56">
        <f t="shared" si="0"/>
        <v>19.8</v>
      </c>
      <c r="H11" s="22"/>
      <c r="I11" s="18" t="s">
        <v>14</v>
      </c>
      <c r="J11" s="2">
        <v>1</v>
      </c>
      <c r="K11" s="2">
        <v>1</v>
      </c>
      <c r="L11" s="2">
        <v>1</v>
      </c>
      <c r="M11" s="9">
        <v>1</v>
      </c>
      <c r="N11" s="2">
        <v>1</v>
      </c>
      <c r="O11" s="27">
        <v>1</v>
      </c>
      <c r="P11" s="9">
        <v>1</v>
      </c>
      <c r="Q11" s="2">
        <v>1</v>
      </c>
      <c r="R11" s="27">
        <v>1</v>
      </c>
      <c r="S11" s="52">
        <v>1</v>
      </c>
      <c r="T11" s="9">
        <v>1</v>
      </c>
      <c r="U11" s="2">
        <v>1</v>
      </c>
      <c r="V11" s="27">
        <v>1</v>
      </c>
      <c r="W11" s="9">
        <v>1</v>
      </c>
      <c r="X11" s="2">
        <v>1</v>
      </c>
      <c r="Y11" s="27">
        <v>1</v>
      </c>
      <c r="Z11" s="9">
        <v>1</v>
      </c>
      <c r="AA11" s="2">
        <v>1</v>
      </c>
      <c r="AB11" s="27">
        <v>1</v>
      </c>
      <c r="AC11" s="9">
        <v>1</v>
      </c>
      <c r="AD11" s="2">
        <v>1</v>
      </c>
      <c r="AE11" s="27">
        <v>1</v>
      </c>
      <c r="AF11" s="27"/>
      <c r="AG11" s="52"/>
      <c r="AH11" s="52"/>
      <c r="AI11" s="52"/>
      <c r="AJ11" s="9">
        <v>1</v>
      </c>
      <c r="AK11" s="2">
        <v>1</v>
      </c>
      <c r="AL11" s="27">
        <v>1</v>
      </c>
      <c r="AM11" s="9">
        <v>1</v>
      </c>
      <c r="AN11" s="2">
        <v>1</v>
      </c>
      <c r="AO11" s="27">
        <v>1</v>
      </c>
      <c r="AP11" s="2">
        <v>1</v>
      </c>
      <c r="AQ11" s="2">
        <v>1</v>
      </c>
      <c r="AR11" s="27">
        <v>1</v>
      </c>
      <c r="AS11" s="52">
        <v>1</v>
      </c>
      <c r="AT11" s="9">
        <v>1</v>
      </c>
      <c r="AU11" s="2">
        <v>1</v>
      </c>
      <c r="AV11" s="27">
        <v>1</v>
      </c>
      <c r="AW11" s="9">
        <v>1</v>
      </c>
      <c r="AX11" s="2">
        <v>1</v>
      </c>
      <c r="AY11" s="27">
        <v>1</v>
      </c>
      <c r="AZ11" s="9">
        <v>1</v>
      </c>
      <c r="BA11" s="2">
        <v>1</v>
      </c>
      <c r="BB11" s="27">
        <v>1</v>
      </c>
      <c r="BC11" s="9">
        <v>1</v>
      </c>
      <c r="BD11" s="2">
        <v>1</v>
      </c>
      <c r="BE11" s="27">
        <v>1</v>
      </c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</row>
    <row r="12" spans="1:147" s="2" customFormat="1">
      <c r="A12" s="114"/>
      <c r="B12" s="3" t="s">
        <v>36</v>
      </c>
      <c r="C12" s="37" t="s">
        <v>68</v>
      </c>
      <c r="D12" s="109">
        <v>10000</v>
      </c>
      <c r="E12" s="42">
        <v>1</v>
      </c>
      <c r="F12" s="31">
        <v>69000</v>
      </c>
      <c r="G12" s="26">
        <f t="shared" si="0"/>
        <v>7.5900000000000007</v>
      </c>
      <c r="H12" s="17"/>
      <c r="I12" s="18" t="s">
        <v>36</v>
      </c>
      <c r="K12" s="2">
        <v>1</v>
      </c>
      <c r="M12" s="9"/>
      <c r="N12" s="2">
        <v>1</v>
      </c>
      <c r="O12" s="27"/>
      <c r="P12" s="9"/>
      <c r="Q12" s="2">
        <v>1</v>
      </c>
      <c r="R12" s="27"/>
      <c r="S12" s="52"/>
      <c r="T12" s="9"/>
      <c r="U12" s="2">
        <v>1</v>
      </c>
      <c r="V12" s="27"/>
      <c r="W12" s="9"/>
      <c r="X12" s="2">
        <v>1</v>
      </c>
      <c r="Y12" s="27"/>
      <c r="Z12" s="9"/>
      <c r="AA12" s="2">
        <v>1</v>
      </c>
      <c r="AB12" s="27"/>
      <c r="AC12" s="9"/>
      <c r="AD12" s="2">
        <v>1</v>
      </c>
      <c r="AE12" s="27"/>
      <c r="AF12" s="27"/>
      <c r="AG12" s="52"/>
      <c r="AH12" s="52"/>
      <c r="AI12" s="52"/>
      <c r="AJ12" s="9"/>
      <c r="AK12" s="2">
        <v>1</v>
      </c>
      <c r="AL12" s="27"/>
      <c r="AM12" s="9"/>
      <c r="AN12" s="2">
        <v>1</v>
      </c>
      <c r="AO12" s="27"/>
      <c r="AQ12" s="2">
        <v>1</v>
      </c>
      <c r="AR12" s="27"/>
      <c r="AS12" s="52"/>
      <c r="AT12" s="9"/>
      <c r="AU12" s="2">
        <v>1</v>
      </c>
      <c r="AV12" s="27"/>
      <c r="AW12" s="9"/>
      <c r="AX12" s="2">
        <v>1</v>
      </c>
      <c r="AY12" s="27"/>
      <c r="AZ12" s="9"/>
      <c r="BA12" s="2">
        <v>1</v>
      </c>
      <c r="BB12" s="27"/>
      <c r="BC12" s="9"/>
      <c r="BD12" s="2">
        <v>1</v>
      </c>
      <c r="BE12" s="2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</row>
    <row r="13" spans="1:147" s="2" customFormat="1">
      <c r="A13" s="114"/>
      <c r="B13" s="3" t="s">
        <v>37</v>
      </c>
      <c r="C13" s="37" t="s">
        <v>68</v>
      </c>
      <c r="D13" s="109">
        <v>3200</v>
      </c>
      <c r="E13" s="42">
        <v>1</v>
      </c>
      <c r="F13" s="31">
        <v>71000</v>
      </c>
      <c r="G13" s="56">
        <f t="shared" si="0"/>
        <v>24.406250000000004</v>
      </c>
      <c r="H13" s="22"/>
      <c r="I13" s="18" t="s">
        <v>37</v>
      </c>
      <c r="M13" s="9"/>
      <c r="O13" s="27"/>
      <c r="P13" s="9"/>
      <c r="R13" s="27"/>
      <c r="S13" s="52"/>
      <c r="T13" s="9"/>
      <c r="V13" s="27"/>
      <c r="W13" s="9"/>
      <c r="Y13" s="27"/>
      <c r="Z13" s="9"/>
      <c r="AB13" s="27"/>
      <c r="AC13" s="9"/>
      <c r="AE13" s="27"/>
      <c r="AF13" s="27"/>
      <c r="AG13" s="52"/>
      <c r="AH13" s="52"/>
      <c r="AI13" s="52"/>
      <c r="AJ13" s="9"/>
      <c r="AL13" s="27"/>
      <c r="AM13" s="9"/>
      <c r="AO13" s="27"/>
      <c r="AR13" s="27"/>
      <c r="AS13" s="52"/>
      <c r="AT13" s="9"/>
      <c r="AV13" s="27"/>
      <c r="AW13" s="9"/>
      <c r="AY13" s="27"/>
      <c r="AZ13" s="9"/>
      <c r="BB13" s="27"/>
      <c r="BC13" s="9"/>
      <c r="BE13" s="2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</row>
    <row r="14" spans="1:147" s="2" customFormat="1" ht="17.25" thickBot="1">
      <c r="A14" s="114"/>
      <c r="B14" s="3" t="s">
        <v>38</v>
      </c>
      <c r="C14" s="37" t="s">
        <v>68</v>
      </c>
      <c r="D14" s="109">
        <v>10000</v>
      </c>
      <c r="E14" s="42">
        <v>1</v>
      </c>
      <c r="F14" s="31">
        <v>72000</v>
      </c>
      <c r="G14" s="26">
        <f t="shared" si="0"/>
        <v>7.9200000000000008</v>
      </c>
      <c r="H14" s="22"/>
      <c r="I14" s="18" t="s">
        <v>38</v>
      </c>
      <c r="J14" s="9"/>
      <c r="L14" s="2">
        <v>1</v>
      </c>
      <c r="M14" s="9"/>
      <c r="O14" s="27">
        <v>1</v>
      </c>
      <c r="P14" s="9"/>
      <c r="R14" s="27">
        <v>1</v>
      </c>
      <c r="S14" s="52"/>
      <c r="T14" s="9"/>
      <c r="V14" s="27">
        <v>1</v>
      </c>
      <c r="W14" s="9"/>
      <c r="Y14" s="27">
        <v>1</v>
      </c>
      <c r="Z14" s="9"/>
      <c r="AB14" s="27">
        <v>1</v>
      </c>
      <c r="AC14" s="9"/>
      <c r="AE14" s="27">
        <v>1</v>
      </c>
      <c r="AF14" s="27"/>
      <c r="AG14" s="52"/>
      <c r="AH14" s="52"/>
      <c r="AI14" s="52"/>
      <c r="AJ14" s="9"/>
      <c r="AL14" s="27">
        <v>1</v>
      </c>
      <c r="AM14" s="9"/>
      <c r="AO14" s="27">
        <v>1</v>
      </c>
      <c r="AR14" s="27">
        <v>1</v>
      </c>
      <c r="AS14" s="52"/>
      <c r="AT14" s="9"/>
      <c r="AV14" s="27">
        <v>1</v>
      </c>
      <c r="AW14" s="9"/>
      <c r="AY14" s="27">
        <v>1</v>
      </c>
      <c r="AZ14" s="9"/>
      <c r="BB14" s="27">
        <v>1</v>
      </c>
      <c r="BC14" s="9"/>
      <c r="BE14" s="27">
        <v>1</v>
      </c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</row>
    <row r="15" spans="1:147" s="2" customFormat="1">
      <c r="A15" s="114"/>
      <c r="B15" s="3" t="s">
        <v>39</v>
      </c>
      <c r="C15" s="37" t="s">
        <v>68</v>
      </c>
      <c r="D15" s="109">
        <v>3200</v>
      </c>
      <c r="E15" s="42">
        <v>1</v>
      </c>
      <c r="F15" s="31">
        <v>73000</v>
      </c>
      <c r="G15" s="56">
        <f t="shared" si="0"/>
        <v>25.093750000000004</v>
      </c>
      <c r="H15" s="22"/>
      <c r="I15" s="20" t="s">
        <v>39</v>
      </c>
      <c r="M15" s="9"/>
      <c r="O15" s="27"/>
      <c r="P15" s="9"/>
      <c r="R15" s="27"/>
      <c r="S15" s="52"/>
      <c r="T15" s="9"/>
      <c r="V15" s="27"/>
      <c r="W15" s="9"/>
      <c r="Y15" s="27"/>
      <c r="Z15" s="9"/>
      <c r="AB15" s="27"/>
      <c r="AC15" s="9"/>
      <c r="AE15" s="27"/>
      <c r="AF15" s="27"/>
      <c r="AG15" s="52"/>
      <c r="AH15" s="52"/>
      <c r="AI15" s="52"/>
      <c r="AJ15" s="9"/>
      <c r="AL15" s="27"/>
      <c r="AM15" s="9"/>
      <c r="AO15" s="27"/>
      <c r="AR15" s="27"/>
      <c r="AS15" s="52"/>
      <c r="AT15" s="9"/>
      <c r="AV15" s="27"/>
      <c r="AW15" s="9"/>
      <c r="AY15" s="27"/>
      <c r="AZ15" s="9"/>
      <c r="BB15" s="27"/>
      <c r="BC15" s="9"/>
      <c r="BE15" s="2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</row>
    <row r="16" spans="1:147" s="2" customFormat="1" ht="17.25" thickBot="1">
      <c r="A16" s="113"/>
      <c r="B16" s="5" t="s">
        <v>40</v>
      </c>
      <c r="C16" s="39" t="s">
        <v>68</v>
      </c>
      <c r="D16" s="110">
        <v>10000</v>
      </c>
      <c r="E16" s="43">
        <v>1</v>
      </c>
      <c r="F16" s="32">
        <v>68000</v>
      </c>
      <c r="G16" s="26">
        <f t="shared" si="0"/>
        <v>7.48</v>
      </c>
      <c r="H16" s="22"/>
      <c r="I16" s="21" t="s">
        <v>40</v>
      </c>
      <c r="J16" s="11">
        <v>1</v>
      </c>
      <c r="K16" s="11"/>
      <c r="L16" s="11"/>
      <c r="M16" s="51">
        <v>1</v>
      </c>
      <c r="N16" s="11"/>
      <c r="O16" s="49"/>
      <c r="P16" s="51">
        <v>1</v>
      </c>
      <c r="Q16" s="11"/>
      <c r="R16" s="49"/>
      <c r="S16" s="54">
        <v>1</v>
      </c>
      <c r="T16" s="51">
        <v>1</v>
      </c>
      <c r="U16" s="11"/>
      <c r="V16" s="49"/>
      <c r="W16" s="51">
        <v>1</v>
      </c>
      <c r="X16" s="11"/>
      <c r="Y16" s="49"/>
      <c r="Z16" s="51">
        <v>1</v>
      </c>
      <c r="AA16" s="11"/>
      <c r="AB16" s="49"/>
      <c r="AC16" s="51">
        <v>1</v>
      </c>
      <c r="AD16" s="11"/>
      <c r="AE16" s="49"/>
      <c r="AF16" s="49"/>
      <c r="AG16" s="54"/>
      <c r="AH16" s="54"/>
      <c r="AI16" s="54"/>
      <c r="AJ16" s="51">
        <v>1</v>
      </c>
      <c r="AK16" s="11"/>
      <c r="AL16" s="49"/>
      <c r="AM16" s="51">
        <v>1</v>
      </c>
      <c r="AN16" s="11"/>
      <c r="AO16" s="49"/>
      <c r="AP16" s="11">
        <v>1</v>
      </c>
      <c r="AQ16" s="11"/>
      <c r="AR16" s="49"/>
      <c r="AS16" s="54">
        <v>1</v>
      </c>
      <c r="AT16" s="51">
        <v>1</v>
      </c>
      <c r="AU16" s="11"/>
      <c r="AV16" s="49"/>
      <c r="AW16" s="51">
        <v>1</v>
      </c>
      <c r="AX16" s="11"/>
      <c r="AY16" s="49"/>
      <c r="AZ16" s="51">
        <v>1</v>
      </c>
      <c r="BA16" s="11"/>
      <c r="BB16" s="49"/>
      <c r="BC16" s="51">
        <v>1</v>
      </c>
      <c r="BD16" s="11"/>
      <c r="BE16" s="49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</row>
    <row r="17" spans="1:147" s="2" customFormat="1" hidden="1">
      <c r="A17" s="112" t="s">
        <v>63</v>
      </c>
      <c r="B17" s="6" t="s">
        <v>15</v>
      </c>
      <c r="C17" s="40" t="s">
        <v>70</v>
      </c>
      <c r="D17" s="108">
        <v>1500</v>
      </c>
      <c r="E17" s="41">
        <v>6</v>
      </c>
      <c r="F17" s="30">
        <v>19200</v>
      </c>
      <c r="G17" s="57">
        <f t="shared" si="0"/>
        <v>2.3466666666666667</v>
      </c>
      <c r="H17" s="17"/>
      <c r="I17" s="20" t="s">
        <v>15</v>
      </c>
      <c r="J17" s="10"/>
      <c r="K17" s="10"/>
      <c r="L17" s="10"/>
      <c r="M17" s="50"/>
      <c r="N17" s="10"/>
      <c r="O17" s="48"/>
      <c r="P17" s="50"/>
      <c r="Q17" s="10"/>
      <c r="R17" s="48"/>
      <c r="S17" s="53"/>
      <c r="T17" s="50"/>
      <c r="U17" s="10"/>
      <c r="V17" s="48"/>
      <c r="W17" s="50"/>
      <c r="X17" s="10"/>
      <c r="Y17" s="48"/>
      <c r="Z17" s="50"/>
      <c r="AA17" s="10"/>
      <c r="AB17" s="48"/>
      <c r="AC17" s="50"/>
      <c r="AD17" s="10"/>
      <c r="AE17" s="48"/>
      <c r="AF17" s="48"/>
      <c r="AG17" s="53"/>
      <c r="AH17" s="53"/>
      <c r="AI17" s="53"/>
      <c r="AJ17" s="50"/>
      <c r="AK17" s="10"/>
      <c r="AL17" s="48"/>
      <c r="AM17" s="50"/>
      <c r="AN17" s="10"/>
      <c r="AO17" s="48"/>
      <c r="AP17" s="50"/>
      <c r="AQ17" s="10"/>
      <c r="AR17" s="48"/>
      <c r="AS17" s="53"/>
      <c r="AT17" s="50"/>
      <c r="AU17" s="10"/>
      <c r="AV17" s="48"/>
      <c r="AW17" s="50"/>
      <c r="AX17" s="10"/>
      <c r="AY17" s="48"/>
      <c r="AZ17" s="50"/>
      <c r="BA17" s="10"/>
      <c r="BB17" s="48"/>
      <c r="BC17" s="50"/>
      <c r="BD17" s="10"/>
      <c r="BE17" s="48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</row>
    <row r="18" spans="1:147" s="2" customFormat="1">
      <c r="A18" s="114"/>
      <c r="B18" s="3" t="s">
        <v>16</v>
      </c>
      <c r="C18" s="37" t="s">
        <v>70</v>
      </c>
      <c r="D18" s="109">
        <v>750</v>
      </c>
      <c r="E18" s="42">
        <v>8</v>
      </c>
      <c r="F18" s="85">
        <v>58880</v>
      </c>
      <c r="G18" s="57">
        <f t="shared" si="0"/>
        <v>10.794666666666666</v>
      </c>
      <c r="H18" s="22"/>
      <c r="I18" s="18" t="s">
        <v>16</v>
      </c>
      <c r="M18" s="9"/>
      <c r="O18" s="27"/>
      <c r="P18" s="9">
        <v>40</v>
      </c>
      <c r="Q18" s="2">
        <v>40</v>
      </c>
      <c r="R18" s="27">
        <v>50</v>
      </c>
      <c r="S18" s="52"/>
      <c r="T18" s="9"/>
      <c r="V18" s="27"/>
      <c r="W18" s="9"/>
      <c r="Y18" s="27"/>
      <c r="Z18" s="9">
        <v>30</v>
      </c>
      <c r="AA18" s="2">
        <v>30</v>
      </c>
      <c r="AB18" s="27">
        <v>30</v>
      </c>
      <c r="AC18" s="9"/>
      <c r="AE18" s="27"/>
      <c r="AF18" s="27"/>
      <c r="AG18" s="52"/>
      <c r="AH18" s="52">
        <v>30</v>
      </c>
      <c r="AI18" s="52"/>
      <c r="AJ18" s="9"/>
      <c r="AL18" s="27"/>
      <c r="AM18" s="9"/>
      <c r="AO18" s="27"/>
      <c r="AP18" s="9">
        <v>40</v>
      </c>
      <c r="AQ18" s="2">
        <v>40</v>
      </c>
      <c r="AR18" s="27">
        <v>50</v>
      </c>
      <c r="AS18" s="52"/>
      <c r="AT18" s="9"/>
      <c r="AV18" s="27"/>
      <c r="AW18" s="9"/>
      <c r="AY18" s="27"/>
      <c r="AZ18" s="9">
        <v>30</v>
      </c>
      <c r="BA18" s="2">
        <v>30</v>
      </c>
      <c r="BB18" s="27">
        <v>30</v>
      </c>
      <c r="BC18" s="9"/>
      <c r="BE18" s="2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</row>
    <row r="19" spans="1:147" s="2" customFormat="1">
      <c r="A19" s="114"/>
      <c r="B19" s="3" t="s">
        <v>52</v>
      </c>
      <c r="C19" s="37" t="s">
        <v>70</v>
      </c>
      <c r="D19" s="109">
        <v>750</v>
      </c>
      <c r="E19" s="42">
        <v>8</v>
      </c>
      <c r="F19" s="31">
        <v>58880</v>
      </c>
      <c r="G19" s="56">
        <f t="shared" si="0"/>
        <v>10.794666666666666</v>
      </c>
      <c r="H19" s="22"/>
      <c r="I19" s="18" t="s">
        <v>52</v>
      </c>
      <c r="M19" s="9"/>
      <c r="O19" s="27"/>
      <c r="P19" s="9"/>
      <c r="R19" s="27"/>
      <c r="S19" s="52"/>
      <c r="T19" s="9"/>
      <c r="V19" s="27"/>
      <c r="W19" s="9">
        <v>40</v>
      </c>
      <c r="X19" s="2">
        <v>40</v>
      </c>
      <c r="Y19" s="27">
        <v>50</v>
      </c>
      <c r="Z19" s="9"/>
      <c r="AB19" s="27"/>
      <c r="AC19" s="9"/>
      <c r="AE19" s="27"/>
      <c r="AF19" s="27"/>
      <c r="AG19" s="52"/>
      <c r="AH19" s="52"/>
      <c r="AI19" s="52">
        <v>30</v>
      </c>
      <c r="AJ19" s="9"/>
      <c r="AL19" s="27"/>
      <c r="AM19" s="9"/>
      <c r="AO19" s="27"/>
      <c r="AP19" s="9"/>
      <c r="AR19" s="27"/>
      <c r="AS19" s="52"/>
      <c r="AT19" s="9"/>
      <c r="AV19" s="27"/>
      <c r="AW19" s="9">
        <v>40</v>
      </c>
      <c r="AX19" s="2">
        <v>40</v>
      </c>
      <c r="AY19" s="27">
        <v>50</v>
      </c>
      <c r="AZ19" s="9"/>
      <c r="BB19" s="27"/>
      <c r="BC19" s="9"/>
      <c r="BE19" s="2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</row>
    <row r="20" spans="1:147" s="2" customFormat="1">
      <c r="A20" s="114"/>
      <c r="B20" s="3" t="s">
        <v>21</v>
      </c>
      <c r="C20" s="37" t="s">
        <v>70</v>
      </c>
      <c r="D20" s="109">
        <v>1890</v>
      </c>
      <c r="E20" s="42">
        <v>4</v>
      </c>
      <c r="F20" s="31">
        <v>56400</v>
      </c>
      <c r="G20" s="26">
        <f t="shared" si="0"/>
        <v>8.2063492063492074</v>
      </c>
      <c r="H20" s="22"/>
      <c r="I20" s="18" t="s">
        <v>21</v>
      </c>
      <c r="M20" s="9"/>
      <c r="O20" s="27"/>
      <c r="P20" s="9"/>
      <c r="R20" s="27"/>
      <c r="S20" s="52"/>
      <c r="T20" s="9">
        <v>50</v>
      </c>
      <c r="U20" s="2">
        <v>50</v>
      </c>
      <c r="V20" s="27">
        <v>50</v>
      </c>
      <c r="W20" s="9"/>
      <c r="Y20" s="27"/>
      <c r="Z20" s="9"/>
      <c r="AB20" s="27"/>
      <c r="AC20" s="9"/>
      <c r="AE20" s="27">
        <v>10</v>
      </c>
      <c r="AF20" s="27"/>
      <c r="AG20" s="52"/>
      <c r="AH20" s="52"/>
      <c r="AI20" s="52"/>
      <c r="AJ20" s="9"/>
      <c r="AL20" s="27"/>
      <c r="AM20" s="9"/>
      <c r="AO20" s="27"/>
      <c r="AP20" s="9"/>
      <c r="AR20" s="27"/>
      <c r="AS20" s="52"/>
      <c r="AT20" s="9">
        <v>50</v>
      </c>
      <c r="AU20" s="2">
        <v>50</v>
      </c>
      <c r="AV20" s="27">
        <v>50</v>
      </c>
      <c r="AW20" s="9"/>
      <c r="AY20" s="27"/>
      <c r="AZ20" s="9"/>
      <c r="BB20" s="27"/>
      <c r="BC20" s="9"/>
      <c r="BE20" s="27">
        <v>10</v>
      </c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</row>
    <row r="21" spans="1:147" s="2" customFormat="1" ht="17.25" thickBot="1">
      <c r="A21" s="113"/>
      <c r="B21" s="5" t="s">
        <v>22</v>
      </c>
      <c r="C21" s="39" t="s">
        <v>70</v>
      </c>
      <c r="D21" s="110">
        <v>1890</v>
      </c>
      <c r="E21" s="43">
        <v>4</v>
      </c>
      <c r="F21" s="32">
        <v>60400</v>
      </c>
      <c r="G21" s="56">
        <f t="shared" si="0"/>
        <v>8.7883597883597897</v>
      </c>
      <c r="H21" s="17"/>
      <c r="I21" s="21" t="s">
        <v>22</v>
      </c>
      <c r="J21" s="11"/>
      <c r="K21" s="11"/>
      <c r="L21" s="11"/>
      <c r="M21" s="51"/>
      <c r="N21" s="11"/>
      <c r="O21" s="49"/>
      <c r="P21" s="51"/>
      <c r="Q21" s="11"/>
      <c r="R21" s="49"/>
      <c r="S21" s="54"/>
      <c r="T21" s="51"/>
      <c r="U21" s="11"/>
      <c r="V21" s="49"/>
      <c r="W21" s="51"/>
      <c r="X21" s="11"/>
      <c r="Y21" s="49"/>
      <c r="Z21" s="51">
        <v>30</v>
      </c>
      <c r="AA21" s="11">
        <v>30</v>
      </c>
      <c r="AB21" s="49">
        <v>40</v>
      </c>
      <c r="AC21" s="51"/>
      <c r="AD21" s="11"/>
      <c r="AE21" s="49"/>
      <c r="AF21" s="49"/>
      <c r="AG21" s="54"/>
      <c r="AH21" s="54"/>
      <c r="AI21" s="54"/>
      <c r="AJ21" s="51"/>
      <c r="AK21" s="11"/>
      <c r="AL21" s="49"/>
      <c r="AM21" s="51"/>
      <c r="AN21" s="11"/>
      <c r="AO21" s="49"/>
      <c r="AP21" s="51"/>
      <c r="AQ21" s="11"/>
      <c r="AR21" s="49"/>
      <c r="AS21" s="54"/>
      <c r="AT21" s="51"/>
      <c r="AU21" s="11"/>
      <c r="AV21" s="49"/>
      <c r="AW21" s="51"/>
      <c r="AX21" s="11"/>
      <c r="AY21" s="49"/>
      <c r="AZ21" s="51">
        <v>30</v>
      </c>
      <c r="BA21" s="11">
        <v>30</v>
      </c>
      <c r="BB21" s="49">
        <v>40</v>
      </c>
      <c r="BC21" s="51"/>
      <c r="BD21" s="11"/>
      <c r="BE21" s="49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</row>
    <row r="22" spans="1:147" s="2" customFormat="1" hidden="1">
      <c r="A22" s="112" t="s">
        <v>64</v>
      </c>
      <c r="B22" s="6" t="s">
        <v>53</v>
      </c>
      <c r="C22" s="40" t="s">
        <v>69</v>
      </c>
      <c r="D22" s="108">
        <v>907</v>
      </c>
      <c r="E22" s="41">
        <v>12</v>
      </c>
      <c r="F22" s="30">
        <v>92400</v>
      </c>
      <c r="G22" s="57">
        <f t="shared" si="0"/>
        <v>9.33847850055127</v>
      </c>
      <c r="H22" s="22"/>
      <c r="I22" s="20" t="s">
        <v>53</v>
      </c>
      <c r="J22" s="10"/>
      <c r="K22" s="10"/>
      <c r="L22" s="10"/>
      <c r="M22" s="50"/>
      <c r="N22" s="10"/>
      <c r="O22" s="48"/>
      <c r="P22" s="50"/>
      <c r="Q22" s="10"/>
      <c r="R22" s="48"/>
      <c r="S22" s="53"/>
      <c r="T22" s="50"/>
      <c r="U22" s="10"/>
      <c r="V22" s="48"/>
      <c r="W22" s="50"/>
      <c r="X22" s="10"/>
      <c r="Y22" s="48"/>
      <c r="Z22" s="50"/>
      <c r="AA22" s="10"/>
      <c r="AB22" s="48"/>
      <c r="AC22" s="50"/>
      <c r="AD22" s="10"/>
      <c r="AE22" s="48"/>
      <c r="AF22" s="48"/>
      <c r="AG22" s="53"/>
      <c r="AH22" s="53"/>
      <c r="AI22" s="53"/>
      <c r="AJ22" s="50"/>
      <c r="AK22" s="10"/>
      <c r="AL22" s="48"/>
      <c r="AM22" s="50"/>
      <c r="AN22" s="10"/>
      <c r="AO22" s="48"/>
      <c r="AP22" s="50"/>
      <c r="AQ22" s="10"/>
      <c r="AR22" s="48"/>
      <c r="AS22" s="53"/>
      <c r="AT22" s="50"/>
      <c r="AU22" s="10"/>
      <c r="AV22" s="48"/>
      <c r="AW22" s="50"/>
      <c r="AX22" s="10"/>
      <c r="AY22" s="48"/>
      <c r="AZ22" s="50"/>
      <c r="BA22" s="10"/>
      <c r="BB22" s="48"/>
      <c r="BC22" s="50"/>
      <c r="BD22" s="10"/>
      <c r="BE22" s="48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</row>
    <row r="23" spans="1:147" s="2" customFormat="1" ht="17.25" thickBot="1">
      <c r="A23" s="114"/>
      <c r="B23" s="3" t="s">
        <v>56</v>
      </c>
      <c r="C23" s="37" t="s">
        <v>69</v>
      </c>
      <c r="D23" s="109">
        <v>800</v>
      </c>
      <c r="E23" s="42">
        <v>12</v>
      </c>
      <c r="F23" s="31">
        <v>92400</v>
      </c>
      <c r="G23" s="57">
        <f t="shared" si="0"/>
        <v>10.5875</v>
      </c>
      <c r="H23" s="22"/>
      <c r="I23" s="18" t="s">
        <v>56</v>
      </c>
      <c r="M23" s="9"/>
      <c r="O23" s="27"/>
      <c r="P23" s="9"/>
      <c r="R23" s="27"/>
      <c r="S23" s="52"/>
      <c r="T23" s="9"/>
      <c r="V23" s="27"/>
      <c r="W23" s="9"/>
      <c r="Y23" s="27"/>
      <c r="Z23" s="9"/>
      <c r="AB23" s="27"/>
      <c r="AC23" s="9">
        <v>50</v>
      </c>
      <c r="AD23" s="2">
        <v>50</v>
      </c>
      <c r="AE23" s="27">
        <v>50</v>
      </c>
      <c r="AF23" s="27"/>
      <c r="AG23" s="52"/>
      <c r="AH23" s="52"/>
      <c r="AI23" s="52"/>
      <c r="AJ23" s="9"/>
      <c r="AL23" s="27"/>
      <c r="AM23" s="9"/>
      <c r="AO23" s="27"/>
      <c r="AP23" s="9"/>
      <c r="AR23" s="27"/>
      <c r="AS23" s="52"/>
      <c r="AT23" s="9"/>
      <c r="AV23" s="27"/>
      <c r="AW23" s="9"/>
      <c r="AY23" s="27"/>
      <c r="AZ23" s="9"/>
      <c r="BB23" s="27"/>
      <c r="BC23" s="9">
        <v>50</v>
      </c>
      <c r="BD23" s="2">
        <v>50</v>
      </c>
      <c r="BE23" s="27">
        <v>50</v>
      </c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</row>
    <row r="24" spans="1:147" s="2" customFormat="1" hidden="1">
      <c r="A24" s="114"/>
      <c r="B24" s="3" t="s">
        <v>57</v>
      </c>
      <c r="C24" s="37" t="s">
        <v>69</v>
      </c>
      <c r="D24" s="109">
        <v>800</v>
      </c>
      <c r="E24" s="42">
        <v>12</v>
      </c>
      <c r="F24" s="31">
        <v>74400</v>
      </c>
      <c r="G24" s="56">
        <f t="shared" si="0"/>
        <v>8.5250000000000004</v>
      </c>
      <c r="H24" s="22"/>
      <c r="I24" s="18" t="s">
        <v>57</v>
      </c>
      <c r="M24" s="9"/>
      <c r="O24" s="27"/>
      <c r="P24" s="9"/>
      <c r="R24" s="27"/>
      <c r="S24" s="52"/>
      <c r="T24" s="9"/>
      <c r="V24" s="27"/>
      <c r="W24" s="9"/>
      <c r="Y24" s="27"/>
      <c r="Z24" s="9"/>
      <c r="AB24" s="27"/>
      <c r="AC24" s="9"/>
      <c r="AE24" s="27"/>
      <c r="AF24" s="27"/>
      <c r="AG24" s="52"/>
      <c r="AH24" s="52"/>
      <c r="AI24" s="52"/>
      <c r="AJ24" s="9"/>
      <c r="AL24" s="27"/>
      <c r="AM24" s="9"/>
      <c r="AO24" s="27"/>
      <c r="AP24" s="9"/>
      <c r="AR24" s="27"/>
      <c r="AS24" s="52"/>
      <c r="AT24" s="9"/>
      <c r="AV24" s="27"/>
      <c r="AW24" s="9"/>
      <c r="AY24" s="27"/>
      <c r="AZ24" s="9"/>
      <c r="BB24" s="27"/>
      <c r="BC24" s="9"/>
      <c r="BE24" s="2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</row>
    <row r="25" spans="1:147" s="2" customFormat="1" hidden="1">
      <c r="A25" s="114"/>
      <c r="B25" s="3" t="s">
        <v>55</v>
      </c>
      <c r="C25" s="37" t="s">
        <v>69</v>
      </c>
      <c r="D25" s="109">
        <v>1000</v>
      </c>
      <c r="E25" s="42">
        <v>12</v>
      </c>
      <c r="F25" s="31">
        <v>87000</v>
      </c>
      <c r="G25" s="56">
        <f t="shared" si="0"/>
        <v>7.9750000000000005</v>
      </c>
      <c r="H25" s="22"/>
      <c r="I25" s="18" t="s">
        <v>55</v>
      </c>
      <c r="M25" s="9"/>
      <c r="O25" s="27"/>
      <c r="P25" s="9"/>
      <c r="R25" s="27"/>
      <c r="S25" s="52"/>
      <c r="T25" s="9"/>
      <c r="V25" s="27"/>
      <c r="W25" s="9"/>
      <c r="Y25" s="27"/>
      <c r="Z25" s="9"/>
      <c r="AB25" s="27"/>
      <c r="AC25" s="9"/>
      <c r="AE25" s="27"/>
      <c r="AF25" s="27"/>
      <c r="AG25" s="52"/>
      <c r="AH25" s="52"/>
      <c r="AI25" s="52"/>
      <c r="AJ25" s="9"/>
      <c r="AL25" s="27"/>
      <c r="AM25" s="9"/>
      <c r="AO25" s="27"/>
      <c r="AP25" s="9"/>
      <c r="AR25" s="27"/>
      <c r="AS25" s="52"/>
      <c r="AT25" s="9"/>
      <c r="AV25" s="27"/>
      <c r="AW25" s="9"/>
      <c r="AY25" s="27"/>
      <c r="AZ25" s="9"/>
      <c r="BB25" s="27"/>
      <c r="BC25" s="9"/>
      <c r="BE25" s="2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</row>
    <row r="26" spans="1:147" s="2" customFormat="1" hidden="1">
      <c r="A26" s="114"/>
      <c r="B26" s="3" t="s">
        <v>41</v>
      </c>
      <c r="C26" s="37" t="s">
        <v>69</v>
      </c>
      <c r="D26" s="109">
        <v>1000</v>
      </c>
      <c r="E26" s="42">
        <v>12</v>
      </c>
      <c r="F26" s="31">
        <v>79200</v>
      </c>
      <c r="G26" s="26">
        <f t="shared" si="0"/>
        <v>7.26</v>
      </c>
      <c r="H26" s="22"/>
      <c r="I26" s="18" t="s">
        <v>41</v>
      </c>
      <c r="M26" s="9"/>
      <c r="O26" s="27"/>
      <c r="P26" s="9"/>
      <c r="R26" s="27"/>
      <c r="S26" s="52"/>
      <c r="T26" s="9"/>
      <c r="V26" s="27"/>
      <c r="W26" s="9"/>
      <c r="Y26" s="27"/>
      <c r="Z26" s="9"/>
      <c r="AB26" s="27"/>
      <c r="AC26" s="9"/>
      <c r="AE26" s="27"/>
      <c r="AF26" s="27"/>
      <c r="AG26" s="52"/>
      <c r="AH26" s="52"/>
      <c r="AI26" s="52"/>
      <c r="AJ26" s="9"/>
      <c r="AL26" s="27"/>
      <c r="AM26" s="9"/>
      <c r="AO26" s="27"/>
      <c r="AP26" s="9"/>
      <c r="AR26" s="27"/>
      <c r="AS26" s="52"/>
      <c r="AT26" s="9"/>
      <c r="AV26" s="27"/>
      <c r="AW26" s="9"/>
      <c r="AY26" s="27"/>
      <c r="AZ26" s="9"/>
      <c r="BB26" s="27"/>
      <c r="BC26" s="9"/>
      <c r="BE26" s="2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</row>
    <row r="27" spans="1:147" s="2" customFormat="1" hidden="1">
      <c r="A27" s="114"/>
      <c r="B27" s="3" t="s">
        <v>45</v>
      </c>
      <c r="C27" s="37" t="s">
        <v>69</v>
      </c>
      <c r="D27" s="109">
        <v>500</v>
      </c>
      <c r="E27" s="42">
        <v>12</v>
      </c>
      <c r="F27" s="31">
        <v>63600</v>
      </c>
      <c r="G27" s="56">
        <f t="shared" si="0"/>
        <v>11.66</v>
      </c>
      <c r="H27" s="22"/>
      <c r="I27" s="18" t="s">
        <v>45</v>
      </c>
      <c r="M27" s="9"/>
      <c r="O27" s="27"/>
      <c r="P27" s="9"/>
      <c r="R27" s="27"/>
      <c r="S27" s="52"/>
      <c r="T27" s="9"/>
      <c r="V27" s="27"/>
      <c r="W27" s="9"/>
      <c r="Y27" s="27"/>
      <c r="Z27" s="9"/>
      <c r="AB27" s="27"/>
      <c r="AC27" s="9"/>
      <c r="AE27" s="27"/>
      <c r="AF27" s="27"/>
      <c r="AG27" s="52"/>
      <c r="AH27" s="52"/>
      <c r="AI27" s="52"/>
      <c r="AJ27" s="9"/>
      <c r="AL27" s="27"/>
      <c r="AM27" s="9"/>
      <c r="AO27" s="27"/>
      <c r="AP27" s="9"/>
      <c r="AR27" s="27"/>
      <c r="AS27" s="52"/>
      <c r="AT27" s="9"/>
      <c r="AV27" s="27"/>
      <c r="AW27" s="9"/>
      <c r="AY27" s="27"/>
      <c r="AZ27" s="9"/>
      <c r="BB27" s="27"/>
      <c r="BC27" s="9"/>
      <c r="BE27" s="2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</row>
    <row r="28" spans="1:147" s="2" customFormat="1" hidden="1">
      <c r="A28" s="114"/>
      <c r="B28" s="3" t="s">
        <v>47</v>
      </c>
      <c r="C28" s="37" t="s">
        <v>69</v>
      </c>
      <c r="D28" s="109">
        <v>1000</v>
      </c>
      <c r="E28" s="42">
        <v>12</v>
      </c>
      <c r="F28" s="31">
        <v>100800</v>
      </c>
      <c r="G28" s="56">
        <f t="shared" si="0"/>
        <v>9.240000000000002</v>
      </c>
      <c r="H28" s="22"/>
      <c r="I28" s="18" t="s">
        <v>47</v>
      </c>
      <c r="M28" s="9"/>
      <c r="O28" s="27"/>
      <c r="P28" s="9"/>
      <c r="R28" s="27"/>
      <c r="S28" s="52"/>
      <c r="T28" s="9"/>
      <c r="V28" s="27"/>
      <c r="W28" s="9"/>
      <c r="Y28" s="27"/>
      <c r="Z28" s="9"/>
      <c r="AB28" s="27"/>
      <c r="AC28" s="9"/>
      <c r="AE28" s="27"/>
      <c r="AF28" s="27"/>
      <c r="AG28" s="52"/>
      <c r="AH28" s="52"/>
      <c r="AI28" s="52"/>
      <c r="AJ28" s="9"/>
      <c r="AL28" s="27"/>
      <c r="AM28" s="9"/>
      <c r="AO28" s="27"/>
      <c r="AP28" s="9"/>
      <c r="AR28" s="27"/>
      <c r="AS28" s="52"/>
      <c r="AT28" s="9"/>
      <c r="AV28" s="27"/>
      <c r="AW28" s="9"/>
      <c r="AY28" s="27"/>
      <c r="AZ28" s="9"/>
      <c r="BB28" s="27"/>
      <c r="BC28" s="9"/>
      <c r="BE28" s="2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</row>
    <row r="29" spans="1:147" s="2" customFormat="1" hidden="1">
      <c r="A29" s="114"/>
      <c r="B29" s="3" t="s">
        <v>48</v>
      </c>
      <c r="C29" s="37" t="s">
        <v>69</v>
      </c>
      <c r="D29" s="109">
        <v>800</v>
      </c>
      <c r="E29" s="42">
        <v>12</v>
      </c>
      <c r="F29" s="31">
        <v>54000</v>
      </c>
      <c r="G29" s="26">
        <f t="shared" si="0"/>
        <v>6.1875000000000009</v>
      </c>
      <c r="H29" s="22"/>
      <c r="I29" s="18" t="s">
        <v>48</v>
      </c>
      <c r="M29" s="9"/>
      <c r="O29" s="27"/>
      <c r="P29" s="9"/>
      <c r="R29" s="27"/>
      <c r="S29" s="52"/>
      <c r="T29" s="9"/>
      <c r="V29" s="27"/>
      <c r="W29" s="9"/>
      <c r="Y29" s="27"/>
      <c r="Z29" s="9"/>
      <c r="AB29" s="27"/>
      <c r="AC29" s="9"/>
      <c r="AE29" s="27"/>
      <c r="AF29" s="27"/>
      <c r="AG29" s="52"/>
      <c r="AH29" s="52"/>
      <c r="AI29" s="52"/>
      <c r="AJ29" s="9"/>
      <c r="AL29" s="27"/>
      <c r="AM29" s="9"/>
      <c r="AO29" s="27"/>
      <c r="AP29" s="9"/>
      <c r="AR29" s="27"/>
      <c r="AS29" s="52"/>
      <c r="AT29" s="9"/>
      <c r="AV29" s="27"/>
      <c r="AW29" s="9"/>
      <c r="AY29" s="27"/>
      <c r="AZ29" s="9"/>
      <c r="BB29" s="27"/>
      <c r="BC29" s="9"/>
      <c r="BE29" s="2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</row>
    <row r="30" spans="1:147" s="2" customFormat="1" hidden="1">
      <c r="A30" s="114"/>
      <c r="B30" s="3" t="s">
        <v>61</v>
      </c>
      <c r="C30" s="37" t="s">
        <v>69</v>
      </c>
      <c r="D30" s="109">
        <v>800</v>
      </c>
      <c r="E30" s="42">
        <v>12</v>
      </c>
      <c r="F30" s="31">
        <v>80400</v>
      </c>
      <c r="G30" s="26">
        <f t="shared" si="0"/>
        <v>9.2125000000000004</v>
      </c>
      <c r="H30" s="22"/>
      <c r="I30" s="18" t="s">
        <v>61</v>
      </c>
      <c r="M30" s="9"/>
      <c r="O30" s="27"/>
      <c r="P30" s="9"/>
      <c r="R30" s="27"/>
      <c r="S30" s="52"/>
      <c r="T30" s="9"/>
      <c r="V30" s="27"/>
      <c r="W30" s="9"/>
      <c r="Y30" s="27"/>
      <c r="Z30" s="9"/>
      <c r="AB30" s="27"/>
      <c r="AC30" s="9"/>
      <c r="AE30" s="27"/>
      <c r="AF30" s="27"/>
      <c r="AG30" s="52"/>
      <c r="AH30" s="52"/>
      <c r="AI30" s="52"/>
      <c r="AJ30" s="9"/>
      <c r="AL30" s="27"/>
      <c r="AM30" s="9"/>
      <c r="AO30" s="27"/>
      <c r="AP30" s="9"/>
      <c r="AR30" s="27"/>
      <c r="AS30" s="52"/>
      <c r="AT30" s="9"/>
      <c r="AV30" s="27"/>
      <c r="AW30" s="9"/>
      <c r="AY30" s="27"/>
      <c r="AZ30" s="9"/>
      <c r="BB30" s="27"/>
      <c r="BC30" s="9"/>
      <c r="BE30" s="2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</row>
    <row r="31" spans="1:147" s="2" customFormat="1" ht="17.25" hidden="1" thickBot="1">
      <c r="A31" s="113"/>
      <c r="B31" s="5" t="s">
        <v>20</v>
      </c>
      <c r="C31" s="39" t="s">
        <v>69</v>
      </c>
      <c r="D31" s="110">
        <v>500</v>
      </c>
      <c r="E31" s="43">
        <v>6</v>
      </c>
      <c r="F31" s="32">
        <v>39600</v>
      </c>
      <c r="G31" s="56">
        <f t="shared" si="0"/>
        <v>14.52</v>
      </c>
      <c r="H31" s="22"/>
      <c r="I31" s="21" t="s">
        <v>20</v>
      </c>
      <c r="J31" s="11"/>
      <c r="K31" s="11"/>
      <c r="L31" s="11"/>
      <c r="M31" s="51"/>
      <c r="N31" s="11"/>
      <c r="O31" s="49"/>
      <c r="P31" s="51"/>
      <c r="Q31" s="11"/>
      <c r="R31" s="49"/>
      <c r="S31" s="54"/>
      <c r="T31" s="51"/>
      <c r="U31" s="11"/>
      <c r="V31" s="49"/>
      <c r="W31" s="51"/>
      <c r="X31" s="11"/>
      <c r="Y31" s="49"/>
      <c r="Z31" s="51"/>
      <c r="AA31" s="11"/>
      <c r="AB31" s="49"/>
      <c r="AC31" s="51"/>
      <c r="AD31" s="11"/>
      <c r="AE31" s="49"/>
      <c r="AF31" s="49"/>
      <c r="AG31" s="54"/>
      <c r="AH31" s="54"/>
      <c r="AI31" s="54"/>
      <c r="AJ31" s="51"/>
      <c r="AK31" s="11"/>
      <c r="AL31" s="49"/>
      <c r="AM31" s="51"/>
      <c r="AN31" s="11"/>
      <c r="AO31" s="49"/>
      <c r="AP31" s="51"/>
      <c r="AQ31" s="11"/>
      <c r="AR31" s="49"/>
      <c r="AS31" s="54"/>
      <c r="AT31" s="51"/>
      <c r="AU31" s="11"/>
      <c r="AV31" s="49"/>
      <c r="AW31" s="51"/>
      <c r="AX31" s="11"/>
      <c r="AY31" s="49"/>
      <c r="AZ31" s="51"/>
      <c r="BA31" s="11"/>
      <c r="BB31" s="49"/>
      <c r="BC31" s="51"/>
      <c r="BD31" s="11"/>
      <c r="BE31" s="49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</row>
    <row r="32" spans="1:147" s="2" customFormat="1" hidden="1">
      <c r="A32" s="112" t="s">
        <v>71</v>
      </c>
      <c r="B32" s="6" t="s">
        <v>42</v>
      </c>
      <c r="C32" s="40" t="s">
        <v>69</v>
      </c>
      <c r="D32" s="108">
        <v>1500</v>
      </c>
      <c r="E32" s="41">
        <v>6</v>
      </c>
      <c r="F32" s="30">
        <v>87000</v>
      </c>
      <c r="G32" s="57">
        <f t="shared" si="0"/>
        <v>10.633333333333333</v>
      </c>
      <c r="H32" s="17"/>
      <c r="I32" s="20" t="s">
        <v>42</v>
      </c>
      <c r="J32" s="10"/>
      <c r="K32" s="10"/>
      <c r="L32" s="10"/>
      <c r="M32" s="50"/>
      <c r="N32" s="10"/>
      <c r="O32" s="48"/>
      <c r="P32" s="50"/>
      <c r="Q32" s="10"/>
      <c r="R32" s="48"/>
      <c r="S32" s="53"/>
      <c r="T32" s="50"/>
      <c r="U32" s="10"/>
      <c r="V32" s="48"/>
      <c r="W32" s="50"/>
      <c r="X32" s="10"/>
      <c r="Y32" s="48"/>
      <c r="Z32" s="50"/>
      <c r="AA32" s="10"/>
      <c r="AB32" s="48"/>
      <c r="AC32" s="50"/>
      <c r="AD32" s="10"/>
      <c r="AE32" s="48"/>
      <c r="AF32" s="48"/>
      <c r="AG32" s="53"/>
      <c r="AH32" s="53"/>
      <c r="AI32" s="53"/>
      <c r="AJ32" s="50"/>
      <c r="AK32" s="10"/>
      <c r="AL32" s="48"/>
      <c r="AM32" s="50"/>
      <c r="AN32" s="10"/>
      <c r="AO32" s="48"/>
      <c r="AP32" s="10"/>
      <c r="AQ32" s="10"/>
      <c r="AR32" s="48"/>
      <c r="AS32" s="53"/>
      <c r="AT32" s="50"/>
      <c r="AU32" s="10"/>
      <c r="AV32" s="48"/>
      <c r="AW32" s="50"/>
      <c r="AX32" s="10"/>
      <c r="AY32" s="48"/>
      <c r="AZ32" s="50"/>
      <c r="BA32" s="10"/>
      <c r="BB32" s="48"/>
      <c r="BC32" s="50"/>
      <c r="BD32" s="10"/>
      <c r="BE32" s="48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</row>
    <row r="33" spans="1:147" s="2" customFormat="1" hidden="1">
      <c r="A33" s="114"/>
      <c r="B33" s="3" t="s">
        <v>43</v>
      </c>
      <c r="C33" s="37" t="s">
        <v>69</v>
      </c>
      <c r="D33" s="109">
        <v>1500</v>
      </c>
      <c r="E33" s="42">
        <v>6</v>
      </c>
      <c r="F33" s="31">
        <v>66000</v>
      </c>
      <c r="G33" s="56">
        <f t="shared" si="0"/>
        <v>8.0666666666666664</v>
      </c>
      <c r="H33" s="22"/>
      <c r="I33" s="18" t="s">
        <v>43</v>
      </c>
      <c r="M33" s="9"/>
      <c r="O33" s="27"/>
      <c r="P33" s="9"/>
      <c r="R33" s="27"/>
      <c r="S33" s="52"/>
      <c r="T33" s="9"/>
      <c r="V33" s="27"/>
      <c r="W33" s="9"/>
      <c r="Y33" s="27"/>
      <c r="Z33" s="9"/>
      <c r="AB33" s="27"/>
      <c r="AC33" s="9"/>
      <c r="AE33" s="27"/>
      <c r="AF33" s="27"/>
      <c r="AG33" s="52"/>
      <c r="AH33" s="52"/>
      <c r="AI33" s="52"/>
      <c r="AJ33" s="9"/>
      <c r="AL33" s="27"/>
      <c r="AM33" s="9"/>
      <c r="AO33" s="27"/>
      <c r="AR33" s="27"/>
      <c r="AS33" s="52"/>
      <c r="AT33" s="9"/>
      <c r="AV33" s="27"/>
      <c r="AW33" s="9"/>
      <c r="AY33" s="27"/>
      <c r="AZ33" s="9"/>
      <c r="BB33" s="27"/>
      <c r="BC33" s="9"/>
      <c r="BE33" s="2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</row>
    <row r="34" spans="1:147" s="2" customFormat="1" hidden="1">
      <c r="A34" s="114"/>
      <c r="B34" s="3" t="s">
        <v>54</v>
      </c>
      <c r="C34" s="37" t="s">
        <v>69</v>
      </c>
      <c r="D34" s="109">
        <v>1800</v>
      </c>
      <c r="E34" s="42">
        <v>6</v>
      </c>
      <c r="F34" s="31">
        <v>42000</v>
      </c>
      <c r="G34" s="56">
        <f t="shared" si="0"/>
        <v>4.2777777777777777</v>
      </c>
      <c r="H34" s="22"/>
      <c r="I34" s="18" t="s">
        <v>54</v>
      </c>
      <c r="M34" s="9"/>
      <c r="O34" s="27"/>
      <c r="P34" s="9"/>
      <c r="R34" s="27"/>
      <c r="S34" s="52"/>
      <c r="T34" s="9"/>
      <c r="V34" s="27"/>
      <c r="W34" s="9"/>
      <c r="Y34" s="27"/>
      <c r="Z34" s="9"/>
      <c r="AB34" s="27"/>
      <c r="AC34" s="9"/>
      <c r="AE34" s="27"/>
      <c r="AF34" s="27"/>
      <c r="AG34" s="52"/>
      <c r="AH34" s="52"/>
      <c r="AI34" s="52"/>
      <c r="AJ34" s="9"/>
      <c r="AL34" s="27"/>
      <c r="AM34" s="9"/>
      <c r="AO34" s="27"/>
      <c r="AR34" s="27"/>
      <c r="AS34" s="52"/>
      <c r="AT34" s="9"/>
      <c r="AV34" s="27"/>
      <c r="AW34" s="9"/>
      <c r="AY34" s="27"/>
      <c r="AZ34" s="9"/>
      <c r="BB34" s="27"/>
      <c r="BC34" s="9"/>
      <c r="BE34" s="2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</row>
    <row r="35" spans="1:147" s="2" customFormat="1" hidden="1">
      <c r="A35" s="114"/>
      <c r="B35" s="3" t="s">
        <v>44</v>
      </c>
      <c r="C35" s="37" t="s">
        <v>69</v>
      </c>
      <c r="D35" s="109">
        <v>1800</v>
      </c>
      <c r="E35" s="42">
        <v>6</v>
      </c>
      <c r="F35" s="31">
        <v>54000</v>
      </c>
      <c r="G35" s="26">
        <f t="shared" si="0"/>
        <v>5.5</v>
      </c>
      <c r="H35" s="22"/>
      <c r="I35" s="18" t="s">
        <v>44</v>
      </c>
      <c r="M35" s="9"/>
      <c r="O35" s="27"/>
      <c r="P35" s="9"/>
      <c r="R35" s="27"/>
      <c r="S35" s="52"/>
      <c r="T35" s="9"/>
      <c r="V35" s="27"/>
      <c r="W35" s="9"/>
      <c r="Y35" s="27"/>
      <c r="Z35" s="9"/>
      <c r="AB35" s="27"/>
      <c r="AC35" s="9"/>
      <c r="AE35" s="27"/>
      <c r="AF35" s="27"/>
      <c r="AG35" s="52"/>
      <c r="AH35" s="52"/>
      <c r="AI35" s="52"/>
      <c r="AJ35" s="9"/>
      <c r="AL35" s="27"/>
      <c r="AM35" s="9"/>
      <c r="AO35" s="27"/>
      <c r="AR35" s="27"/>
      <c r="AS35" s="52"/>
      <c r="AT35" s="9"/>
      <c r="AV35" s="27"/>
      <c r="AW35" s="9"/>
      <c r="AY35" s="27"/>
      <c r="AZ35" s="9"/>
      <c r="BB35" s="27"/>
      <c r="BC35" s="9"/>
      <c r="BE35" s="2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</row>
    <row r="36" spans="1:147" s="2" customFormat="1" hidden="1">
      <c r="A36" s="114"/>
      <c r="B36" s="3" t="s">
        <v>59</v>
      </c>
      <c r="C36" s="37" t="s">
        <v>69</v>
      </c>
      <c r="D36" s="109">
        <v>1000</v>
      </c>
      <c r="E36" s="42">
        <v>12</v>
      </c>
      <c r="F36" s="31">
        <v>63600</v>
      </c>
      <c r="G36" s="26">
        <f t="shared" si="0"/>
        <v>5.83</v>
      </c>
      <c r="H36" s="22"/>
      <c r="I36" s="18" t="s">
        <v>59</v>
      </c>
      <c r="M36" s="9"/>
      <c r="O36" s="27"/>
      <c r="P36" s="9"/>
      <c r="R36" s="27"/>
      <c r="S36" s="52"/>
      <c r="T36" s="9"/>
      <c r="V36" s="27"/>
      <c r="W36" s="9"/>
      <c r="Y36" s="27"/>
      <c r="Z36" s="9"/>
      <c r="AB36" s="27"/>
      <c r="AC36" s="9"/>
      <c r="AE36" s="27"/>
      <c r="AF36" s="27"/>
      <c r="AG36" s="52"/>
      <c r="AH36" s="52"/>
      <c r="AI36" s="52"/>
      <c r="AJ36" s="9"/>
      <c r="AL36" s="27"/>
      <c r="AM36" s="9"/>
      <c r="AO36" s="27"/>
      <c r="AR36" s="27"/>
      <c r="AS36" s="52"/>
      <c r="AT36" s="9"/>
      <c r="AV36" s="27"/>
      <c r="AW36" s="9"/>
      <c r="AY36" s="27"/>
      <c r="AZ36" s="9"/>
      <c r="BB36" s="27"/>
      <c r="BC36" s="9"/>
      <c r="BE36" s="2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</row>
    <row r="37" spans="1:147" s="2" customFormat="1" hidden="1">
      <c r="A37" s="114"/>
      <c r="B37" s="3" t="s">
        <v>58</v>
      </c>
      <c r="C37" s="37" t="s">
        <v>69</v>
      </c>
      <c r="D37" s="109">
        <v>1000</v>
      </c>
      <c r="E37" s="42">
        <v>12</v>
      </c>
      <c r="F37" s="31">
        <v>80400</v>
      </c>
      <c r="G37" s="56">
        <f t="shared" si="0"/>
        <v>7.370000000000001</v>
      </c>
      <c r="H37" s="22"/>
      <c r="I37" s="18" t="s">
        <v>58</v>
      </c>
      <c r="M37" s="9"/>
      <c r="O37" s="27"/>
      <c r="P37" s="9"/>
      <c r="R37" s="27"/>
      <c r="S37" s="52"/>
      <c r="T37" s="9"/>
      <c r="V37" s="27"/>
      <c r="W37" s="9"/>
      <c r="Y37" s="27"/>
      <c r="Z37" s="9"/>
      <c r="AB37" s="27"/>
      <c r="AC37" s="9"/>
      <c r="AE37" s="27"/>
      <c r="AF37" s="27"/>
      <c r="AG37" s="52"/>
      <c r="AH37" s="52"/>
      <c r="AI37" s="52"/>
      <c r="AJ37" s="9"/>
      <c r="AL37" s="27"/>
      <c r="AM37" s="9"/>
      <c r="AO37" s="27"/>
      <c r="AR37" s="27"/>
      <c r="AS37" s="52"/>
      <c r="AT37" s="9"/>
      <c r="AV37" s="27"/>
      <c r="AW37" s="9"/>
      <c r="AY37" s="27"/>
      <c r="AZ37" s="9"/>
      <c r="BB37" s="27"/>
      <c r="BC37" s="9"/>
      <c r="BE37" s="2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</row>
    <row r="38" spans="1:147" s="2" customFormat="1" hidden="1">
      <c r="A38" s="114"/>
      <c r="B38" s="3" t="s">
        <v>18</v>
      </c>
      <c r="C38" s="37" t="s">
        <v>69</v>
      </c>
      <c r="D38" s="109">
        <v>1800</v>
      </c>
      <c r="E38" s="42">
        <v>6</v>
      </c>
      <c r="F38" s="31">
        <v>41400</v>
      </c>
      <c r="G38" s="26">
        <f t="shared" si="0"/>
        <v>4.2166666666666668</v>
      </c>
      <c r="H38" s="22"/>
      <c r="I38" s="18" t="s">
        <v>18</v>
      </c>
      <c r="M38" s="9"/>
      <c r="O38" s="27"/>
      <c r="P38" s="9"/>
      <c r="R38" s="27"/>
      <c r="S38" s="52"/>
      <c r="T38" s="9"/>
      <c r="V38" s="27"/>
      <c r="W38" s="9"/>
      <c r="Y38" s="27"/>
      <c r="Z38" s="9"/>
      <c r="AB38" s="27"/>
      <c r="AC38" s="9"/>
      <c r="AE38" s="27"/>
      <c r="AF38" s="27"/>
      <c r="AG38" s="52"/>
      <c r="AH38" s="52"/>
      <c r="AI38" s="52"/>
      <c r="AJ38" s="9"/>
      <c r="AL38" s="27"/>
      <c r="AM38" s="9"/>
      <c r="AO38" s="27"/>
      <c r="AR38" s="27"/>
      <c r="AS38" s="52"/>
      <c r="AT38" s="9"/>
      <c r="AV38" s="27"/>
      <c r="AW38" s="9"/>
      <c r="AY38" s="27"/>
      <c r="AZ38" s="9"/>
      <c r="BB38" s="27"/>
      <c r="BC38" s="9"/>
      <c r="BE38" s="2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</row>
    <row r="39" spans="1:147" s="2" customFormat="1" hidden="1">
      <c r="A39" s="114"/>
      <c r="B39" s="3" t="s">
        <v>17</v>
      </c>
      <c r="C39" s="37" t="s">
        <v>69</v>
      </c>
      <c r="D39" s="109">
        <v>1800</v>
      </c>
      <c r="E39" s="42">
        <v>6</v>
      </c>
      <c r="F39" s="31">
        <v>41400</v>
      </c>
      <c r="G39" s="56">
        <f t="shared" si="0"/>
        <v>4.2166666666666668</v>
      </c>
      <c r="H39" s="22"/>
      <c r="I39" s="18" t="s">
        <v>17</v>
      </c>
      <c r="M39" s="9"/>
      <c r="O39" s="27"/>
      <c r="P39" s="9"/>
      <c r="R39" s="27"/>
      <c r="S39" s="52"/>
      <c r="T39" s="9"/>
      <c r="V39" s="27"/>
      <c r="W39" s="9"/>
      <c r="Y39" s="27"/>
      <c r="Z39" s="9"/>
      <c r="AB39" s="27"/>
      <c r="AC39" s="9"/>
      <c r="AE39" s="27"/>
      <c r="AF39" s="27"/>
      <c r="AG39" s="52"/>
      <c r="AH39" s="52"/>
      <c r="AI39" s="52"/>
      <c r="AJ39" s="9"/>
      <c r="AL39" s="27"/>
      <c r="AM39" s="9"/>
      <c r="AO39" s="27"/>
      <c r="AR39" s="27"/>
      <c r="AS39" s="52"/>
      <c r="AT39" s="9"/>
      <c r="AV39" s="27"/>
      <c r="AW39" s="9"/>
      <c r="AY39" s="27"/>
      <c r="AZ39" s="9"/>
      <c r="BB39" s="27"/>
      <c r="BC39" s="9"/>
      <c r="BE39" s="2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</row>
    <row r="40" spans="1:147" s="2" customFormat="1" hidden="1">
      <c r="A40" s="114"/>
      <c r="B40" s="3" t="s">
        <v>19</v>
      </c>
      <c r="C40" s="37" t="s">
        <v>69</v>
      </c>
      <c r="D40" s="109">
        <v>1800</v>
      </c>
      <c r="E40" s="42">
        <v>6</v>
      </c>
      <c r="F40" s="31">
        <v>40800</v>
      </c>
      <c r="G40" s="26">
        <f t="shared" si="0"/>
        <v>4.1555555555555559</v>
      </c>
      <c r="H40" s="22"/>
      <c r="I40" s="18" t="s">
        <v>19</v>
      </c>
      <c r="M40" s="9"/>
      <c r="O40" s="27"/>
      <c r="P40" s="9"/>
      <c r="R40" s="27"/>
      <c r="S40" s="52"/>
      <c r="T40" s="9"/>
      <c r="V40" s="27"/>
      <c r="W40" s="9"/>
      <c r="Y40" s="27"/>
      <c r="Z40" s="9"/>
      <c r="AB40" s="27"/>
      <c r="AC40" s="9"/>
      <c r="AE40" s="27"/>
      <c r="AF40" s="27"/>
      <c r="AG40" s="52"/>
      <c r="AH40" s="52"/>
      <c r="AI40" s="52"/>
      <c r="AJ40" s="9"/>
      <c r="AL40" s="27"/>
      <c r="AM40" s="9"/>
      <c r="AO40" s="27"/>
      <c r="AR40" s="27"/>
      <c r="AS40" s="52"/>
      <c r="AT40" s="9"/>
      <c r="AV40" s="27"/>
      <c r="AW40" s="9"/>
      <c r="AY40" s="27"/>
      <c r="AZ40" s="9"/>
      <c r="BB40" s="27"/>
      <c r="BC40" s="9"/>
      <c r="BE40" s="2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</row>
    <row r="41" spans="1:147" s="2" customFormat="1" hidden="1">
      <c r="A41" s="114"/>
      <c r="B41" s="3" t="s">
        <v>46</v>
      </c>
      <c r="C41" s="37" t="s">
        <v>69</v>
      </c>
      <c r="D41" s="109">
        <v>1000</v>
      </c>
      <c r="E41" s="42">
        <v>12</v>
      </c>
      <c r="F41" s="31">
        <v>94800</v>
      </c>
      <c r="G41" s="56">
        <f t="shared" si="0"/>
        <v>8.6900000000000013</v>
      </c>
      <c r="H41" s="22"/>
      <c r="I41" s="18" t="s">
        <v>46</v>
      </c>
      <c r="M41" s="9"/>
      <c r="O41" s="27"/>
      <c r="P41" s="9"/>
      <c r="R41" s="27"/>
      <c r="S41" s="52"/>
      <c r="T41" s="9"/>
      <c r="V41" s="27"/>
      <c r="W41" s="9"/>
      <c r="Y41" s="27"/>
      <c r="Z41" s="9"/>
      <c r="AB41" s="27"/>
      <c r="AC41" s="9"/>
      <c r="AE41" s="27"/>
      <c r="AF41" s="27"/>
      <c r="AG41" s="52"/>
      <c r="AH41" s="52"/>
      <c r="AI41" s="52"/>
      <c r="AJ41" s="9"/>
      <c r="AL41" s="27"/>
      <c r="AM41" s="9"/>
      <c r="AO41" s="27"/>
      <c r="AR41" s="27"/>
      <c r="AS41" s="52"/>
      <c r="AT41" s="9"/>
      <c r="AV41" s="27"/>
      <c r="AW41" s="9"/>
      <c r="AY41" s="27"/>
      <c r="AZ41" s="9"/>
      <c r="BB41" s="27"/>
      <c r="BC41" s="9"/>
      <c r="BE41" s="2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</row>
    <row r="42" spans="1:147" s="2" customFormat="1" hidden="1">
      <c r="A42" s="114"/>
      <c r="B42" s="3" t="s">
        <v>49</v>
      </c>
      <c r="C42" s="37" t="s">
        <v>69</v>
      </c>
      <c r="D42" s="109">
        <v>1000</v>
      </c>
      <c r="E42" s="42">
        <v>6</v>
      </c>
      <c r="F42" s="31">
        <v>42000</v>
      </c>
      <c r="G42" s="26">
        <f t="shared" si="0"/>
        <v>7.7000000000000011</v>
      </c>
      <c r="H42" s="22"/>
      <c r="I42" s="18" t="s">
        <v>49</v>
      </c>
      <c r="M42" s="9"/>
      <c r="O42" s="27"/>
      <c r="P42" s="9"/>
      <c r="R42" s="27"/>
      <c r="S42" s="52"/>
      <c r="T42" s="9"/>
      <c r="V42" s="27"/>
      <c r="W42" s="9"/>
      <c r="Y42" s="27"/>
      <c r="Z42" s="9"/>
      <c r="AB42" s="27"/>
      <c r="AC42" s="9"/>
      <c r="AE42" s="27"/>
      <c r="AF42" s="27"/>
      <c r="AG42" s="52"/>
      <c r="AH42" s="52"/>
      <c r="AI42" s="52"/>
      <c r="AJ42" s="9"/>
      <c r="AL42" s="27"/>
      <c r="AM42" s="9"/>
      <c r="AO42" s="27"/>
      <c r="AR42" s="27"/>
      <c r="AS42" s="52"/>
      <c r="AT42" s="9"/>
      <c r="AV42" s="27"/>
      <c r="AW42" s="9"/>
      <c r="AY42" s="27"/>
      <c r="AZ42" s="9"/>
      <c r="BB42" s="27"/>
      <c r="BC42" s="9"/>
      <c r="BE42" s="2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</row>
    <row r="43" spans="1:147" s="2" customFormat="1" hidden="1">
      <c r="A43" s="114"/>
      <c r="B43" s="3" t="s">
        <v>24</v>
      </c>
      <c r="C43" s="37" t="s">
        <v>69</v>
      </c>
      <c r="D43" s="109">
        <v>1000</v>
      </c>
      <c r="E43" s="42">
        <v>4</v>
      </c>
      <c r="F43" s="31">
        <v>60000</v>
      </c>
      <c r="G43" s="56">
        <f t="shared" si="0"/>
        <v>16.5</v>
      </c>
      <c r="H43" s="22"/>
      <c r="I43" s="18" t="s">
        <v>24</v>
      </c>
      <c r="M43" s="9"/>
      <c r="O43" s="27"/>
      <c r="P43" s="9"/>
      <c r="R43" s="27"/>
      <c r="S43" s="52"/>
      <c r="T43" s="9"/>
      <c r="V43" s="27"/>
      <c r="W43" s="9"/>
      <c r="Y43" s="27"/>
      <c r="Z43" s="9"/>
      <c r="AB43" s="27"/>
      <c r="AC43" s="9"/>
      <c r="AE43" s="27"/>
      <c r="AF43" s="27"/>
      <c r="AG43" s="52"/>
      <c r="AH43" s="52"/>
      <c r="AI43" s="52"/>
      <c r="AJ43" s="9"/>
      <c r="AL43" s="27"/>
      <c r="AM43" s="9"/>
      <c r="AO43" s="27"/>
      <c r="AR43" s="27"/>
      <c r="AS43" s="52"/>
      <c r="AT43" s="9"/>
      <c r="AV43" s="27"/>
      <c r="AW43" s="9"/>
      <c r="AY43" s="27"/>
      <c r="AZ43" s="9"/>
      <c r="BB43" s="27"/>
      <c r="BC43" s="9"/>
      <c r="BE43" s="2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</row>
    <row r="44" spans="1:147" s="2" customFormat="1" ht="17.25" hidden="1" thickBot="1">
      <c r="A44" s="113"/>
      <c r="B44" s="5" t="s">
        <v>23</v>
      </c>
      <c r="C44" s="39" t="s">
        <v>69</v>
      </c>
      <c r="D44" s="110">
        <v>1000</v>
      </c>
      <c r="E44" s="43">
        <v>4</v>
      </c>
      <c r="F44" s="32">
        <v>61200</v>
      </c>
      <c r="G44" s="26">
        <f t="shared" si="0"/>
        <v>16.830000000000002</v>
      </c>
      <c r="H44" s="22"/>
      <c r="I44" s="21" t="s">
        <v>23</v>
      </c>
      <c r="J44" s="11"/>
      <c r="K44" s="11"/>
      <c r="L44" s="11"/>
      <c r="M44" s="51"/>
      <c r="N44" s="11"/>
      <c r="O44" s="49"/>
      <c r="P44" s="51"/>
      <c r="Q44" s="11"/>
      <c r="R44" s="49"/>
      <c r="S44" s="54"/>
      <c r="T44" s="51"/>
      <c r="U44" s="11"/>
      <c r="V44" s="49"/>
      <c r="W44" s="51"/>
      <c r="X44" s="11"/>
      <c r="Y44" s="49"/>
      <c r="Z44" s="51"/>
      <c r="AA44" s="11"/>
      <c r="AB44" s="49"/>
      <c r="AC44" s="51"/>
      <c r="AD44" s="11"/>
      <c r="AE44" s="49"/>
      <c r="AF44" s="49"/>
      <c r="AG44" s="54"/>
      <c r="AH44" s="54"/>
      <c r="AI44" s="54"/>
      <c r="AJ44" s="51"/>
      <c r="AK44" s="11"/>
      <c r="AL44" s="49"/>
      <c r="AM44" s="51"/>
      <c r="AN44" s="11"/>
      <c r="AO44" s="49"/>
      <c r="AP44" s="11"/>
      <c r="AQ44" s="11"/>
      <c r="AR44" s="49"/>
      <c r="AS44" s="54"/>
      <c r="AT44" s="51"/>
      <c r="AU44" s="11"/>
      <c r="AV44" s="49"/>
      <c r="AW44" s="51"/>
      <c r="AX44" s="11"/>
      <c r="AY44" s="49"/>
      <c r="AZ44" s="51"/>
      <c r="BA44" s="11"/>
      <c r="BB44" s="49"/>
      <c r="BC44" s="51"/>
      <c r="BD44" s="11"/>
      <c r="BE44" s="49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</row>
    <row r="45" spans="1:147" s="2" customFormat="1" hidden="1">
      <c r="A45" s="112" t="s">
        <v>65</v>
      </c>
      <c r="B45" s="6" t="s">
        <v>26</v>
      </c>
      <c r="C45" s="40" t="s">
        <v>68</v>
      </c>
      <c r="D45" s="108">
        <v>200</v>
      </c>
      <c r="E45" s="41">
        <v>1</v>
      </c>
      <c r="F45" s="30">
        <v>4000</v>
      </c>
      <c r="G45" s="29">
        <f t="shared" si="0"/>
        <v>22</v>
      </c>
      <c r="H45" s="17"/>
      <c r="I45" s="20" t="s">
        <v>26</v>
      </c>
      <c r="J45" s="10"/>
      <c r="K45" s="10"/>
      <c r="L45" s="10"/>
      <c r="M45" s="50"/>
      <c r="N45" s="10"/>
      <c r="O45" s="48"/>
      <c r="P45" s="50"/>
      <c r="Q45" s="10"/>
      <c r="R45" s="48"/>
      <c r="S45" s="53"/>
      <c r="T45" s="50"/>
      <c r="U45" s="10"/>
      <c r="V45" s="48"/>
      <c r="W45" s="50"/>
      <c r="X45" s="10"/>
      <c r="Y45" s="48"/>
      <c r="Z45" s="50"/>
      <c r="AA45" s="10"/>
      <c r="AB45" s="48"/>
      <c r="AC45" s="50"/>
      <c r="AD45" s="10"/>
      <c r="AE45" s="48"/>
      <c r="AF45" s="48"/>
      <c r="AG45" s="53"/>
      <c r="AH45" s="53"/>
      <c r="AI45" s="53"/>
      <c r="AJ45" s="50"/>
      <c r="AK45" s="10"/>
      <c r="AL45" s="48"/>
      <c r="AM45" s="50"/>
      <c r="AN45" s="10"/>
      <c r="AO45" s="48"/>
      <c r="AP45" s="10"/>
      <c r="AQ45" s="10"/>
      <c r="AR45" s="48"/>
      <c r="AS45" s="53"/>
      <c r="AT45" s="50"/>
      <c r="AU45" s="10"/>
      <c r="AV45" s="48"/>
      <c r="AW45" s="50"/>
      <c r="AX45" s="10"/>
      <c r="AY45" s="48"/>
      <c r="AZ45" s="50"/>
      <c r="BA45" s="10"/>
      <c r="BB45" s="48"/>
      <c r="BC45" s="50"/>
      <c r="BD45" s="10"/>
      <c r="BE45" s="48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</row>
    <row r="46" spans="1:147" s="2" customFormat="1" hidden="1">
      <c r="A46" s="114"/>
      <c r="B46" s="3" t="s">
        <v>27</v>
      </c>
      <c r="C46" s="37" t="s">
        <v>68</v>
      </c>
      <c r="D46" s="109">
        <v>200</v>
      </c>
      <c r="E46" s="42">
        <v>1</v>
      </c>
      <c r="F46" s="31">
        <v>4000</v>
      </c>
      <c r="G46" s="56">
        <f t="shared" si="0"/>
        <v>22</v>
      </c>
      <c r="H46" s="22"/>
      <c r="I46" s="18" t="s">
        <v>27</v>
      </c>
      <c r="M46" s="9"/>
      <c r="O46" s="27"/>
      <c r="P46" s="9"/>
      <c r="R46" s="27"/>
      <c r="S46" s="52"/>
      <c r="T46" s="9"/>
      <c r="V46" s="27"/>
      <c r="W46" s="9"/>
      <c r="Y46" s="27"/>
      <c r="Z46" s="9"/>
      <c r="AB46" s="27"/>
      <c r="AC46" s="9"/>
      <c r="AE46" s="27"/>
      <c r="AF46" s="27"/>
      <c r="AG46" s="52"/>
      <c r="AH46" s="52"/>
      <c r="AI46" s="52"/>
      <c r="AJ46" s="9"/>
      <c r="AL46" s="27"/>
      <c r="AM46" s="9"/>
      <c r="AO46" s="27"/>
      <c r="AR46" s="27"/>
      <c r="AS46" s="52"/>
      <c r="AT46" s="9"/>
      <c r="AV46" s="27"/>
      <c r="AW46" s="9"/>
      <c r="AY46" s="27"/>
      <c r="AZ46" s="9"/>
      <c r="BB46" s="27"/>
      <c r="BC46" s="9"/>
      <c r="BE46" s="2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</row>
    <row r="47" spans="1:147" s="2" customFormat="1" hidden="1">
      <c r="A47" s="114"/>
      <c r="B47" s="3" t="s">
        <v>28</v>
      </c>
      <c r="C47" s="37" t="s">
        <v>68</v>
      </c>
      <c r="D47" s="109">
        <v>200</v>
      </c>
      <c r="E47" s="42">
        <v>1</v>
      </c>
      <c r="F47" s="31">
        <v>4000</v>
      </c>
      <c r="G47" s="26">
        <f t="shared" si="0"/>
        <v>22</v>
      </c>
      <c r="H47" s="22"/>
      <c r="I47" s="18" t="s">
        <v>28</v>
      </c>
      <c r="M47" s="9"/>
      <c r="O47" s="27"/>
      <c r="P47" s="9"/>
      <c r="R47" s="27"/>
      <c r="S47" s="52"/>
      <c r="T47" s="9"/>
      <c r="V47" s="27"/>
      <c r="W47" s="9"/>
      <c r="Y47" s="27"/>
      <c r="Z47" s="9"/>
      <c r="AB47" s="27"/>
      <c r="AC47" s="9"/>
      <c r="AE47" s="27"/>
      <c r="AF47" s="27"/>
      <c r="AG47" s="52"/>
      <c r="AH47" s="52"/>
      <c r="AI47" s="52"/>
      <c r="AJ47" s="9"/>
      <c r="AL47" s="27"/>
      <c r="AM47" s="9"/>
      <c r="AO47" s="27"/>
      <c r="AR47" s="27"/>
      <c r="AS47" s="52"/>
      <c r="AT47" s="9"/>
      <c r="AV47" s="27"/>
      <c r="AW47" s="9"/>
      <c r="AY47" s="27"/>
      <c r="AZ47" s="9"/>
      <c r="BB47" s="27"/>
      <c r="BC47" s="9"/>
      <c r="BE47" s="2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</row>
    <row r="48" spans="1:147" s="2" customFormat="1" ht="17.25" hidden="1" thickBot="1">
      <c r="A48" s="113"/>
      <c r="B48" s="5" t="s">
        <v>29</v>
      </c>
      <c r="C48" s="39" t="s">
        <v>68</v>
      </c>
      <c r="D48" s="110">
        <v>200</v>
      </c>
      <c r="E48" s="43">
        <v>1</v>
      </c>
      <c r="F48" s="32">
        <v>4000</v>
      </c>
      <c r="G48" s="26">
        <f t="shared" si="0"/>
        <v>22</v>
      </c>
      <c r="H48" s="22"/>
      <c r="I48" s="21" t="s">
        <v>29</v>
      </c>
      <c r="J48" s="11"/>
      <c r="K48" s="11"/>
      <c r="L48" s="11"/>
      <c r="M48" s="51"/>
      <c r="N48" s="11"/>
      <c r="O48" s="49"/>
      <c r="P48" s="51"/>
      <c r="Q48" s="11"/>
      <c r="R48" s="49"/>
      <c r="S48" s="54"/>
      <c r="T48" s="51"/>
      <c r="U48" s="11"/>
      <c r="V48" s="49"/>
      <c r="W48" s="51"/>
      <c r="X48" s="11"/>
      <c r="Y48" s="49"/>
      <c r="Z48" s="51"/>
      <c r="AA48" s="11"/>
      <c r="AB48" s="49"/>
      <c r="AC48" s="51"/>
      <c r="AD48" s="11"/>
      <c r="AE48" s="49"/>
      <c r="AF48" s="49"/>
      <c r="AG48" s="54"/>
      <c r="AH48" s="54"/>
      <c r="AI48" s="54"/>
      <c r="AJ48" s="51"/>
      <c r="AK48" s="11"/>
      <c r="AL48" s="49"/>
      <c r="AM48" s="51"/>
      <c r="AN48" s="11"/>
      <c r="AO48" s="49"/>
      <c r="AP48" s="11"/>
      <c r="AQ48" s="11"/>
      <c r="AR48" s="49"/>
      <c r="AS48" s="54"/>
      <c r="AT48" s="51"/>
      <c r="AU48" s="11"/>
      <c r="AV48" s="49"/>
      <c r="AW48" s="51"/>
      <c r="AX48" s="11"/>
      <c r="AY48" s="49"/>
      <c r="AZ48" s="51"/>
      <c r="BA48" s="11"/>
      <c r="BB48" s="49"/>
      <c r="BC48" s="51"/>
      <c r="BD48" s="11"/>
      <c r="BE48" s="49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</row>
    <row r="49" spans="1:147" s="2" customFormat="1">
      <c r="A49" s="112" t="s">
        <v>25</v>
      </c>
      <c r="B49" s="6" t="s">
        <v>25</v>
      </c>
      <c r="C49" s="40" t="s">
        <v>69</v>
      </c>
      <c r="D49" s="108">
        <v>1000</v>
      </c>
      <c r="E49" s="41">
        <v>10</v>
      </c>
      <c r="F49" s="30">
        <v>140000</v>
      </c>
      <c r="G49" s="29">
        <f t="shared" si="0"/>
        <v>15.400000000000002</v>
      </c>
      <c r="H49" s="17"/>
      <c r="I49" s="20" t="s">
        <v>25</v>
      </c>
      <c r="J49" s="10">
        <v>20</v>
      </c>
      <c r="K49" s="10">
        <v>20</v>
      </c>
      <c r="L49" s="10">
        <v>22</v>
      </c>
      <c r="M49" s="50">
        <v>20</v>
      </c>
      <c r="N49" s="10">
        <v>20</v>
      </c>
      <c r="O49" s="48">
        <v>22</v>
      </c>
      <c r="P49" s="50">
        <v>20</v>
      </c>
      <c r="Q49" s="10">
        <v>20</v>
      </c>
      <c r="R49" s="48">
        <v>22</v>
      </c>
      <c r="S49" s="53">
        <v>20</v>
      </c>
      <c r="T49" s="50">
        <v>20</v>
      </c>
      <c r="U49" s="10">
        <v>20</v>
      </c>
      <c r="V49" s="48">
        <v>22</v>
      </c>
      <c r="W49" s="50">
        <v>20</v>
      </c>
      <c r="X49" s="10">
        <v>20</v>
      </c>
      <c r="Y49" s="48">
        <v>22</v>
      </c>
      <c r="Z49" s="50">
        <v>20</v>
      </c>
      <c r="AA49" s="10">
        <v>20</v>
      </c>
      <c r="AB49" s="48">
        <v>22</v>
      </c>
      <c r="AC49" s="50">
        <v>20</v>
      </c>
      <c r="AD49" s="10">
        <v>20</v>
      </c>
      <c r="AE49" s="48">
        <v>22</v>
      </c>
      <c r="AF49" s="48">
        <v>20</v>
      </c>
      <c r="AG49" s="53"/>
      <c r="AH49" s="53"/>
      <c r="AI49" s="53"/>
      <c r="AJ49" s="50"/>
      <c r="AK49" s="10"/>
      <c r="AL49" s="48"/>
      <c r="AM49" s="50"/>
      <c r="AN49" s="10"/>
      <c r="AO49" s="48"/>
      <c r="AP49" s="10"/>
      <c r="AQ49" s="10"/>
      <c r="AR49" s="48"/>
      <c r="AS49" s="53"/>
      <c r="AT49" s="50"/>
      <c r="AU49" s="10"/>
      <c r="AV49" s="48"/>
      <c r="AW49" s="50"/>
      <c r="AX49" s="10"/>
      <c r="AY49" s="48"/>
      <c r="AZ49" s="50"/>
      <c r="BA49" s="10"/>
      <c r="BB49" s="48"/>
      <c r="BC49" s="50"/>
      <c r="BD49" s="10"/>
      <c r="BE49" s="48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</row>
    <row r="50" spans="1:147" s="2" customFormat="1" ht="17.25" thickBot="1">
      <c r="A50" s="113"/>
      <c r="B50" s="5" t="s">
        <v>50</v>
      </c>
      <c r="C50" s="39" t="s">
        <v>69</v>
      </c>
      <c r="D50" s="110">
        <v>1000</v>
      </c>
      <c r="E50" s="43">
        <v>10</v>
      </c>
      <c r="F50" s="32">
        <v>190000</v>
      </c>
      <c r="G50" s="26">
        <f t="shared" si="0"/>
        <v>20.900000000000002</v>
      </c>
      <c r="H50" s="22"/>
      <c r="I50" s="21" t="s">
        <v>50</v>
      </c>
      <c r="J50" s="11"/>
      <c r="K50" s="11"/>
      <c r="L50" s="11"/>
      <c r="M50" s="51"/>
      <c r="N50" s="11"/>
      <c r="O50" s="49"/>
      <c r="P50" s="51"/>
      <c r="Q50" s="11"/>
      <c r="R50" s="49"/>
      <c r="S50" s="54"/>
      <c r="T50" s="51"/>
      <c r="U50" s="11"/>
      <c r="V50" s="49"/>
      <c r="W50" s="51"/>
      <c r="X50" s="11"/>
      <c r="Y50" s="49"/>
      <c r="Z50" s="51"/>
      <c r="AA50" s="11"/>
      <c r="AB50" s="49"/>
      <c r="AC50" s="51"/>
      <c r="AD50" s="11"/>
      <c r="AE50" s="49"/>
      <c r="AF50" s="49"/>
      <c r="AG50" s="54">
        <v>20</v>
      </c>
      <c r="AH50" s="54"/>
      <c r="AI50" s="54"/>
      <c r="AJ50" s="51">
        <v>20</v>
      </c>
      <c r="AK50" s="11">
        <v>20</v>
      </c>
      <c r="AL50" s="49">
        <v>22</v>
      </c>
      <c r="AM50" s="51">
        <v>20</v>
      </c>
      <c r="AN50" s="11">
        <v>20</v>
      </c>
      <c r="AO50" s="49">
        <v>22</v>
      </c>
      <c r="AP50" s="11">
        <v>20</v>
      </c>
      <c r="AQ50" s="11">
        <v>20</v>
      </c>
      <c r="AR50" s="49">
        <v>22</v>
      </c>
      <c r="AS50" s="54">
        <v>20</v>
      </c>
      <c r="AT50" s="51">
        <v>20</v>
      </c>
      <c r="AU50" s="11">
        <v>20</v>
      </c>
      <c r="AV50" s="49">
        <v>22</v>
      </c>
      <c r="AW50" s="51">
        <v>20</v>
      </c>
      <c r="AX50" s="11">
        <v>20</v>
      </c>
      <c r="AY50" s="49">
        <v>22</v>
      </c>
      <c r="AZ50" s="51">
        <v>20</v>
      </c>
      <c r="BA50" s="11">
        <v>20</v>
      </c>
      <c r="BB50" s="49">
        <v>22</v>
      </c>
      <c r="BC50" s="51">
        <v>20</v>
      </c>
      <c r="BD50" s="11">
        <v>20</v>
      </c>
      <c r="BE50" s="49">
        <v>22</v>
      </c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</row>
    <row r="51" spans="1:147" s="2" customFormat="1" ht="17.25" thickBot="1">
      <c r="A51" s="112" t="s">
        <v>66</v>
      </c>
      <c r="B51" s="63" t="s">
        <v>60</v>
      </c>
      <c r="C51" s="77" t="s">
        <v>70</v>
      </c>
      <c r="D51" s="111">
        <v>900</v>
      </c>
      <c r="E51" s="79">
        <v>1</v>
      </c>
      <c r="F51" s="80">
        <v>2100</v>
      </c>
      <c r="G51" s="29">
        <f>F51/(D51*E51)</f>
        <v>2.3333333333333335</v>
      </c>
      <c r="H51" s="17"/>
      <c r="I51" s="53" t="s">
        <v>60</v>
      </c>
      <c r="J51" s="10"/>
      <c r="K51" s="10"/>
      <c r="L51" s="10"/>
      <c r="M51" s="50">
        <v>250</v>
      </c>
      <c r="N51" s="10">
        <v>220</v>
      </c>
      <c r="O51" s="48">
        <v>300</v>
      </c>
      <c r="P51" s="50">
        <v>250</v>
      </c>
      <c r="Q51" s="10">
        <v>220</v>
      </c>
      <c r="R51" s="48">
        <v>300</v>
      </c>
      <c r="S51" s="53">
        <v>240</v>
      </c>
      <c r="T51" s="50">
        <v>250</v>
      </c>
      <c r="U51" s="10">
        <v>220</v>
      </c>
      <c r="V51" s="48">
        <v>300</v>
      </c>
      <c r="W51" s="50">
        <v>250</v>
      </c>
      <c r="X51" s="10">
        <v>220</v>
      </c>
      <c r="Y51" s="48">
        <v>300</v>
      </c>
      <c r="Z51" s="50">
        <v>250</v>
      </c>
      <c r="AA51" s="10">
        <v>220</v>
      </c>
      <c r="AB51" s="48">
        <v>300</v>
      </c>
      <c r="AC51" s="50">
        <v>250</v>
      </c>
      <c r="AD51" s="10">
        <v>220</v>
      </c>
      <c r="AE51" s="48">
        <v>300</v>
      </c>
      <c r="AF51" s="48"/>
      <c r="AG51" s="53"/>
      <c r="AH51" s="53"/>
      <c r="AI51" s="53"/>
      <c r="AJ51" s="50"/>
      <c r="AK51" s="10"/>
      <c r="AL51" s="48"/>
      <c r="AM51" s="50">
        <v>250</v>
      </c>
      <c r="AN51" s="10">
        <v>220</v>
      </c>
      <c r="AO51" s="48">
        <v>300</v>
      </c>
      <c r="AP51" s="50">
        <v>250</v>
      </c>
      <c r="AQ51" s="10">
        <v>220</v>
      </c>
      <c r="AR51" s="48">
        <v>300</v>
      </c>
      <c r="AS51" s="53">
        <v>240</v>
      </c>
      <c r="AT51" s="50">
        <v>250</v>
      </c>
      <c r="AU51" s="10">
        <v>220</v>
      </c>
      <c r="AV51" s="48">
        <v>300</v>
      </c>
      <c r="AW51" s="50">
        <v>250</v>
      </c>
      <c r="AX51" s="10">
        <v>220</v>
      </c>
      <c r="AY51" s="48">
        <v>300</v>
      </c>
      <c r="AZ51" s="50">
        <v>250</v>
      </c>
      <c r="BA51" s="10">
        <v>220</v>
      </c>
      <c r="BB51" s="48">
        <v>300</v>
      </c>
      <c r="BC51" s="50">
        <v>250</v>
      </c>
      <c r="BD51" s="10">
        <v>220</v>
      </c>
      <c r="BE51" s="48">
        <v>300</v>
      </c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</row>
    <row r="52" spans="1:147" s="2" customFormat="1" ht="17.25" hidden="1" thickBot="1">
      <c r="A52" s="113"/>
      <c r="B52" s="65" t="s">
        <v>51</v>
      </c>
      <c r="C52" s="66" t="s">
        <v>70</v>
      </c>
      <c r="D52" s="110">
        <v>1500</v>
      </c>
      <c r="E52" s="43">
        <v>12</v>
      </c>
      <c r="F52" s="32">
        <v>16200</v>
      </c>
      <c r="G52" s="26">
        <f t="shared" si="0"/>
        <v>0.9900000000000001</v>
      </c>
      <c r="H52" s="22"/>
      <c r="I52" s="52" t="s">
        <v>51</v>
      </c>
      <c r="M52" s="9"/>
      <c r="O52" s="27"/>
      <c r="P52" s="9"/>
      <c r="R52" s="27"/>
      <c r="S52" s="52"/>
      <c r="T52" s="9"/>
      <c r="V52" s="27"/>
      <c r="W52" s="9"/>
      <c r="Y52" s="27"/>
      <c r="Z52" s="9"/>
      <c r="AB52" s="27"/>
      <c r="AC52" s="9"/>
      <c r="AE52" s="27"/>
      <c r="AF52" s="27"/>
      <c r="AG52" s="52"/>
      <c r="AH52" s="52"/>
      <c r="AI52" s="52"/>
      <c r="AJ52" s="51"/>
      <c r="AK52" s="11"/>
      <c r="AL52" s="49"/>
      <c r="AM52" s="9"/>
      <c r="AO52" s="27"/>
      <c r="AP52" s="9"/>
      <c r="AR52" s="27"/>
      <c r="AS52" s="52"/>
      <c r="AT52" s="9"/>
      <c r="AV52" s="27"/>
      <c r="AW52" s="9"/>
      <c r="AY52" s="27"/>
      <c r="AZ52" s="9"/>
      <c r="BB52" s="27"/>
      <c r="BC52" s="9"/>
      <c r="BE52" s="2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</row>
    <row r="53" spans="1:147" s="60" customFormat="1" ht="17.25" thickBot="1">
      <c r="A53" s="61"/>
      <c r="B53" s="61"/>
      <c r="D53" s="12"/>
      <c r="G53" s="61"/>
      <c r="I53" s="76" t="s">
        <v>4</v>
      </c>
      <c r="J53" s="73">
        <f t="shared" ref="J53:BE53" si="1">SUMPRODUCT(J5:J52,$G5:$G52)</f>
        <v>404.58000000000004</v>
      </c>
      <c r="K53" s="68">
        <f t="shared" si="1"/>
        <v>414.04000000000008</v>
      </c>
      <c r="L53" s="69">
        <f t="shared" si="1"/>
        <v>460.0200000000001</v>
      </c>
      <c r="M53" s="70">
        <f t="shared" si="1"/>
        <v>987.91333333333341</v>
      </c>
      <c r="N53" s="68">
        <f t="shared" si="1"/>
        <v>927.37333333333345</v>
      </c>
      <c r="O53" s="71">
        <f t="shared" si="1"/>
        <v>1160.02</v>
      </c>
      <c r="P53" s="70">
        <f t="shared" si="1"/>
        <v>1419.7000000000003</v>
      </c>
      <c r="Q53" s="68">
        <f t="shared" si="1"/>
        <v>1359.1599999999999</v>
      </c>
      <c r="R53" s="71">
        <f t="shared" si="1"/>
        <v>1699.7533333333336</v>
      </c>
      <c r="S53" s="72">
        <f t="shared" si="1"/>
        <v>964.58</v>
      </c>
      <c r="T53" s="70">
        <f t="shared" si="1"/>
        <v>1398.2307936507937</v>
      </c>
      <c r="U53" s="68">
        <f t="shared" si="1"/>
        <v>1337.6907936507937</v>
      </c>
      <c r="V53" s="71">
        <f t="shared" si="1"/>
        <v>1570.3374603174605</v>
      </c>
      <c r="W53" s="70">
        <f t="shared" si="1"/>
        <v>1419.7000000000003</v>
      </c>
      <c r="X53" s="68">
        <f t="shared" si="1"/>
        <v>1359.1599999999999</v>
      </c>
      <c r="Y53" s="71">
        <f t="shared" si="1"/>
        <v>1699.7533333333336</v>
      </c>
      <c r="Z53" s="70">
        <f t="shared" si="1"/>
        <v>1575.4041269841268</v>
      </c>
      <c r="AA53" s="68">
        <f t="shared" si="1"/>
        <v>1514.8641269841269</v>
      </c>
      <c r="AB53" s="71">
        <f t="shared" si="1"/>
        <v>1835.3943915343916</v>
      </c>
      <c r="AC53" s="70">
        <f t="shared" si="1"/>
        <v>1517.2883333333334</v>
      </c>
      <c r="AD53" s="68">
        <f t="shared" si="1"/>
        <v>1456.7483333333334</v>
      </c>
      <c r="AE53" s="71">
        <f t="shared" si="1"/>
        <v>1771.458492063492</v>
      </c>
      <c r="AF53" s="72">
        <f t="shared" si="1"/>
        <v>308.00000000000006</v>
      </c>
      <c r="AG53" s="72">
        <f t="shared" si="1"/>
        <v>418.00000000000006</v>
      </c>
      <c r="AH53" s="72">
        <f t="shared" si="1"/>
        <v>323.83999999999997</v>
      </c>
      <c r="AI53" s="72">
        <f t="shared" si="1"/>
        <v>323.83999999999997</v>
      </c>
      <c r="AJ53" s="73">
        <f t="shared" si="1"/>
        <v>514.58000000000004</v>
      </c>
      <c r="AK53" s="68">
        <f t="shared" si="1"/>
        <v>524.04000000000008</v>
      </c>
      <c r="AL53" s="69">
        <f t="shared" si="1"/>
        <v>581.0200000000001</v>
      </c>
      <c r="AM53" s="70">
        <f t="shared" si="1"/>
        <v>1097.9133333333334</v>
      </c>
      <c r="AN53" s="68">
        <f t="shared" si="1"/>
        <v>1037.3733333333334</v>
      </c>
      <c r="AO53" s="71">
        <f t="shared" si="1"/>
        <v>1281.02</v>
      </c>
      <c r="AP53" s="73">
        <f t="shared" si="1"/>
        <v>1529.7000000000003</v>
      </c>
      <c r="AQ53" s="68">
        <f t="shared" si="1"/>
        <v>1469.1599999999999</v>
      </c>
      <c r="AR53" s="69">
        <f t="shared" si="1"/>
        <v>1820.7533333333336</v>
      </c>
      <c r="AS53" s="72">
        <f t="shared" si="1"/>
        <v>1074.58</v>
      </c>
      <c r="AT53" s="73">
        <f t="shared" si="1"/>
        <v>1508.2307936507937</v>
      </c>
      <c r="AU53" s="68">
        <f t="shared" si="1"/>
        <v>1447.6907936507937</v>
      </c>
      <c r="AV53" s="69">
        <f t="shared" si="1"/>
        <v>1691.3374603174605</v>
      </c>
      <c r="AW53" s="70">
        <f t="shared" si="1"/>
        <v>1529.7000000000003</v>
      </c>
      <c r="AX53" s="68">
        <f t="shared" si="1"/>
        <v>1469.1599999999999</v>
      </c>
      <c r="AY53" s="71">
        <f t="shared" si="1"/>
        <v>1820.7533333333336</v>
      </c>
      <c r="AZ53" s="70">
        <f t="shared" si="1"/>
        <v>1685.4041269841268</v>
      </c>
      <c r="BA53" s="68">
        <f t="shared" si="1"/>
        <v>1624.8641269841269</v>
      </c>
      <c r="BB53" s="71">
        <f t="shared" si="1"/>
        <v>1956.3943915343916</v>
      </c>
      <c r="BC53" s="70">
        <f t="shared" si="1"/>
        <v>1627.2883333333334</v>
      </c>
      <c r="BD53" s="68">
        <f t="shared" si="1"/>
        <v>1566.7483333333334</v>
      </c>
      <c r="BE53" s="71">
        <f t="shared" si="1"/>
        <v>1892.458492063492</v>
      </c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</row>
    <row r="54" spans="1:147" s="12" customFormat="1" ht="17.25" thickBot="1">
      <c r="B54" s="16"/>
      <c r="I54" s="87" t="s">
        <v>12</v>
      </c>
      <c r="J54" s="100">
        <v>3000</v>
      </c>
      <c r="K54" s="95">
        <v>3000</v>
      </c>
      <c r="L54" s="101">
        <v>3700</v>
      </c>
      <c r="M54" s="88">
        <v>3300</v>
      </c>
      <c r="N54" s="95">
        <v>3300</v>
      </c>
      <c r="O54" s="89">
        <v>4000</v>
      </c>
      <c r="P54" s="88">
        <v>3500</v>
      </c>
      <c r="Q54" s="95">
        <v>3500</v>
      </c>
      <c r="R54" s="89">
        <v>4200</v>
      </c>
      <c r="S54" s="102">
        <v>3300</v>
      </c>
      <c r="T54" s="88">
        <v>3500</v>
      </c>
      <c r="U54" s="95">
        <v>3500</v>
      </c>
      <c r="V54" s="89">
        <v>4200</v>
      </c>
      <c r="W54" s="88">
        <v>3500</v>
      </c>
      <c r="X54" s="95">
        <v>3500</v>
      </c>
      <c r="Y54" s="89">
        <v>4200</v>
      </c>
      <c r="Z54" s="88">
        <v>3500</v>
      </c>
      <c r="AA54" s="95">
        <v>3500</v>
      </c>
      <c r="AB54" s="89">
        <v>4200</v>
      </c>
      <c r="AC54" s="88">
        <v>4000</v>
      </c>
      <c r="AD54" s="95">
        <v>4000</v>
      </c>
      <c r="AE54" s="89">
        <v>4500</v>
      </c>
      <c r="AF54" s="102">
        <v>500</v>
      </c>
      <c r="AG54" s="102">
        <v>1000</v>
      </c>
      <c r="AH54" s="102">
        <v>500</v>
      </c>
      <c r="AI54" s="102">
        <v>500</v>
      </c>
      <c r="AJ54" s="100">
        <v>3500</v>
      </c>
      <c r="AK54" s="95">
        <v>3500</v>
      </c>
      <c r="AL54" s="101">
        <v>4200</v>
      </c>
      <c r="AM54" s="88">
        <v>3800</v>
      </c>
      <c r="AN54" s="95">
        <v>3800</v>
      </c>
      <c r="AO54" s="89">
        <v>4500</v>
      </c>
      <c r="AP54" s="100">
        <v>4000</v>
      </c>
      <c r="AQ54" s="95">
        <v>4000</v>
      </c>
      <c r="AR54" s="101">
        <v>4700</v>
      </c>
      <c r="AS54" s="102">
        <v>3800</v>
      </c>
      <c r="AT54" s="100">
        <v>4000</v>
      </c>
      <c r="AU54" s="95">
        <v>4000</v>
      </c>
      <c r="AV54" s="101">
        <v>4700</v>
      </c>
      <c r="AW54" s="88">
        <v>4000</v>
      </c>
      <c r="AX54" s="95">
        <v>4000</v>
      </c>
      <c r="AY54" s="89">
        <v>4700</v>
      </c>
      <c r="AZ54" s="88">
        <v>4000</v>
      </c>
      <c r="BA54" s="95">
        <v>4000</v>
      </c>
      <c r="BB54" s="89">
        <v>4700</v>
      </c>
      <c r="BC54" s="88">
        <v>4500</v>
      </c>
      <c r="BD54" s="95">
        <v>4500</v>
      </c>
      <c r="BE54" s="89">
        <v>5000</v>
      </c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</row>
    <row r="55" spans="1:147" s="58" customFormat="1" ht="17.25" thickBot="1">
      <c r="D55" s="16"/>
      <c r="I55" s="90" t="s">
        <v>5</v>
      </c>
      <c r="J55" s="103">
        <f>(J53)/J54</f>
        <v>0.13486000000000001</v>
      </c>
      <c r="K55" s="96">
        <f>(K53)/K54</f>
        <v>0.13801333333333335</v>
      </c>
      <c r="L55" s="99">
        <f>(L53)/L54</f>
        <v>0.12432972972972975</v>
      </c>
      <c r="M55" s="91">
        <f t="shared" ref="M55:R55" si="2">(M53)/M54</f>
        <v>0.29936767676767678</v>
      </c>
      <c r="N55" s="96">
        <f t="shared" si="2"/>
        <v>0.28102222222222228</v>
      </c>
      <c r="O55" s="99">
        <f t="shared" si="2"/>
        <v>0.29000500000000001</v>
      </c>
      <c r="P55" s="91">
        <f t="shared" si="2"/>
        <v>0.4056285714285715</v>
      </c>
      <c r="Q55" s="96">
        <f t="shared" si="2"/>
        <v>0.38833142857142855</v>
      </c>
      <c r="R55" s="92">
        <f t="shared" si="2"/>
        <v>0.40470317460317468</v>
      </c>
      <c r="S55" s="104">
        <f t="shared" ref="S55" si="3">(S53)/S54</f>
        <v>0.29229696969696972</v>
      </c>
      <c r="T55" s="103">
        <f t="shared" ref="T55" si="4">(T53)/T54</f>
        <v>0.39949451247165535</v>
      </c>
      <c r="U55" s="96">
        <f t="shared" ref="U55" si="5">(U53)/U54</f>
        <v>0.38219736961451251</v>
      </c>
      <c r="V55" s="105">
        <f t="shared" ref="V55" si="6">(V53)/V54</f>
        <v>0.37388987150415726</v>
      </c>
      <c r="W55" s="103">
        <f t="shared" ref="W55" si="7">(W53)/W54</f>
        <v>0.4056285714285715</v>
      </c>
      <c r="X55" s="106">
        <f t="shared" ref="X55" si="8">(X53)/X54</f>
        <v>0.38833142857142855</v>
      </c>
      <c r="Y55" s="92">
        <f t="shared" ref="Y55" si="9">(Y53)/Y54</f>
        <v>0.40470317460317468</v>
      </c>
      <c r="Z55" s="103">
        <f t="shared" ref="Z55" si="10">(Z53)/Z54</f>
        <v>0.45011546485260767</v>
      </c>
      <c r="AA55" s="96">
        <f t="shared" ref="AA55" si="11">(AA53)/AA54</f>
        <v>0.43281832199546483</v>
      </c>
      <c r="AB55" s="105">
        <f t="shared" ref="AB55" si="12">(AB53)/AB54</f>
        <v>0.43699866465104564</v>
      </c>
      <c r="AC55" s="103">
        <f t="shared" ref="AC55" si="13">(AC53)/AC54</f>
        <v>0.37932208333333334</v>
      </c>
      <c r="AD55" s="96">
        <f t="shared" ref="AD55" si="14">(AD53)/AD54</f>
        <v>0.36418708333333338</v>
      </c>
      <c r="AE55" s="105">
        <f t="shared" ref="AE55" si="15">(AE53)/AE54</f>
        <v>0.39365744268077602</v>
      </c>
      <c r="AF55" s="97">
        <f t="shared" ref="AF55" si="16">(AF53)/AF54</f>
        <v>0.6160000000000001</v>
      </c>
      <c r="AG55" s="104">
        <f t="shared" ref="AG55" si="17">(AG53)/AG54</f>
        <v>0.41800000000000004</v>
      </c>
      <c r="AH55" s="97">
        <f t="shared" ref="AH55" si="18">(AH53)/AH54</f>
        <v>0.64767999999999992</v>
      </c>
      <c r="AI55" s="104">
        <f t="shared" ref="AI55" si="19">(AI53)/AI54</f>
        <v>0.64767999999999992</v>
      </c>
      <c r="AJ55" s="98">
        <f t="shared" ref="AJ55" si="20">(AJ53)/AJ54</f>
        <v>0.14702285714285715</v>
      </c>
      <c r="AK55" s="96">
        <f t="shared" ref="AK55" si="21">(AK53)/AK54</f>
        <v>0.1497257142857143</v>
      </c>
      <c r="AL55" s="92">
        <f t="shared" ref="AL55" si="22">(AL53)/AL54</f>
        <v>0.13833809523809526</v>
      </c>
      <c r="AM55" s="91">
        <f t="shared" ref="AM55" si="23">(AM53)/AM54</f>
        <v>0.28892456140350881</v>
      </c>
      <c r="AN55" s="103">
        <f t="shared" ref="AN55" si="24">(AN53)/AN54</f>
        <v>0.2729929824561404</v>
      </c>
      <c r="AO55" s="99">
        <f t="shared" ref="AO55" si="25">(AO53)/AO54</f>
        <v>0.2846711111111111</v>
      </c>
      <c r="AP55" s="91">
        <f t="shared" ref="AP55" si="26">(AP53)/AP54</f>
        <v>0.38242500000000007</v>
      </c>
      <c r="AQ55" s="103">
        <f t="shared" ref="AQ55" si="27">(AQ53)/AQ54</f>
        <v>0.36728999999999995</v>
      </c>
      <c r="AR55" s="99">
        <f t="shared" ref="AR55" si="28">(AR53)/AR54</f>
        <v>0.38739432624113479</v>
      </c>
      <c r="AS55" s="104">
        <f t="shared" ref="AS55" si="29">(AS53)/AS54</f>
        <v>0.28278421052631575</v>
      </c>
      <c r="AT55" s="91">
        <f t="shared" ref="AT55" si="30">(AT53)/AT54</f>
        <v>0.37705769841269843</v>
      </c>
      <c r="AU55" s="96">
        <f t="shared" ref="AU55" si="31">(AU53)/AU54</f>
        <v>0.36192269841269842</v>
      </c>
      <c r="AV55" s="92">
        <f t="shared" ref="AV55" si="32">(AV53)/AV54</f>
        <v>0.35985903411009795</v>
      </c>
      <c r="AW55" s="103">
        <f t="shared" ref="AW55" si="33">(AW53)/AW54</f>
        <v>0.38242500000000007</v>
      </c>
      <c r="AX55" s="96">
        <f t="shared" ref="AX55" si="34">(AX53)/AX54</f>
        <v>0.36728999999999995</v>
      </c>
      <c r="AY55" s="99">
        <f t="shared" ref="AY55" si="35">(AY53)/AY54</f>
        <v>0.38739432624113479</v>
      </c>
      <c r="AZ55" s="91">
        <f t="shared" ref="AZ55" si="36">(AZ53)/AZ54</f>
        <v>0.42135103174603172</v>
      </c>
      <c r="BA55" s="96">
        <f t="shared" ref="BA55" si="37">(BA53)/BA54</f>
        <v>0.40621603174603171</v>
      </c>
      <c r="BB55" s="99">
        <f t="shared" ref="BB55" si="38">(BB53)/BB54</f>
        <v>0.41625412585838117</v>
      </c>
      <c r="BC55" s="91">
        <f t="shared" ref="BC55" si="39">(BC53)/BC54</f>
        <v>0.36161962962962962</v>
      </c>
      <c r="BD55" s="96">
        <f t="shared" ref="BD55" si="40">(BD53)/BD54</f>
        <v>0.34816629629629631</v>
      </c>
      <c r="BE55" s="92">
        <f t="shared" ref="BE55" si="41">(BE53)/BE54</f>
        <v>0.37849169841269842</v>
      </c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</row>
    <row r="56" spans="1:147" s="2" customFormat="1" ht="17.25" thickBot="1">
      <c r="D56" s="12"/>
      <c r="F56" s="12"/>
      <c r="G56" s="14"/>
      <c r="H56" s="14"/>
      <c r="I56" s="93" t="s">
        <v>89</v>
      </c>
      <c r="J56" s="81">
        <f>AVERAGE(J55:AE55)</f>
        <v>0.34408645888150757</v>
      </c>
      <c r="X56" s="10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</row>
    <row r="57" spans="1:147" s="2" customFormat="1" ht="17.25" thickBot="1">
      <c r="D57" s="12"/>
      <c r="E57" s="2" t="s">
        <v>140</v>
      </c>
      <c r="F57" s="12"/>
      <c r="G57" s="14"/>
      <c r="H57" s="14"/>
      <c r="I57" s="93" t="s">
        <v>90</v>
      </c>
      <c r="J57" s="81">
        <f>AVERAGE(AJ55:BE55)</f>
        <v>0.3304371104213899</v>
      </c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</row>
    <row r="58" spans="1:147" s="2" customFormat="1" ht="17.25" thickBot="1">
      <c r="D58" s="12"/>
      <c r="F58" s="12"/>
      <c r="G58" s="14"/>
      <c r="H58" s="14"/>
      <c r="I58" s="93" t="s">
        <v>91</v>
      </c>
      <c r="J58" s="81">
        <f>AVERAGE(AF55:AI55)</f>
        <v>0.58233999999999997</v>
      </c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</row>
    <row r="59" spans="1:147" s="2" customFormat="1">
      <c r="D59" s="12"/>
      <c r="F59" s="12"/>
      <c r="G59" s="14"/>
      <c r="H59" s="14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</row>
    <row r="60" spans="1:147" s="2" customFormat="1">
      <c r="D60" s="12"/>
      <c r="F60" s="12"/>
      <c r="G60" s="14"/>
      <c r="H60" s="14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</row>
    <row r="61" spans="1:147" s="2" customFormat="1">
      <c r="D61" s="12"/>
      <c r="F61" s="12"/>
      <c r="G61" s="14"/>
      <c r="H61" s="14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</row>
    <row r="62" spans="1:147" s="2" customFormat="1">
      <c r="D62" s="12"/>
      <c r="F62" s="12"/>
      <c r="G62" s="14"/>
      <c r="H62" s="14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</row>
    <row r="63" spans="1:147" s="2" customFormat="1">
      <c r="D63" s="12"/>
      <c r="F63" s="12"/>
      <c r="G63" s="14"/>
      <c r="H63" s="14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</row>
    <row r="64" spans="1:147" s="2" customFormat="1">
      <c r="D64" s="12"/>
      <c r="F64" s="12"/>
      <c r="G64" s="14"/>
      <c r="H64" s="14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</row>
    <row r="65" spans="4:147" s="2" customFormat="1">
      <c r="D65" s="12"/>
      <c r="F65" s="12"/>
      <c r="G65" s="14"/>
      <c r="H65" s="14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</row>
    <row r="66" spans="4:147" s="2" customFormat="1">
      <c r="D66" s="12"/>
      <c r="F66" s="12"/>
      <c r="G66" s="14"/>
      <c r="H66" s="14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</row>
    <row r="67" spans="4:147" s="2" customFormat="1">
      <c r="D67" s="12"/>
      <c r="F67" s="12"/>
      <c r="G67" s="14"/>
      <c r="H67" s="14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</row>
    <row r="68" spans="4:147" s="2" customFormat="1">
      <c r="D68" s="12"/>
      <c r="F68" s="12"/>
      <c r="G68" s="14"/>
      <c r="H68" s="14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</row>
    <row r="69" spans="4:147" s="2" customFormat="1">
      <c r="D69" s="12"/>
      <c r="F69" s="12"/>
      <c r="G69" s="14"/>
      <c r="H69" s="14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</row>
    <row r="70" spans="4:147" s="2" customFormat="1">
      <c r="D70" s="12"/>
      <c r="F70" s="12"/>
      <c r="G70" s="14"/>
      <c r="H70" s="14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</row>
    <row r="71" spans="4:147" s="2" customFormat="1">
      <c r="D71" s="12"/>
      <c r="F71" s="12"/>
      <c r="G71" s="14"/>
      <c r="H71" s="14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</row>
    <row r="72" spans="4:147" s="2" customFormat="1">
      <c r="D72" s="12"/>
      <c r="F72" s="12"/>
      <c r="G72" s="14"/>
      <c r="H72" s="14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</row>
    <row r="73" spans="4:147" s="2" customFormat="1">
      <c r="D73" s="12"/>
      <c r="F73" s="12"/>
      <c r="G73" s="14"/>
      <c r="H73" s="14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</row>
    <row r="74" spans="4:147" s="2" customFormat="1">
      <c r="D74" s="12"/>
      <c r="F74" s="12"/>
      <c r="G74" s="14"/>
      <c r="H74" s="14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</row>
    <row r="75" spans="4:147" s="2" customFormat="1">
      <c r="D75" s="12"/>
      <c r="F75" s="12"/>
      <c r="G75" s="14"/>
      <c r="H75" s="14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</row>
    <row r="76" spans="4:147" s="2" customFormat="1">
      <c r="D76" s="12"/>
      <c r="F76" s="12"/>
      <c r="G76" s="14"/>
      <c r="H76" s="14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</row>
    <row r="77" spans="4:147" s="2" customFormat="1">
      <c r="D77" s="12"/>
      <c r="F77" s="12"/>
      <c r="G77" s="14"/>
      <c r="H77" s="14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</row>
    <row r="78" spans="4:147" s="2" customFormat="1">
      <c r="D78" s="12"/>
      <c r="F78" s="12"/>
      <c r="G78" s="14"/>
      <c r="H78" s="14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</row>
    <row r="79" spans="4:147" s="2" customFormat="1">
      <c r="D79" s="12"/>
      <c r="F79" s="12"/>
      <c r="G79" s="14"/>
      <c r="H79" s="14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</row>
    <row r="80" spans="4:147" s="2" customFormat="1">
      <c r="D80" s="12"/>
      <c r="F80" s="12"/>
      <c r="G80" s="14"/>
      <c r="H80" s="14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</row>
    <row r="81" spans="4:147" s="2" customFormat="1">
      <c r="D81" s="12"/>
      <c r="F81" s="12"/>
      <c r="G81" s="14"/>
      <c r="H81" s="14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</row>
    <row r="82" spans="4:147" s="2" customFormat="1">
      <c r="D82" s="12"/>
      <c r="F82" s="12"/>
      <c r="G82" s="14"/>
      <c r="H82" s="14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</row>
    <row r="83" spans="4:147" s="2" customFormat="1">
      <c r="D83" s="12"/>
      <c r="F83" s="12"/>
      <c r="G83" s="14"/>
      <c r="H83" s="14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</row>
    <row r="84" spans="4:147" s="2" customFormat="1">
      <c r="D84" s="12"/>
      <c r="F84" s="12"/>
      <c r="G84" s="14"/>
      <c r="H84" s="14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</row>
    <row r="85" spans="4:147" s="2" customFormat="1">
      <c r="D85" s="12"/>
      <c r="F85" s="12"/>
      <c r="G85" s="14"/>
      <c r="H85" s="14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</row>
    <row r="86" spans="4:147" s="2" customFormat="1">
      <c r="D86" s="12"/>
      <c r="F86" s="12"/>
      <c r="G86" s="14"/>
      <c r="H86" s="14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</row>
    <row r="87" spans="4:147" s="2" customFormat="1">
      <c r="D87" s="12"/>
      <c r="F87" s="12"/>
      <c r="G87" s="14"/>
      <c r="H87" s="14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</row>
    <row r="88" spans="4:147" s="2" customFormat="1">
      <c r="D88" s="12"/>
      <c r="F88" s="12"/>
      <c r="G88" s="14"/>
      <c r="H88" s="14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</row>
    <row r="89" spans="4:147" s="2" customFormat="1">
      <c r="D89" s="12"/>
      <c r="F89" s="12"/>
      <c r="G89" s="14"/>
      <c r="H89" s="14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</row>
    <row r="90" spans="4:147" s="2" customFormat="1">
      <c r="D90" s="12"/>
      <c r="F90" s="12"/>
      <c r="G90" s="14"/>
      <c r="H90" s="14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</row>
    <row r="91" spans="4:147" s="2" customFormat="1">
      <c r="D91" s="12"/>
      <c r="F91" s="12"/>
      <c r="G91" s="14"/>
      <c r="H91" s="14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</row>
    <row r="92" spans="4:147" s="2" customFormat="1">
      <c r="D92" s="12"/>
      <c r="F92" s="12"/>
      <c r="G92" s="14"/>
      <c r="H92" s="14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</row>
    <row r="93" spans="4:147" s="2" customFormat="1">
      <c r="D93" s="12"/>
      <c r="F93" s="12"/>
      <c r="G93" s="14"/>
      <c r="H93" s="14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</row>
    <row r="94" spans="4:147" s="2" customFormat="1">
      <c r="D94" s="12"/>
      <c r="F94" s="12"/>
      <c r="G94" s="14"/>
      <c r="H94" s="14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</row>
    <row r="95" spans="4:147" s="2" customFormat="1">
      <c r="D95" s="12"/>
      <c r="F95" s="12"/>
      <c r="G95" s="14"/>
      <c r="H95" s="14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</row>
    <row r="96" spans="4:147" s="2" customFormat="1">
      <c r="D96" s="12"/>
      <c r="F96" s="12"/>
      <c r="G96" s="14"/>
      <c r="H96" s="14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</row>
    <row r="97" spans="4:147" s="2" customFormat="1">
      <c r="D97" s="12"/>
      <c r="F97" s="12"/>
      <c r="G97" s="14"/>
      <c r="H97" s="14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</row>
    <row r="98" spans="4:147" s="2" customFormat="1">
      <c r="D98" s="12"/>
      <c r="F98" s="12"/>
      <c r="G98" s="14"/>
      <c r="H98" s="14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</row>
    <row r="99" spans="4:147" s="2" customFormat="1">
      <c r="D99" s="12"/>
      <c r="F99" s="12"/>
      <c r="G99" s="14"/>
      <c r="H99" s="14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</row>
    <row r="100" spans="4:147" s="2" customFormat="1">
      <c r="D100" s="12"/>
      <c r="F100" s="12"/>
      <c r="G100" s="14"/>
      <c r="H100" s="14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</row>
    <row r="101" spans="4:147" s="2" customFormat="1">
      <c r="D101" s="12"/>
      <c r="F101" s="12"/>
      <c r="G101" s="14"/>
      <c r="H101" s="14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</row>
    <row r="102" spans="4:147" s="2" customFormat="1">
      <c r="D102" s="12"/>
      <c r="F102" s="12"/>
      <c r="G102" s="14"/>
      <c r="H102" s="14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</row>
    <row r="103" spans="4:147" s="2" customFormat="1">
      <c r="D103" s="12"/>
      <c r="F103" s="12"/>
      <c r="G103" s="14"/>
      <c r="H103" s="14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</row>
    <row r="104" spans="4:147" s="2" customFormat="1">
      <c r="D104" s="12"/>
      <c r="F104" s="12"/>
      <c r="G104" s="14"/>
      <c r="H104" s="14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</row>
    <row r="105" spans="4:147" s="2" customFormat="1">
      <c r="D105" s="12"/>
      <c r="F105" s="12"/>
      <c r="G105" s="14"/>
      <c r="H105" s="14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</row>
    <row r="106" spans="4:147" s="2" customFormat="1">
      <c r="D106" s="12"/>
      <c r="F106" s="12"/>
      <c r="G106" s="14"/>
      <c r="H106" s="14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</row>
    <row r="107" spans="4:147" s="2" customFormat="1">
      <c r="D107" s="12"/>
      <c r="F107" s="12"/>
      <c r="G107" s="14"/>
      <c r="H107" s="14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47"/>
      <c r="DC107" s="47"/>
      <c r="DD107" s="47"/>
      <c r="DE107" s="47"/>
      <c r="DF107" s="47"/>
      <c r="DG107" s="47"/>
      <c r="DH107" s="47"/>
      <c r="DI107" s="47"/>
      <c r="DJ107" s="47"/>
      <c r="DK107" s="47"/>
      <c r="DL107" s="47"/>
      <c r="DM107" s="47"/>
      <c r="DN107" s="47"/>
      <c r="DO107" s="47"/>
      <c r="DP107" s="47"/>
      <c r="DQ107" s="47"/>
      <c r="DR107" s="47"/>
      <c r="DS107" s="47"/>
      <c r="DT107" s="47"/>
      <c r="DU107" s="47"/>
      <c r="DV107" s="47"/>
      <c r="DW107" s="47"/>
      <c r="DX107" s="47"/>
      <c r="DY107" s="47"/>
      <c r="DZ107" s="47"/>
      <c r="EA107" s="47"/>
      <c r="EB107" s="47"/>
      <c r="EC107" s="47"/>
      <c r="ED107" s="47"/>
      <c r="EE107" s="47"/>
      <c r="EF107" s="47"/>
      <c r="EG107" s="47"/>
      <c r="EH107" s="47"/>
      <c r="EI107" s="47"/>
      <c r="EJ107" s="47"/>
      <c r="EK107" s="47"/>
      <c r="EL107" s="47"/>
      <c r="EM107" s="47"/>
      <c r="EN107" s="47"/>
      <c r="EO107" s="47"/>
      <c r="EP107" s="47"/>
      <c r="EQ107" s="47"/>
    </row>
    <row r="108" spans="4:147" s="2" customFormat="1">
      <c r="D108" s="12"/>
      <c r="F108" s="12"/>
      <c r="G108" s="14"/>
      <c r="H108" s="14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  <c r="CY108" s="47"/>
      <c r="CZ108" s="47"/>
      <c r="DA108" s="47"/>
      <c r="DB108" s="47"/>
      <c r="DC108" s="47"/>
      <c r="DD108" s="47"/>
      <c r="DE108" s="47"/>
      <c r="DF108" s="47"/>
      <c r="DG108" s="47"/>
      <c r="DH108" s="47"/>
      <c r="DI108" s="47"/>
      <c r="DJ108" s="47"/>
      <c r="DK108" s="47"/>
      <c r="DL108" s="47"/>
      <c r="DM108" s="47"/>
      <c r="DN108" s="47"/>
      <c r="DO108" s="47"/>
      <c r="DP108" s="47"/>
      <c r="DQ108" s="47"/>
      <c r="DR108" s="47"/>
      <c r="DS108" s="47"/>
      <c r="DT108" s="47"/>
      <c r="DU108" s="47"/>
      <c r="DV108" s="47"/>
      <c r="DW108" s="47"/>
      <c r="DX108" s="47"/>
      <c r="DY108" s="47"/>
      <c r="DZ108" s="47"/>
      <c r="EA108" s="47"/>
      <c r="EB108" s="47"/>
      <c r="EC108" s="47"/>
      <c r="ED108" s="47"/>
      <c r="EE108" s="47"/>
      <c r="EF108" s="47"/>
      <c r="EG108" s="47"/>
      <c r="EH108" s="47"/>
      <c r="EI108" s="47"/>
      <c r="EJ108" s="47"/>
      <c r="EK108" s="47"/>
      <c r="EL108" s="47"/>
      <c r="EM108" s="47"/>
      <c r="EN108" s="47"/>
      <c r="EO108" s="47"/>
      <c r="EP108" s="47"/>
      <c r="EQ108" s="47"/>
    </row>
    <row r="109" spans="4:147" s="2" customFormat="1">
      <c r="D109" s="12"/>
      <c r="F109" s="12"/>
      <c r="G109" s="14"/>
      <c r="H109" s="14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47"/>
      <c r="DC109" s="47"/>
      <c r="DD109" s="47"/>
      <c r="DE109" s="47"/>
      <c r="DF109" s="47"/>
      <c r="DG109" s="47"/>
      <c r="DH109" s="47"/>
      <c r="DI109" s="47"/>
      <c r="DJ109" s="47"/>
      <c r="DK109" s="47"/>
      <c r="DL109" s="47"/>
      <c r="DM109" s="47"/>
      <c r="DN109" s="47"/>
      <c r="DO109" s="47"/>
      <c r="DP109" s="47"/>
      <c r="DQ109" s="47"/>
      <c r="DR109" s="47"/>
      <c r="DS109" s="47"/>
      <c r="DT109" s="47"/>
      <c r="DU109" s="47"/>
      <c r="DV109" s="47"/>
      <c r="DW109" s="47"/>
      <c r="DX109" s="47"/>
      <c r="DY109" s="47"/>
      <c r="DZ109" s="47"/>
      <c r="EA109" s="47"/>
      <c r="EB109" s="47"/>
      <c r="EC109" s="47"/>
      <c r="ED109" s="47"/>
      <c r="EE109" s="47"/>
      <c r="EF109" s="47"/>
      <c r="EG109" s="47"/>
      <c r="EH109" s="47"/>
      <c r="EI109" s="47"/>
      <c r="EJ109" s="47"/>
      <c r="EK109" s="47"/>
      <c r="EL109" s="47"/>
      <c r="EM109" s="47"/>
      <c r="EN109" s="47"/>
      <c r="EO109" s="47"/>
      <c r="EP109" s="47"/>
      <c r="EQ109" s="47"/>
    </row>
    <row r="110" spans="4:147" s="2" customFormat="1">
      <c r="D110" s="12"/>
      <c r="F110" s="12"/>
      <c r="G110" s="14"/>
      <c r="H110" s="14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  <c r="CY110" s="47"/>
      <c r="CZ110" s="47"/>
      <c r="DA110" s="47"/>
      <c r="DB110" s="47"/>
      <c r="DC110" s="47"/>
      <c r="DD110" s="47"/>
      <c r="DE110" s="47"/>
      <c r="DF110" s="47"/>
      <c r="DG110" s="47"/>
      <c r="DH110" s="47"/>
      <c r="DI110" s="47"/>
      <c r="DJ110" s="47"/>
      <c r="DK110" s="47"/>
      <c r="DL110" s="47"/>
      <c r="DM110" s="47"/>
      <c r="DN110" s="47"/>
      <c r="DO110" s="47"/>
      <c r="DP110" s="47"/>
      <c r="DQ110" s="47"/>
      <c r="DR110" s="47"/>
      <c r="DS110" s="47"/>
      <c r="DT110" s="47"/>
      <c r="DU110" s="47"/>
      <c r="DV110" s="47"/>
      <c r="DW110" s="47"/>
      <c r="DX110" s="47"/>
      <c r="DY110" s="47"/>
      <c r="DZ110" s="47"/>
      <c r="EA110" s="47"/>
      <c r="EB110" s="47"/>
      <c r="EC110" s="47"/>
      <c r="ED110" s="47"/>
      <c r="EE110" s="47"/>
      <c r="EF110" s="47"/>
      <c r="EG110" s="47"/>
      <c r="EH110" s="47"/>
      <c r="EI110" s="47"/>
      <c r="EJ110" s="47"/>
      <c r="EK110" s="47"/>
      <c r="EL110" s="47"/>
      <c r="EM110" s="47"/>
      <c r="EN110" s="47"/>
      <c r="EO110" s="47"/>
      <c r="EP110" s="47"/>
      <c r="EQ110" s="47"/>
    </row>
    <row r="111" spans="4:147" s="2" customFormat="1">
      <c r="D111" s="12"/>
      <c r="F111" s="12"/>
      <c r="G111" s="14"/>
      <c r="H111" s="14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7"/>
      <c r="DE111" s="47"/>
      <c r="DF111" s="47"/>
      <c r="DG111" s="47"/>
      <c r="DH111" s="47"/>
      <c r="DI111" s="47"/>
      <c r="DJ111" s="47"/>
      <c r="DK111" s="47"/>
      <c r="DL111" s="47"/>
      <c r="DM111" s="47"/>
      <c r="DN111" s="47"/>
      <c r="DO111" s="47"/>
      <c r="DP111" s="47"/>
      <c r="DQ111" s="47"/>
      <c r="DR111" s="47"/>
      <c r="DS111" s="47"/>
      <c r="DT111" s="47"/>
      <c r="DU111" s="47"/>
      <c r="DV111" s="47"/>
      <c r="DW111" s="47"/>
      <c r="DX111" s="47"/>
      <c r="DY111" s="47"/>
      <c r="DZ111" s="47"/>
      <c r="EA111" s="47"/>
      <c r="EB111" s="47"/>
      <c r="EC111" s="47"/>
      <c r="ED111" s="47"/>
      <c r="EE111" s="47"/>
      <c r="EF111" s="47"/>
      <c r="EG111" s="47"/>
      <c r="EH111" s="47"/>
      <c r="EI111" s="47"/>
      <c r="EJ111" s="47"/>
      <c r="EK111" s="47"/>
      <c r="EL111" s="47"/>
      <c r="EM111" s="47"/>
      <c r="EN111" s="47"/>
      <c r="EO111" s="47"/>
      <c r="EP111" s="47"/>
      <c r="EQ111" s="47"/>
    </row>
    <row r="112" spans="4:147" s="2" customFormat="1">
      <c r="D112" s="12"/>
      <c r="F112" s="12"/>
      <c r="G112" s="14"/>
      <c r="H112" s="14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  <c r="DL112" s="47"/>
      <c r="DM112" s="47"/>
      <c r="DN112" s="47"/>
      <c r="DO112" s="47"/>
      <c r="DP112" s="47"/>
      <c r="DQ112" s="47"/>
      <c r="DR112" s="47"/>
      <c r="DS112" s="47"/>
      <c r="DT112" s="47"/>
      <c r="DU112" s="47"/>
      <c r="DV112" s="47"/>
      <c r="DW112" s="47"/>
      <c r="DX112" s="47"/>
      <c r="DY112" s="47"/>
      <c r="DZ112" s="47"/>
      <c r="EA112" s="47"/>
      <c r="EB112" s="47"/>
      <c r="EC112" s="47"/>
      <c r="ED112" s="47"/>
      <c r="EE112" s="47"/>
      <c r="EF112" s="47"/>
      <c r="EG112" s="47"/>
      <c r="EH112" s="47"/>
      <c r="EI112" s="47"/>
      <c r="EJ112" s="47"/>
      <c r="EK112" s="47"/>
      <c r="EL112" s="47"/>
      <c r="EM112" s="47"/>
      <c r="EN112" s="47"/>
      <c r="EO112" s="47"/>
      <c r="EP112" s="47"/>
      <c r="EQ112" s="47"/>
    </row>
    <row r="113" spans="4:147" s="2" customFormat="1">
      <c r="D113" s="12"/>
      <c r="F113" s="12"/>
      <c r="G113" s="14"/>
      <c r="H113" s="14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  <c r="DS113" s="47"/>
      <c r="DT113" s="47"/>
      <c r="DU113" s="47"/>
      <c r="DV113" s="47"/>
      <c r="DW113" s="47"/>
      <c r="DX113" s="47"/>
      <c r="DY113" s="47"/>
      <c r="DZ113" s="47"/>
      <c r="EA113" s="47"/>
      <c r="EB113" s="47"/>
      <c r="EC113" s="47"/>
      <c r="ED113" s="47"/>
      <c r="EE113" s="47"/>
      <c r="EF113" s="47"/>
      <c r="EG113" s="47"/>
      <c r="EH113" s="47"/>
      <c r="EI113" s="47"/>
      <c r="EJ113" s="47"/>
      <c r="EK113" s="47"/>
      <c r="EL113" s="47"/>
      <c r="EM113" s="47"/>
      <c r="EN113" s="47"/>
      <c r="EO113" s="47"/>
      <c r="EP113" s="47"/>
      <c r="EQ113" s="47"/>
    </row>
    <row r="114" spans="4:147" s="2" customFormat="1">
      <c r="D114" s="12"/>
      <c r="F114" s="12"/>
      <c r="G114" s="14"/>
      <c r="H114" s="14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  <c r="DL114" s="47"/>
      <c r="DM114" s="47"/>
      <c r="DN114" s="47"/>
      <c r="DO114" s="47"/>
      <c r="DP114" s="47"/>
      <c r="DQ114" s="47"/>
      <c r="DR114" s="47"/>
      <c r="DS114" s="47"/>
      <c r="DT114" s="47"/>
      <c r="DU114" s="47"/>
      <c r="DV114" s="47"/>
      <c r="DW114" s="47"/>
      <c r="DX114" s="47"/>
      <c r="DY114" s="47"/>
      <c r="DZ114" s="47"/>
      <c r="EA114" s="47"/>
      <c r="EB114" s="47"/>
      <c r="EC114" s="47"/>
      <c r="ED114" s="47"/>
      <c r="EE114" s="47"/>
      <c r="EF114" s="47"/>
      <c r="EG114" s="47"/>
      <c r="EH114" s="47"/>
      <c r="EI114" s="47"/>
      <c r="EJ114" s="47"/>
      <c r="EK114" s="47"/>
      <c r="EL114" s="47"/>
      <c r="EM114" s="47"/>
      <c r="EN114" s="47"/>
      <c r="EO114" s="47"/>
      <c r="EP114" s="47"/>
      <c r="EQ114" s="47"/>
    </row>
    <row r="115" spans="4:147" s="2" customFormat="1">
      <c r="D115" s="12"/>
      <c r="F115" s="12"/>
      <c r="G115" s="14"/>
      <c r="H115" s="14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  <c r="DS115" s="47"/>
      <c r="DT115" s="47"/>
      <c r="DU115" s="47"/>
      <c r="DV115" s="47"/>
      <c r="DW115" s="47"/>
      <c r="DX115" s="47"/>
      <c r="DY115" s="47"/>
      <c r="DZ115" s="47"/>
      <c r="EA115" s="47"/>
      <c r="EB115" s="47"/>
      <c r="EC115" s="47"/>
      <c r="ED115" s="47"/>
      <c r="EE115" s="47"/>
      <c r="EF115" s="47"/>
      <c r="EG115" s="47"/>
      <c r="EH115" s="47"/>
      <c r="EI115" s="47"/>
      <c r="EJ115" s="47"/>
      <c r="EK115" s="47"/>
      <c r="EL115" s="47"/>
      <c r="EM115" s="47"/>
      <c r="EN115" s="47"/>
      <c r="EO115" s="47"/>
      <c r="EP115" s="47"/>
      <c r="EQ115" s="47"/>
    </row>
    <row r="116" spans="4:147" s="2" customFormat="1">
      <c r="D116" s="12"/>
      <c r="F116" s="12"/>
      <c r="G116" s="14"/>
      <c r="H116" s="14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7"/>
      <c r="DE116" s="47"/>
      <c r="DF116" s="47"/>
      <c r="DG116" s="47"/>
      <c r="DH116" s="47"/>
      <c r="DI116" s="47"/>
      <c r="DJ116" s="47"/>
      <c r="DK116" s="47"/>
      <c r="DL116" s="47"/>
      <c r="DM116" s="47"/>
      <c r="DN116" s="47"/>
      <c r="DO116" s="47"/>
      <c r="DP116" s="47"/>
      <c r="DQ116" s="47"/>
      <c r="DR116" s="47"/>
      <c r="DS116" s="47"/>
      <c r="DT116" s="47"/>
      <c r="DU116" s="47"/>
      <c r="DV116" s="47"/>
      <c r="DW116" s="47"/>
      <c r="DX116" s="47"/>
      <c r="DY116" s="47"/>
      <c r="DZ116" s="47"/>
      <c r="EA116" s="47"/>
      <c r="EB116" s="47"/>
      <c r="EC116" s="47"/>
      <c r="ED116" s="47"/>
      <c r="EE116" s="47"/>
      <c r="EF116" s="47"/>
      <c r="EG116" s="47"/>
      <c r="EH116" s="47"/>
      <c r="EI116" s="47"/>
      <c r="EJ116" s="47"/>
      <c r="EK116" s="47"/>
      <c r="EL116" s="47"/>
      <c r="EM116" s="47"/>
      <c r="EN116" s="47"/>
      <c r="EO116" s="47"/>
      <c r="EP116" s="47"/>
      <c r="EQ116" s="47"/>
    </row>
    <row r="117" spans="4:147" s="2" customFormat="1">
      <c r="D117" s="12"/>
      <c r="F117" s="12"/>
      <c r="G117" s="14"/>
      <c r="H117" s="14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  <c r="DG117" s="47"/>
      <c r="DH117" s="47"/>
      <c r="DI117" s="47"/>
      <c r="DJ117" s="47"/>
      <c r="DK117" s="47"/>
      <c r="DL117" s="47"/>
      <c r="DM117" s="47"/>
      <c r="DN117" s="47"/>
      <c r="DO117" s="47"/>
      <c r="DP117" s="47"/>
      <c r="DQ117" s="47"/>
      <c r="DR117" s="47"/>
      <c r="DS117" s="47"/>
      <c r="DT117" s="47"/>
      <c r="DU117" s="47"/>
      <c r="DV117" s="47"/>
      <c r="DW117" s="47"/>
      <c r="DX117" s="47"/>
      <c r="DY117" s="47"/>
      <c r="DZ117" s="47"/>
      <c r="EA117" s="47"/>
      <c r="EB117" s="47"/>
      <c r="EC117" s="47"/>
      <c r="ED117" s="47"/>
      <c r="EE117" s="47"/>
      <c r="EF117" s="47"/>
      <c r="EG117" s="47"/>
      <c r="EH117" s="47"/>
      <c r="EI117" s="47"/>
      <c r="EJ117" s="47"/>
      <c r="EK117" s="47"/>
      <c r="EL117" s="47"/>
      <c r="EM117" s="47"/>
      <c r="EN117" s="47"/>
      <c r="EO117" s="47"/>
      <c r="EP117" s="47"/>
      <c r="EQ117" s="47"/>
    </row>
    <row r="118" spans="4:147" s="2" customFormat="1">
      <c r="D118" s="12"/>
      <c r="F118" s="12"/>
      <c r="G118" s="14"/>
      <c r="H118" s="14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  <c r="DL118" s="47"/>
      <c r="DM118" s="47"/>
      <c r="DN118" s="47"/>
      <c r="DO118" s="47"/>
      <c r="DP118" s="47"/>
      <c r="DQ118" s="47"/>
      <c r="DR118" s="47"/>
      <c r="DS118" s="47"/>
      <c r="DT118" s="47"/>
      <c r="DU118" s="47"/>
      <c r="DV118" s="47"/>
      <c r="DW118" s="47"/>
      <c r="DX118" s="47"/>
      <c r="DY118" s="47"/>
      <c r="DZ118" s="47"/>
      <c r="EA118" s="47"/>
      <c r="EB118" s="47"/>
      <c r="EC118" s="47"/>
      <c r="ED118" s="47"/>
      <c r="EE118" s="47"/>
      <c r="EF118" s="47"/>
      <c r="EG118" s="47"/>
      <c r="EH118" s="47"/>
      <c r="EI118" s="47"/>
      <c r="EJ118" s="47"/>
      <c r="EK118" s="47"/>
      <c r="EL118" s="47"/>
      <c r="EM118" s="47"/>
      <c r="EN118" s="47"/>
      <c r="EO118" s="47"/>
      <c r="EP118" s="47"/>
      <c r="EQ118" s="47"/>
    </row>
    <row r="119" spans="4:147" s="2" customFormat="1">
      <c r="D119" s="12"/>
      <c r="F119" s="12"/>
      <c r="G119" s="14"/>
      <c r="H119" s="14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  <c r="DL119" s="47"/>
      <c r="DM119" s="47"/>
      <c r="DN119" s="47"/>
      <c r="DO119" s="47"/>
      <c r="DP119" s="47"/>
      <c r="DQ119" s="47"/>
      <c r="DR119" s="47"/>
      <c r="DS119" s="47"/>
      <c r="DT119" s="47"/>
      <c r="DU119" s="47"/>
      <c r="DV119" s="47"/>
      <c r="DW119" s="47"/>
      <c r="DX119" s="47"/>
      <c r="DY119" s="47"/>
      <c r="DZ119" s="47"/>
      <c r="EA119" s="47"/>
      <c r="EB119" s="47"/>
      <c r="EC119" s="47"/>
      <c r="ED119" s="47"/>
      <c r="EE119" s="47"/>
      <c r="EF119" s="47"/>
      <c r="EG119" s="47"/>
      <c r="EH119" s="47"/>
      <c r="EI119" s="47"/>
      <c r="EJ119" s="47"/>
      <c r="EK119" s="47"/>
      <c r="EL119" s="47"/>
      <c r="EM119" s="47"/>
      <c r="EN119" s="47"/>
      <c r="EO119" s="47"/>
      <c r="EP119" s="47"/>
      <c r="EQ119" s="47"/>
    </row>
    <row r="120" spans="4:147" s="2" customFormat="1">
      <c r="D120" s="12"/>
      <c r="F120" s="12"/>
      <c r="G120" s="14"/>
      <c r="H120" s="14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  <c r="DL120" s="47"/>
      <c r="DM120" s="47"/>
      <c r="DN120" s="47"/>
      <c r="DO120" s="47"/>
      <c r="DP120" s="47"/>
      <c r="DQ120" s="47"/>
      <c r="DR120" s="47"/>
      <c r="DS120" s="47"/>
      <c r="DT120" s="47"/>
      <c r="DU120" s="47"/>
      <c r="DV120" s="47"/>
      <c r="DW120" s="47"/>
      <c r="DX120" s="47"/>
      <c r="DY120" s="47"/>
      <c r="DZ120" s="47"/>
      <c r="EA120" s="47"/>
      <c r="EB120" s="47"/>
      <c r="EC120" s="47"/>
      <c r="ED120" s="47"/>
      <c r="EE120" s="47"/>
      <c r="EF120" s="47"/>
      <c r="EG120" s="47"/>
      <c r="EH120" s="47"/>
      <c r="EI120" s="47"/>
      <c r="EJ120" s="47"/>
      <c r="EK120" s="47"/>
      <c r="EL120" s="47"/>
      <c r="EM120" s="47"/>
      <c r="EN120" s="47"/>
      <c r="EO120" s="47"/>
      <c r="EP120" s="47"/>
      <c r="EQ120" s="47"/>
    </row>
    <row r="121" spans="4:147" s="2" customFormat="1">
      <c r="D121" s="12"/>
      <c r="F121" s="12"/>
      <c r="G121" s="14"/>
      <c r="H121" s="14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  <c r="DL121" s="47"/>
      <c r="DM121" s="47"/>
      <c r="DN121" s="47"/>
      <c r="DO121" s="47"/>
      <c r="DP121" s="47"/>
      <c r="DQ121" s="47"/>
      <c r="DR121" s="47"/>
      <c r="DS121" s="47"/>
      <c r="DT121" s="47"/>
      <c r="DU121" s="47"/>
      <c r="DV121" s="47"/>
      <c r="DW121" s="47"/>
      <c r="DX121" s="47"/>
      <c r="DY121" s="47"/>
      <c r="DZ121" s="47"/>
      <c r="EA121" s="47"/>
      <c r="EB121" s="47"/>
      <c r="EC121" s="47"/>
      <c r="ED121" s="47"/>
      <c r="EE121" s="47"/>
      <c r="EF121" s="47"/>
      <c r="EG121" s="47"/>
      <c r="EH121" s="47"/>
      <c r="EI121" s="47"/>
      <c r="EJ121" s="47"/>
      <c r="EK121" s="47"/>
      <c r="EL121" s="47"/>
      <c r="EM121" s="47"/>
      <c r="EN121" s="47"/>
      <c r="EO121" s="47"/>
      <c r="EP121" s="47"/>
      <c r="EQ121" s="47"/>
    </row>
    <row r="122" spans="4:147" s="2" customFormat="1">
      <c r="D122" s="12"/>
      <c r="F122" s="12"/>
      <c r="G122" s="14"/>
      <c r="H122" s="14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R122" s="47"/>
      <c r="CS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  <c r="DL122" s="47"/>
      <c r="DM122" s="47"/>
      <c r="DN122" s="47"/>
      <c r="DO122" s="47"/>
      <c r="DP122" s="47"/>
      <c r="DQ122" s="47"/>
      <c r="DR122" s="47"/>
      <c r="DS122" s="47"/>
      <c r="DT122" s="47"/>
      <c r="DU122" s="47"/>
      <c r="DV122" s="47"/>
      <c r="DW122" s="47"/>
      <c r="DX122" s="47"/>
      <c r="DY122" s="47"/>
      <c r="DZ122" s="47"/>
      <c r="EA122" s="47"/>
      <c r="EB122" s="47"/>
      <c r="EC122" s="47"/>
      <c r="ED122" s="47"/>
      <c r="EE122" s="47"/>
      <c r="EF122" s="47"/>
      <c r="EG122" s="47"/>
      <c r="EH122" s="47"/>
      <c r="EI122" s="47"/>
      <c r="EJ122" s="47"/>
      <c r="EK122" s="47"/>
      <c r="EL122" s="47"/>
      <c r="EM122" s="47"/>
      <c r="EN122" s="47"/>
      <c r="EO122" s="47"/>
      <c r="EP122" s="47"/>
      <c r="EQ122" s="47"/>
    </row>
    <row r="123" spans="4:147" s="2" customFormat="1">
      <c r="D123" s="12"/>
      <c r="F123" s="12"/>
      <c r="G123" s="14"/>
      <c r="H123" s="14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  <c r="DL123" s="47"/>
      <c r="DM123" s="47"/>
      <c r="DN123" s="47"/>
      <c r="DO123" s="47"/>
      <c r="DP123" s="47"/>
      <c r="DQ123" s="47"/>
      <c r="DR123" s="47"/>
      <c r="DS123" s="47"/>
      <c r="DT123" s="47"/>
      <c r="DU123" s="47"/>
      <c r="DV123" s="47"/>
      <c r="DW123" s="47"/>
      <c r="DX123" s="47"/>
      <c r="DY123" s="47"/>
      <c r="DZ123" s="47"/>
      <c r="EA123" s="47"/>
      <c r="EB123" s="47"/>
      <c r="EC123" s="47"/>
      <c r="ED123" s="47"/>
      <c r="EE123" s="47"/>
      <c r="EF123" s="47"/>
      <c r="EG123" s="47"/>
      <c r="EH123" s="47"/>
      <c r="EI123" s="47"/>
      <c r="EJ123" s="47"/>
      <c r="EK123" s="47"/>
      <c r="EL123" s="47"/>
      <c r="EM123" s="47"/>
      <c r="EN123" s="47"/>
      <c r="EO123" s="47"/>
      <c r="EP123" s="47"/>
      <c r="EQ123" s="47"/>
    </row>
    <row r="124" spans="4:147" s="2" customFormat="1">
      <c r="D124" s="12"/>
      <c r="F124" s="12"/>
      <c r="G124" s="14"/>
      <c r="H124" s="14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R124" s="47"/>
      <c r="CS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  <c r="DL124" s="47"/>
      <c r="DM124" s="47"/>
      <c r="DN124" s="47"/>
      <c r="DO124" s="47"/>
      <c r="DP124" s="47"/>
      <c r="DQ124" s="47"/>
      <c r="DR124" s="47"/>
      <c r="DS124" s="47"/>
      <c r="DT124" s="47"/>
      <c r="DU124" s="47"/>
      <c r="DV124" s="47"/>
      <c r="DW124" s="47"/>
      <c r="DX124" s="47"/>
      <c r="DY124" s="47"/>
      <c r="DZ124" s="47"/>
      <c r="EA124" s="47"/>
      <c r="EB124" s="47"/>
      <c r="EC124" s="47"/>
      <c r="ED124" s="47"/>
      <c r="EE124" s="47"/>
      <c r="EF124" s="47"/>
      <c r="EG124" s="47"/>
      <c r="EH124" s="47"/>
      <c r="EI124" s="47"/>
      <c r="EJ124" s="47"/>
      <c r="EK124" s="47"/>
      <c r="EL124" s="47"/>
      <c r="EM124" s="47"/>
      <c r="EN124" s="47"/>
      <c r="EO124" s="47"/>
      <c r="EP124" s="47"/>
      <c r="EQ124" s="47"/>
    </row>
    <row r="125" spans="4:147" s="2" customFormat="1">
      <c r="D125" s="12"/>
      <c r="F125" s="12"/>
      <c r="G125" s="14"/>
      <c r="H125" s="14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  <c r="DL125" s="47"/>
      <c r="DM125" s="47"/>
      <c r="DN125" s="47"/>
      <c r="DO125" s="47"/>
      <c r="DP125" s="47"/>
      <c r="DQ125" s="47"/>
      <c r="DR125" s="47"/>
      <c r="DS125" s="47"/>
      <c r="DT125" s="47"/>
      <c r="DU125" s="47"/>
      <c r="DV125" s="47"/>
      <c r="DW125" s="47"/>
      <c r="DX125" s="47"/>
      <c r="DY125" s="47"/>
      <c r="DZ125" s="47"/>
      <c r="EA125" s="47"/>
      <c r="EB125" s="47"/>
      <c r="EC125" s="47"/>
      <c r="ED125" s="47"/>
      <c r="EE125" s="47"/>
      <c r="EF125" s="47"/>
      <c r="EG125" s="47"/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</row>
    <row r="126" spans="4:147" s="2" customFormat="1">
      <c r="D126" s="12"/>
      <c r="F126" s="12"/>
      <c r="G126" s="14"/>
      <c r="H126" s="14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  <c r="DL126" s="47"/>
      <c r="DM126" s="47"/>
      <c r="DN126" s="47"/>
      <c r="DO126" s="47"/>
      <c r="DP126" s="47"/>
      <c r="DQ126" s="47"/>
      <c r="DR126" s="47"/>
      <c r="DS126" s="47"/>
      <c r="DT126" s="47"/>
      <c r="DU126" s="47"/>
      <c r="DV126" s="47"/>
      <c r="DW126" s="47"/>
      <c r="DX126" s="47"/>
      <c r="DY126" s="47"/>
      <c r="DZ126" s="47"/>
      <c r="EA126" s="47"/>
      <c r="EB126" s="47"/>
      <c r="EC126" s="47"/>
      <c r="ED126" s="47"/>
      <c r="EE126" s="47"/>
      <c r="EF126" s="47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</row>
    <row r="127" spans="4:147" s="2" customFormat="1">
      <c r="D127" s="12"/>
      <c r="F127" s="12"/>
      <c r="G127" s="14"/>
      <c r="H127" s="14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  <c r="DL127" s="47"/>
      <c r="DM127" s="47"/>
      <c r="DN127" s="47"/>
      <c r="DO127" s="47"/>
      <c r="DP127" s="47"/>
      <c r="DQ127" s="47"/>
      <c r="DR127" s="47"/>
      <c r="DS127" s="47"/>
      <c r="DT127" s="47"/>
      <c r="DU127" s="47"/>
      <c r="DV127" s="47"/>
      <c r="DW127" s="47"/>
      <c r="DX127" s="47"/>
      <c r="DY127" s="47"/>
      <c r="DZ127" s="47"/>
      <c r="EA127" s="47"/>
      <c r="EB127" s="47"/>
      <c r="EC127" s="47"/>
      <c r="ED127" s="47"/>
      <c r="EE127" s="47"/>
      <c r="EF127" s="47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</row>
    <row r="128" spans="4:147" s="2" customFormat="1">
      <c r="D128" s="12"/>
      <c r="F128" s="12"/>
      <c r="G128" s="14"/>
      <c r="H128" s="14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  <c r="DL128" s="47"/>
      <c r="DM128" s="47"/>
      <c r="DN128" s="47"/>
      <c r="DO128" s="47"/>
      <c r="DP128" s="47"/>
      <c r="DQ128" s="47"/>
      <c r="DR128" s="47"/>
      <c r="DS128" s="47"/>
      <c r="DT128" s="47"/>
      <c r="DU128" s="47"/>
      <c r="DV128" s="47"/>
      <c r="DW128" s="47"/>
      <c r="DX128" s="47"/>
      <c r="DY128" s="47"/>
      <c r="DZ128" s="47"/>
      <c r="EA128" s="47"/>
      <c r="EB128" s="47"/>
      <c r="EC128" s="47"/>
      <c r="ED128" s="47"/>
      <c r="EE128" s="47"/>
      <c r="EF128" s="47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</row>
    <row r="129" spans="4:147" s="2" customFormat="1">
      <c r="D129" s="12"/>
      <c r="F129" s="12"/>
      <c r="G129" s="14"/>
      <c r="H129" s="14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  <c r="DL129" s="47"/>
      <c r="DM129" s="47"/>
      <c r="DN129" s="47"/>
      <c r="DO129" s="47"/>
      <c r="DP129" s="47"/>
      <c r="DQ129" s="47"/>
      <c r="DR129" s="47"/>
      <c r="DS129" s="47"/>
      <c r="DT129" s="47"/>
      <c r="DU129" s="47"/>
      <c r="DV129" s="47"/>
      <c r="DW129" s="47"/>
      <c r="DX129" s="47"/>
      <c r="DY129" s="47"/>
      <c r="DZ129" s="47"/>
      <c r="EA129" s="47"/>
      <c r="EB129" s="47"/>
      <c r="EC129" s="47"/>
      <c r="ED129" s="47"/>
      <c r="EE129" s="47"/>
      <c r="EF129" s="47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</row>
    <row r="130" spans="4:147" s="2" customFormat="1">
      <c r="D130" s="12"/>
      <c r="F130" s="12"/>
      <c r="G130" s="14"/>
      <c r="H130" s="14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  <c r="DL130" s="47"/>
      <c r="DM130" s="47"/>
      <c r="DN130" s="47"/>
      <c r="DO130" s="47"/>
      <c r="DP130" s="47"/>
      <c r="DQ130" s="47"/>
      <c r="DR130" s="47"/>
      <c r="DS130" s="47"/>
      <c r="DT130" s="47"/>
      <c r="DU130" s="47"/>
      <c r="DV130" s="47"/>
      <c r="DW130" s="47"/>
      <c r="DX130" s="47"/>
      <c r="DY130" s="47"/>
      <c r="DZ130" s="47"/>
      <c r="EA130" s="47"/>
      <c r="EB130" s="47"/>
      <c r="EC130" s="47"/>
      <c r="ED130" s="47"/>
      <c r="EE130" s="47"/>
      <c r="EF130" s="47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</row>
    <row r="131" spans="4:147" s="2" customFormat="1">
      <c r="D131" s="12"/>
      <c r="F131" s="12"/>
      <c r="G131" s="14"/>
      <c r="H131" s="14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47"/>
      <c r="DN131" s="47"/>
      <c r="DO131" s="47"/>
      <c r="DP131" s="47"/>
      <c r="DQ131" s="47"/>
      <c r="DR131" s="47"/>
      <c r="DS131" s="47"/>
      <c r="DT131" s="47"/>
      <c r="DU131" s="47"/>
      <c r="DV131" s="47"/>
      <c r="DW131" s="47"/>
      <c r="DX131" s="47"/>
      <c r="DY131" s="47"/>
      <c r="DZ131" s="47"/>
      <c r="EA131" s="47"/>
      <c r="EB131" s="47"/>
      <c r="EC131" s="47"/>
      <c r="ED131" s="47"/>
      <c r="EE131" s="47"/>
      <c r="EF131" s="47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</row>
    <row r="132" spans="4:147" s="2" customFormat="1">
      <c r="D132" s="12"/>
      <c r="F132" s="12"/>
      <c r="G132" s="14"/>
      <c r="H132" s="14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  <c r="DN132" s="47"/>
      <c r="DO132" s="47"/>
      <c r="DP132" s="47"/>
      <c r="DQ132" s="47"/>
      <c r="DR132" s="47"/>
      <c r="DS132" s="47"/>
      <c r="DT132" s="47"/>
      <c r="DU132" s="47"/>
      <c r="DV132" s="47"/>
      <c r="DW132" s="47"/>
      <c r="DX132" s="47"/>
      <c r="DY132" s="47"/>
      <c r="DZ132" s="47"/>
      <c r="EA132" s="47"/>
      <c r="EB132" s="47"/>
      <c r="EC132" s="47"/>
      <c r="ED132" s="47"/>
      <c r="EE132" s="47"/>
      <c r="EF132" s="47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</row>
    <row r="133" spans="4:147" s="2" customFormat="1">
      <c r="D133" s="12"/>
      <c r="F133" s="12"/>
      <c r="G133" s="14"/>
      <c r="H133" s="14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  <c r="DN133" s="47"/>
      <c r="DO133" s="47"/>
      <c r="DP133" s="47"/>
      <c r="DQ133" s="47"/>
      <c r="DR133" s="47"/>
      <c r="DS133" s="47"/>
      <c r="DT133" s="47"/>
      <c r="DU133" s="47"/>
      <c r="DV133" s="47"/>
      <c r="DW133" s="47"/>
      <c r="DX133" s="47"/>
      <c r="DY133" s="47"/>
      <c r="DZ133" s="47"/>
      <c r="EA133" s="47"/>
      <c r="EB133" s="47"/>
      <c r="EC133" s="47"/>
      <c r="ED133" s="47"/>
      <c r="EE133" s="47"/>
      <c r="EF133" s="47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</row>
    <row r="134" spans="4:147" s="2" customFormat="1">
      <c r="D134" s="12"/>
      <c r="F134" s="12"/>
      <c r="G134" s="14"/>
      <c r="H134" s="14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47"/>
      <c r="DN134" s="47"/>
      <c r="DO134" s="47"/>
      <c r="DP134" s="47"/>
      <c r="DQ134" s="47"/>
      <c r="DR134" s="47"/>
      <c r="DS134" s="47"/>
      <c r="DT134" s="47"/>
      <c r="DU134" s="47"/>
      <c r="DV134" s="47"/>
      <c r="DW134" s="47"/>
      <c r="DX134" s="47"/>
      <c r="DY134" s="47"/>
      <c r="DZ134" s="47"/>
      <c r="EA134" s="47"/>
      <c r="EB134" s="47"/>
      <c r="EC134" s="47"/>
      <c r="ED134" s="47"/>
      <c r="EE134" s="47"/>
      <c r="EF134" s="47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</row>
    <row r="135" spans="4:147" s="2" customFormat="1">
      <c r="D135" s="12"/>
      <c r="F135" s="12"/>
      <c r="G135" s="14"/>
      <c r="H135" s="14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  <c r="DL135" s="47"/>
      <c r="DM135" s="47"/>
      <c r="DN135" s="47"/>
      <c r="DO135" s="47"/>
      <c r="DP135" s="47"/>
      <c r="DQ135" s="47"/>
      <c r="DR135" s="47"/>
      <c r="DS135" s="47"/>
      <c r="DT135" s="47"/>
      <c r="DU135" s="47"/>
      <c r="DV135" s="47"/>
      <c r="DW135" s="47"/>
      <c r="DX135" s="47"/>
      <c r="DY135" s="47"/>
      <c r="DZ135" s="47"/>
      <c r="EA135" s="47"/>
      <c r="EB135" s="47"/>
      <c r="EC135" s="47"/>
      <c r="ED135" s="47"/>
      <c r="EE135" s="47"/>
      <c r="EF135" s="47"/>
      <c r="EG135" s="47"/>
      <c r="EH135" s="47"/>
      <c r="EI135" s="47"/>
      <c r="EJ135" s="47"/>
      <c r="EK135" s="47"/>
      <c r="EL135" s="47"/>
      <c r="EM135" s="47"/>
      <c r="EN135" s="47"/>
      <c r="EO135" s="47"/>
      <c r="EP135" s="47"/>
      <c r="EQ135" s="47"/>
    </row>
    <row r="136" spans="4:147" s="2" customFormat="1">
      <c r="D136" s="12"/>
      <c r="F136" s="12"/>
      <c r="G136" s="14"/>
      <c r="H136" s="14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  <c r="DL136" s="47"/>
      <c r="DM136" s="47"/>
      <c r="DN136" s="47"/>
      <c r="DO136" s="47"/>
      <c r="DP136" s="47"/>
      <c r="DQ136" s="47"/>
      <c r="DR136" s="47"/>
      <c r="DS136" s="47"/>
      <c r="DT136" s="47"/>
      <c r="DU136" s="47"/>
      <c r="DV136" s="47"/>
      <c r="DW136" s="47"/>
      <c r="DX136" s="47"/>
      <c r="DY136" s="47"/>
      <c r="DZ136" s="47"/>
      <c r="EA136" s="47"/>
      <c r="EB136" s="47"/>
      <c r="EC136" s="47"/>
      <c r="ED136" s="47"/>
      <c r="EE136" s="47"/>
      <c r="EF136" s="47"/>
      <c r="EG136" s="47"/>
      <c r="EH136" s="47"/>
      <c r="EI136" s="47"/>
      <c r="EJ136" s="47"/>
      <c r="EK136" s="47"/>
      <c r="EL136" s="47"/>
      <c r="EM136" s="47"/>
      <c r="EN136" s="47"/>
      <c r="EO136" s="47"/>
      <c r="EP136" s="47"/>
      <c r="EQ136" s="47"/>
    </row>
    <row r="137" spans="4:147"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  <c r="DN137" s="47"/>
      <c r="DO137" s="47"/>
      <c r="DP137" s="47"/>
      <c r="DQ137" s="47"/>
      <c r="DR137" s="47"/>
      <c r="DS137" s="47"/>
      <c r="DT137" s="47"/>
      <c r="DU137" s="47"/>
      <c r="DV137" s="47"/>
      <c r="DW137" s="47"/>
      <c r="DX137" s="47"/>
      <c r="DY137" s="47"/>
      <c r="DZ137" s="47"/>
      <c r="EA137" s="47"/>
      <c r="EB137" s="47"/>
      <c r="EC137" s="47"/>
      <c r="ED137" s="47"/>
      <c r="EE137" s="47"/>
      <c r="EF137" s="47"/>
      <c r="EG137" s="47"/>
      <c r="EH137" s="47"/>
      <c r="EI137" s="47"/>
      <c r="EJ137" s="47"/>
      <c r="EK137" s="47"/>
      <c r="EL137" s="47"/>
      <c r="EM137" s="47"/>
      <c r="EN137" s="47"/>
      <c r="EO137" s="47"/>
      <c r="EP137" s="47"/>
      <c r="EQ137" s="47"/>
    </row>
    <row r="138" spans="4:147"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  <c r="DL138" s="47"/>
      <c r="DM138" s="47"/>
      <c r="DN138" s="47"/>
      <c r="DO138" s="47"/>
      <c r="DP138" s="47"/>
      <c r="DQ138" s="47"/>
      <c r="DR138" s="47"/>
      <c r="DS138" s="47"/>
      <c r="DT138" s="47"/>
      <c r="DU138" s="47"/>
      <c r="DV138" s="47"/>
      <c r="DW138" s="47"/>
      <c r="DX138" s="47"/>
      <c r="DY138" s="47"/>
      <c r="DZ138" s="47"/>
      <c r="EA138" s="47"/>
      <c r="EB138" s="47"/>
      <c r="EC138" s="47"/>
      <c r="ED138" s="47"/>
      <c r="EE138" s="47"/>
      <c r="EF138" s="47"/>
      <c r="EG138" s="47"/>
      <c r="EH138" s="47"/>
      <c r="EI138" s="47"/>
      <c r="EJ138" s="47"/>
      <c r="EK138" s="47"/>
      <c r="EL138" s="47"/>
      <c r="EM138" s="47"/>
      <c r="EN138" s="47"/>
      <c r="EO138" s="47"/>
      <c r="EP138" s="47"/>
      <c r="EQ138" s="47"/>
    </row>
    <row r="139" spans="4:147"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  <c r="DL139" s="47"/>
      <c r="DM139" s="47"/>
      <c r="DN139" s="47"/>
      <c r="DO139" s="47"/>
      <c r="DP139" s="47"/>
      <c r="DQ139" s="47"/>
      <c r="DR139" s="47"/>
      <c r="DS139" s="47"/>
      <c r="DT139" s="47"/>
      <c r="DU139" s="47"/>
      <c r="DV139" s="47"/>
      <c r="DW139" s="47"/>
      <c r="DX139" s="47"/>
      <c r="DY139" s="47"/>
      <c r="DZ139" s="47"/>
      <c r="EA139" s="47"/>
      <c r="EB139" s="47"/>
      <c r="EC139" s="47"/>
      <c r="ED139" s="47"/>
      <c r="EE139" s="47"/>
      <c r="EF139" s="47"/>
      <c r="EG139" s="47"/>
      <c r="EH139" s="47"/>
      <c r="EI139" s="47"/>
      <c r="EJ139" s="47"/>
      <c r="EK139" s="47"/>
      <c r="EL139" s="47"/>
      <c r="EM139" s="47"/>
      <c r="EN139" s="47"/>
      <c r="EO139" s="47"/>
      <c r="EP139" s="47"/>
      <c r="EQ139" s="47"/>
    </row>
    <row r="140" spans="4:147"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  <c r="DL140" s="47"/>
      <c r="DM140" s="47"/>
      <c r="DN140" s="47"/>
      <c r="DO140" s="47"/>
      <c r="DP140" s="47"/>
      <c r="DQ140" s="47"/>
      <c r="DR140" s="47"/>
      <c r="DS140" s="47"/>
      <c r="DT140" s="47"/>
      <c r="DU140" s="47"/>
      <c r="DV140" s="47"/>
      <c r="DW140" s="47"/>
      <c r="DX140" s="47"/>
      <c r="DY140" s="47"/>
      <c r="DZ140" s="47"/>
      <c r="EA140" s="47"/>
      <c r="EB140" s="47"/>
      <c r="EC140" s="47"/>
      <c r="ED140" s="47"/>
      <c r="EE140" s="47"/>
      <c r="EF140" s="47"/>
      <c r="EG140" s="47"/>
      <c r="EH140" s="47"/>
      <c r="EI140" s="47"/>
      <c r="EJ140" s="47"/>
      <c r="EK140" s="47"/>
      <c r="EL140" s="47"/>
      <c r="EM140" s="47"/>
      <c r="EN140" s="47"/>
      <c r="EO140" s="47"/>
      <c r="EP140" s="47"/>
      <c r="EQ140" s="47"/>
    </row>
    <row r="141" spans="4:147"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  <c r="DL141" s="47"/>
      <c r="DM141" s="47"/>
      <c r="DN141" s="47"/>
      <c r="DO141" s="47"/>
      <c r="DP141" s="47"/>
      <c r="DQ141" s="47"/>
      <c r="DR141" s="47"/>
      <c r="DS141" s="47"/>
      <c r="DT141" s="47"/>
      <c r="DU141" s="47"/>
      <c r="DV141" s="47"/>
      <c r="DW141" s="47"/>
      <c r="DX141" s="47"/>
      <c r="DY141" s="47"/>
      <c r="DZ141" s="47"/>
      <c r="EA141" s="47"/>
      <c r="EB141" s="47"/>
      <c r="EC141" s="47"/>
      <c r="ED141" s="47"/>
      <c r="EE141" s="47"/>
      <c r="EF141" s="47"/>
      <c r="EG141" s="47"/>
      <c r="EH141" s="47"/>
      <c r="EI141" s="47"/>
      <c r="EJ141" s="47"/>
      <c r="EK141" s="47"/>
      <c r="EL141" s="47"/>
      <c r="EM141" s="47"/>
      <c r="EN141" s="47"/>
      <c r="EO141" s="47"/>
      <c r="EP141" s="47"/>
      <c r="EQ141" s="47"/>
    </row>
    <row r="142" spans="4:147"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  <c r="DL142" s="47"/>
      <c r="DM142" s="47"/>
      <c r="DN142" s="47"/>
      <c r="DO142" s="47"/>
      <c r="DP142" s="47"/>
      <c r="DQ142" s="47"/>
      <c r="DR142" s="47"/>
      <c r="DS142" s="47"/>
      <c r="DT142" s="47"/>
      <c r="DU142" s="47"/>
      <c r="DV142" s="47"/>
      <c r="DW142" s="47"/>
      <c r="DX142" s="47"/>
      <c r="DY142" s="47"/>
      <c r="DZ142" s="47"/>
      <c r="EA142" s="47"/>
      <c r="EB142" s="47"/>
      <c r="EC142" s="47"/>
      <c r="ED142" s="47"/>
      <c r="EE142" s="47"/>
      <c r="EF142" s="47"/>
      <c r="EG142" s="47"/>
      <c r="EH142" s="47"/>
      <c r="EI142" s="47"/>
      <c r="EJ142" s="47"/>
      <c r="EK142" s="47"/>
      <c r="EL142" s="47"/>
      <c r="EM142" s="47"/>
      <c r="EN142" s="47"/>
      <c r="EO142" s="47"/>
      <c r="EP142" s="47"/>
      <c r="EQ142" s="47"/>
    </row>
    <row r="143" spans="4:147"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  <c r="DL143" s="47"/>
      <c r="DM143" s="47"/>
      <c r="DN143" s="47"/>
      <c r="DO143" s="47"/>
      <c r="DP143" s="47"/>
      <c r="DQ143" s="47"/>
      <c r="DR143" s="47"/>
      <c r="DS143" s="47"/>
      <c r="DT143" s="47"/>
      <c r="DU143" s="47"/>
      <c r="DV143" s="47"/>
      <c r="DW143" s="47"/>
      <c r="DX143" s="47"/>
      <c r="DY143" s="47"/>
      <c r="DZ143" s="47"/>
      <c r="EA143" s="47"/>
      <c r="EB143" s="47"/>
      <c r="EC143" s="47"/>
      <c r="ED143" s="47"/>
      <c r="EE143" s="47"/>
      <c r="EF143" s="47"/>
      <c r="EG143" s="47"/>
      <c r="EH143" s="47"/>
      <c r="EI143" s="47"/>
      <c r="EJ143" s="47"/>
      <c r="EK143" s="47"/>
      <c r="EL143" s="47"/>
      <c r="EM143" s="47"/>
      <c r="EN143" s="47"/>
      <c r="EO143" s="47"/>
      <c r="EP143" s="47"/>
      <c r="EQ143" s="47"/>
    </row>
    <row r="144" spans="4:147"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  <c r="DL144" s="47"/>
      <c r="DM144" s="47"/>
      <c r="DN144" s="47"/>
      <c r="DO144" s="47"/>
      <c r="DP144" s="47"/>
      <c r="DQ144" s="47"/>
      <c r="DR144" s="47"/>
      <c r="DS144" s="47"/>
      <c r="DT144" s="47"/>
      <c r="DU144" s="47"/>
      <c r="DV144" s="47"/>
      <c r="DW144" s="47"/>
      <c r="DX144" s="47"/>
      <c r="DY144" s="47"/>
      <c r="DZ144" s="47"/>
      <c r="EA144" s="47"/>
      <c r="EB144" s="47"/>
      <c r="EC144" s="47"/>
      <c r="ED144" s="47"/>
      <c r="EE144" s="47"/>
      <c r="EF144" s="47"/>
      <c r="EG144" s="47"/>
      <c r="EH144" s="47"/>
      <c r="EI144" s="47"/>
      <c r="EJ144" s="47"/>
      <c r="EK144" s="47"/>
      <c r="EL144" s="47"/>
      <c r="EM144" s="47"/>
      <c r="EN144" s="47"/>
      <c r="EO144" s="47"/>
      <c r="EP144" s="47"/>
      <c r="EQ144" s="47"/>
    </row>
    <row r="145" spans="58:147"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  <c r="DI145" s="47"/>
      <c r="DJ145" s="47"/>
      <c r="DK145" s="47"/>
      <c r="DL145" s="47"/>
      <c r="DM145" s="47"/>
      <c r="DN145" s="47"/>
      <c r="DO145" s="47"/>
      <c r="DP145" s="47"/>
      <c r="DQ145" s="47"/>
      <c r="DR145" s="47"/>
      <c r="DS145" s="47"/>
      <c r="DT145" s="47"/>
      <c r="DU145" s="47"/>
      <c r="DV145" s="47"/>
      <c r="DW145" s="47"/>
      <c r="DX145" s="47"/>
      <c r="DY145" s="47"/>
      <c r="DZ145" s="47"/>
      <c r="EA145" s="47"/>
      <c r="EB145" s="47"/>
      <c r="EC145" s="47"/>
      <c r="ED145" s="47"/>
      <c r="EE145" s="47"/>
      <c r="EF145" s="47"/>
      <c r="EG145" s="47"/>
      <c r="EH145" s="47"/>
      <c r="EI145" s="47"/>
      <c r="EJ145" s="47"/>
      <c r="EK145" s="47"/>
      <c r="EL145" s="47"/>
      <c r="EM145" s="47"/>
      <c r="EN145" s="47"/>
      <c r="EO145" s="47"/>
      <c r="EP145" s="47"/>
      <c r="EQ145" s="47"/>
    </row>
    <row r="146" spans="58:147"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  <c r="DL146" s="47"/>
      <c r="DM146" s="47"/>
      <c r="DN146" s="47"/>
      <c r="DO146" s="47"/>
      <c r="DP146" s="47"/>
      <c r="DQ146" s="47"/>
      <c r="DR146" s="47"/>
      <c r="DS146" s="47"/>
      <c r="DT146" s="47"/>
      <c r="DU146" s="47"/>
      <c r="DV146" s="47"/>
      <c r="DW146" s="47"/>
      <c r="DX146" s="47"/>
      <c r="DY146" s="47"/>
      <c r="DZ146" s="47"/>
      <c r="EA146" s="47"/>
      <c r="EB146" s="47"/>
      <c r="EC146" s="47"/>
      <c r="ED146" s="47"/>
      <c r="EE146" s="47"/>
      <c r="EF146" s="47"/>
      <c r="EG146" s="47"/>
      <c r="EH146" s="47"/>
      <c r="EI146" s="47"/>
      <c r="EJ146" s="47"/>
      <c r="EK146" s="47"/>
      <c r="EL146" s="47"/>
      <c r="EM146" s="47"/>
      <c r="EN146" s="47"/>
      <c r="EO146" s="47"/>
      <c r="EP146" s="47"/>
      <c r="EQ146" s="47"/>
    </row>
    <row r="147" spans="58:147"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  <c r="DL147" s="47"/>
      <c r="DM147" s="47"/>
      <c r="DN147" s="47"/>
      <c r="DO147" s="47"/>
      <c r="DP147" s="47"/>
      <c r="DQ147" s="47"/>
      <c r="DR147" s="47"/>
      <c r="DS147" s="47"/>
      <c r="DT147" s="47"/>
      <c r="DU147" s="47"/>
      <c r="DV147" s="47"/>
      <c r="DW147" s="47"/>
      <c r="DX147" s="47"/>
      <c r="DY147" s="47"/>
      <c r="DZ147" s="47"/>
      <c r="EA147" s="47"/>
      <c r="EB147" s="47"/>
      <c r="EC147" s="47"/>
      <c r="ED147" s="47"/>
      <c r="EE147" s="47"/>
      <c r="EF147" s="47"/>
      <c r="EG147" s="47"/>
      <c r="EH147" s="47"/>
      <c r="EI147" s="47"/>
      <c r="EJ147" s="47"/>
      <c r="EK147" s="47"/>
      <c r="EL147" s="47"/>
      <c r="EM147" s="47"/>
      <c r="EN147" s="47"/>
      <c r="EO147" s="47"/>
      <c r="EP147" s="47"/>
      <c r="EQ147" s="47"/>
    </row>
    <row r="148" spans="58:147"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  <c r="DL148" s="47"/>
      <c r="DM148" s="47"/>
      <c r="DN148" s="47"/>
      <c r="DO148" s="47"/>
      <c r="DP148" s="47"/>
      <c r="DQ148" s="47"/>
      <c r="DR148" s="47"/>
      <c r="DS148" s="47"/>
      <c r="DT148" s="47"/>
      <c r="DU148" s="47"/>
      <c r="DV148" s="47"/>
      <c r="DW148" s="47"/>
      <c r="DX148" s="47"/>
      <c r="DY148" s="47"/>
      <c r="DZ148" s="47"/>
      <c r="EA148" s="47"/>
      <c r="EB148" s="47"/>
      <c r="EC148" s="47"/>
      <c r="ED148" s="47"/>
      <c r="EE148" s="47"/>
      <c r="EF148" s="47"/>
      <c r="EG148" s="47"/>
      <c r="EH148" s="47"/>
      <c r="EI148" s="47"/>
      <c r="EJ148" s="47"/>
      <c r="EK148" s="47"/>
      <c r="EL148" s="47"/>
      <c r="EM148" s="47"/>
      <c r="EN148" s="47"/>
      <c r="EO148" s="47"/>
      <c r="EP148" s="47"/>
      <c r="EQ148" s="47"/>
    </row>
    <row r="149" spans="58:147"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  <c r="DL149" s="47"/>
      <c r="DM149" s="47"/>
      <c r="DN149" s="47"/>
      <c r="DO149" s="47"/>
      <c r="DP149" s="47"/>
      <c r="DQ149" s="47"/>
      <c r="DR149" s="47"/>
      <c r="DS149" s="47"/>
      <c r="DT149" s="47"/>
      <c r="DU149" s="47"/>
      <c r="DV149" s="47"/>
      <c r="DW149" s="47"/>
      <c r="DX149" s="47"/>
      <c r="DY149" s="47"/>
      <c r="DZ149" s="47"/>
      <c r="EA149" s="47"/>
      <c r="EB149" s="47"/>
      <c r="EC149" s="47"/>
      <c r="ED149" s="47"/>
      <c r="EE149" s="47"/>
      <c r="EF149" s="47"/>
      <c r="EG149" s="47"/>
      <c r="EH149" s="47"/>
      <c r="EI149" s="47"/>
      <c r="EJ149" s="47"/>
      <c r="EK149" s="47"/>
      <c r="EL149" s="47"/>
      <c r="EM149" s="47"/>
      <c r="EN149" s="47"/>
      <c r="EO149" s="47"/>
      <c r="EP149" s="47"/>
      <c r="EQ149" s="47"/>
    </row>
    <row r="150" spans="58:147"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  <c r="DL150" s="47"/>
      <c r="DM150" s="47"/>
      <c r="DN150" s="47"/>
      <c r="DO150" s="47"/>
      <c r="DP150" s="47"/>
      <c r="DQ150" s="47"/>
      <c r="DR150" s="47"/>
      <c r="DS150" s="47"/>
      <c r="DT150" s="47"/>
      <c r="DU150" s="47"/>
      <c r="DV150" s="47"/>
      <c r="DW150" s="47"/>
      <c r="DX150" s="47"/>
      <c r="DY150" s="47"/>
      <c r="DZ150" s="47"/>
      <c r="EA150" s="47"/>
      <c r="EB150" s="47"/>
      <c r="EC150" s="47"/>
      <c r="ED150" s="47"/>
      <c r="EE150" s="47"/>
      <c r="EF150" s="47"/>
      <c r="EG150" s="47"/>
      <c r="EH150" s="47"/>
      <c r="EI150" s="47"/>
      <c r="EJ150" s="47"/>
      <c r="EK150" s="47"/>
      <c r="EL150" s="47"/>
      <c r="EM150" s="47"/>
      <c r="EN150" s="47"/>
      <c r="EO150" s="47"/>
      <c r="EP150" s="47"/>
      <c r="EQ150" s="47"/>
    </row>
    <row r="151" spans="58:147"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  <c r="CO151" s="47"/>
      <c r="CP151" s="47"/>
      <c r="CQ151" s="47"/>
      <c r="CR151" s="47"/>
      <c r="CS151" s="47"/>
      <c r="CT151" s="47"/>
      <c r="CU151" s="47"/>
      <c r="CV151" s="47"/>
      <c r="CW151" s="47"/>
      <c r="CX151" s="47"/>
      <c r="CY151" s="47"/>
      <c r="CZ151" s="47"/>
      <c r="DA151" s="47"/>
      <c r="DB151" s="47"/>
      <c r="DC151" s="47"/>
      <c r="DD151" s="47"/>
      <c r="DE151" s="47"/>
      <c r="DF151" s="47"/>
      <c r="DG151" s="47"/>
      <c r="DH151" s="47"/>
      <c r="DI151" s="47"/>
      <c r="DJ151" s="47"/>
      <c r="DK151" s="47"/>
      <c r="DL151" s="47"/>
      <c r="DM151" s="47"/>
      <c r="DN151" s="47"/>
      <c r="DO151" s="47"/>
      <c r="DP151" s="47"/>
      <c r="DQ151" s="47"/>
      <c r="DR151" s="47"/>
      <c r="DS151" s="47"/>
      <c r="DT151" s="47"/>
      <c r="DU151" s="47"/>
      <c r="DV151" s="47"/>
      <c r="DW151" s="47"/>
      <c r="DX151" s="47"/>
      <c r="DY151" s="47"/>
      <c r="DZ151" s="47"/>
      <c r="EA151" s="47"/>
      <c r="EB151" s="47"/>
      <c r="EC151" s="47"/>
      <c r="ED151" s="47"/>
      <c r="EE151" s="47"/>
      <c r="EF151" s="47"/>
      <c r="EG151" s="47"/>
      <c r="EH151" s="47"/>
      <c r="EI151" s="47"/>
      <c r="EJ151" s="47"/>
      <c r="EK151" s="47"/>
      <c r="EL151" s="47"/>
      <c r="EM151" s="47"/>
      <c r="EN151" s="47"/>
      <c r="EO151" s="47"/>
      <c r="EP151" s="47"/>
      <c r="EQ151" s="47"/>
    </row>
    <row r="152" spans="58:147"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  <c r="CO152" s="47"/>
      <c r="CP152" s="47"/>
      <c r="CQ152" s="47"/>
      <c r="CR152" s="47"/>
      <c r="CS152" s="47"/>
      <c r="CT152" s="47"/>
      <c r="CU152" s="47"/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7"/>
      <c r="DG152" s="47"/>
      <c r="DH152" s="47"/>
      <c r="DI152" s="47"/>
      <c r="DJ152" s="47"/>
      <c r="DK152" s="47"/>
      <c r="DL152" s="47"/>
      <c r="DM152" s="47"/>
      <c r="DN152" s="47"/>
      <c r="DO152" s="47"/>
      <c r="DP152" s="47"/>
      <c r="DQ152" s="47"/>
      <c r="DR152" s="47"/>
      <c r="DS152" s="47"/>
      <c r="DT152" s="47"/>
      <c r="DU152" s="47"/>
      <c r="DV152" s="47"/>
      <c r="DW152" s="47"/>
      <c r="DX152" s="47"/>
      <c r="DY152" s="47"/>
      <c r="DZ152" s="47"/>
      <c r="EA152" s="47"/>
      <c r="EB152" s="47"/>
      <c r="EC152" s="47"/>
      <c r="ED152" s="47"/>
      <c r="EE152" s="47"/>
      <c r="EF152" s="47"/>
      <c r="EG152" s="47"/>
      <c r="EH152" s="47"/>
      <c r="EI152" s="47"/>
      <c r="EJ152" s="47"/>
      <c r="EK152" s="47"/>
      <c r="EL152" s="47"/>
      <c r="EM152" s="47"/>
      <c r="EN152" s="47"/>
      <c r="EO152" s="47"/>
      <c r="EP152" s="47"/>
      <c r="EQ152" s="47"/>
    </row>
    <row r="153" spans="58:147"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  <c r="CO153" s="47"/>
      <c r="CP153" s="47"/>
      <c r="CQ153" s="47"/>
      <c r="CR153" s="47"/>
      <c r="CS153" s="47"/>
      <c r="CT153" s="47"/>
      <c r="CU153" s="47"/>
      <c r="CV153" s="47"/>
      <c r="CW153" s="47"/>
      <c r="CX153" s="47"/>
      <c r="CY153" s="47"/>
      <c r="CZ153" s="47"/>
      <c r="DA153" s="47"/>
      <c r="DB153" s="47"/>
      <c r="DC153" s="47"/>
      <c r="DD153" s="47"/>
      <c r="DE153" s="47"/>
      <c r="DF153" s="47"/>
      <c r="DG153" s="47"/>
      <c r="DH153" s="47"/>
      <c r="DI153" s="47"/>
      <c r="DJ153" s="47"/>
      <c r="DK153" s="47"/>
      <c r="DL153" s="47"/>
      <c r="DM153" s="47"/>
      <c r="DN153" s="47"/>
      <c r="DO153" s="47"/>
      <c r="DP153" s="47"/>
      <c r="DQ153" s="47"/>
      <c r="DR153" s="47"/>
      <c r="DS153" s="47"/>
      <c r="DT153" s="47"/>
      <c r="DU153" s="47"/>
      <c r="DV153" s="47"/>
      <c r="DW153" s="47"/>
      <c r="DX153" s="47"/>
      <c r="DY153" s="47"/>
      <c r="DZ153" s="47"/>
      <c r="EA153" s="47"/>
      <c r="EB153" s="47"/>
      <c r="EC153" s="47"/>
      <c r="ED153" s="47"/>
      <c r="EE153" s="47"/>
      <c r="EF153" s="47"/>
      <c r="EG153" s="47"/>
      <c r="EH153" s="47"/>
      <c r="EI153" s="47"/>
      <c r="EJ153" s="47"/>
      <c r="EK153" s="47"/>
      <c r="EL153" s="47"/>
      <c r="EM153" s="47"/>
      <c r="EN153" s="47"/>
      <c r="EO153" s="47"/>
      <c r="EP153" s="47"/>
      <c r="EQ153" s="47"/>
    </row>
    <row r="154" spans="58:147"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7"/>
      <c r="CQ154" s="47"/>
      <c r="CR154" s="47"/>
      <c r="CS154" s="47"/>
      <c r="CT154" s="47"/>
      <c r="CU154" s="47"/>
      <c r="CV154" s="47"/>
      <c r="CW154" s="47"/>
      <c r="CX154" s="47"/>
      <c r="CY154" s="47"/>
      <c r="CZ154" s="47"/>
      <c r="DA154" s="47"/>
      <c r="DB154" s="47"/>
      <c r="DC154" s="47"/>
      <c r="DD154" s="47"/>
      <c r="DE154" s="47"/>
      <c r="DF154" s="47"/>
      <c r="DG154" s="47"/>
      <c r="DH154" s="47"/>
      <c r="DI154" s="47"/>
      <c r="DJ154" s="47"/>
      <c r="DK154" s="47"/>
      <c r="DL154" s="47"/>
      <c r="DM154" s="47"/>
      <c r="DN154" s="47"/>
      <c r="DO154" s="47"/>
      <c r="DP154" s="47"/>
      <c r="DQ154" s="47"/>
      <c r="DR154" s="47"/>
      <c r="DS154" s="47"/>
      <c r="DT154" s="47"/>
      <c r="DU154" s="47"/>
      <c r="DV154" s="47"/>
      <c r="DW154" s="47"/>
      <c r="DX154" s="47"/>
      <c r="DY154" s="47"/>
      <c r="DZ154" s="47"/>
      <c r="EA154" s="47"/>
      <c r="EB154" s="47"/>
      <c r="EC154" s="47"/>
      <c r="ED154" s="47"/>
      <c r="EE154" s="47"/>
      <c r="EF154" s="47"/>
      <c r="EG154" s="47"/>
      <c r="EH154" s="47"/>
      <c r="EI154" s="47"/>
      <c r="EJ154" s="47"/>
      <c r="EK154" s="47"/>
      <c r="EL154" s="47"/>
      <c r="EM154" s="47"/>
      <c r="EN154" s="47"/>
      <c r="EO154" s="47"/>
      <c r="EP154" s="47"/>
      <c r="EQ154" s="47"/>
    </row>
    <row r="155" spans="58:147"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  <c r="DL155" s="47"/>
      <c r="DM155" s="47"/>
      <c r="DN155" s="47"/>
      <c r="DO155" s="47"/>
      <c r="DP155" s="47"/>
      <c r="DQ155" s="47"/>
      <c r="DR155" s="47"/>
      <c r="DS155" s="47"/>
      <c r="DT155" s="47"/>
      <c r="DU155" s="47"/>
      <c r="DV155" s="47"/>
      <c r="DW155" s="47"/>
      <c r="DX155" s="47"/>
      <c r="DY155" s="47"/>
      <c r="DZ155" s="47"/>
      <c r="EA155" s="47"/>
      <c r="EB155" s="47"/>
      <c r="EC155" s="47"/>
      <c r="ED155" s="47"/>
      <c r="EE155" s="47"/>
      <c r="EF155" s="47"/>
      <c r="EG155" s="47"/>
      <c r="EH155" s="47"/>
      <c r="EI155" s="47"/>
      <c r="EJ155" s="47"/>
      <c r="EK155" s="47"/>
      <c r="EL155" s="47"/>
      <c r="EM155" s="47"/>
      <c r="EN155" s="47"/>
      <c r="EO155" s="47"/>
      <c r="EP155" s="47"/>
      <c r="EQ155" s="47"/>
    </row>
    <row r="156" spans="58:147"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R156" s="47"/>
      <c r="CS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7"/>
      <c r="DK156" s="47"/>
      <c r="DL156" s="47"/>
      <c r="DM156" s="47"/>
      <c r="DN156" s="47"/>
      <c r="DO156" s="47"/>
      <c r="DP156" s="47"/>
      <c r="DQ156" s="47"/>
      <c r="DR156" s="47"/>
      <c r="DS156" s="47"/>
      <c r="DT156" s="47"/>
      <c r="DU156" s="47"/>
      <c r="DV156" s="47"/>
      <c r="DW156" s="47"/>
      <c r="DX156" s="47"/>
      <c r="DY156" s="47"/>
      <c r="DZ156" s="47"/>
      <c r="EA156" s="47"/>
      <c r="EB156" s="47"/>
      <c r="EC156" s="47"/>
      <c r="ED156" s="47"/>
      <c r="EE156" s="47"/>
      <c r="EF156" s="47"/>
      <c r="EG156" s="47"/>
      <c r="EH156" s="47"/>
      <c r="EI156" s="47"/>
      <c r="EJ156" s="47"/>
      <c r="EK156" s="47"/>
      <c r="EL156" s="47"/>
      <c r="EM156" s="47"/>
      <c r="EN156" s="47"/>
      <c r="EO156" s="47"/>
      <c r="EP156" s="47"/>
      <c r="EQ156" s="47"/>
    </row>
    <row r="157" spans="58:147"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R157" s="47"/>
      <c r="CS157" s="47"/>
      <c r="CT157" s="47"/>
      <c r="CU157" s="47"/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  <c r="DI157" s="47"/>
      <c r="DJ157" s="47"/>
      <c r="DK157" s="47"/>
      <c r="DL157" s="47"/>
      <c r="DM157" s="47"/>
      <c r="DN157" s="47"/>
      <c r="DO157" s="47"/>
      <c r="DP157" s="47"/>
      <c r="DQ157" s="47"/>
      <c r="DR157" s="47"/>
      <c r="DS157" s="47"/>
      <c r="DT157" s="47"/>
      <c r="DU157" s="47"/>
      <c r="DV157" s="47"/>
      <c r="DW157" s="47"/>
      <c r="DX157" s="47"/>
      <c r="DY157" s="47"/>
      <c r="DZ157" s="47"/>
      <c r="EA157" s="47"/>
      <c r="EB157" s="47"/>
      <c r="EC157" s="47"/>
      <c r="ED157" s="47"/>
      <c r="EE157" s="47"/>
      <c r="EF157" s="47"/>
      <c r="EG157" s="47"/>
      <c r="EH157" s="47"/>
      <c r="EI157" s="47"/>
      <c r="EJ157" s="47"/>
      <c r="EK157" s="47"/>
      <c r="EL157" s="47"/>
      <c r="EM157" s="47"/>
      <c r="EN157" s="47"/>
      <c r="EO157" s="47"/>
      <c r="EP157" s="47"/>
      <c r="EQ157" s="47"/>
    </row>
    <row r="158" spans="58:147"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7"/>
      <c r="CQ158" s="47"/>
      <c r="CR158" s="47"/>
      <c r="CS158" s="47"/>
      <c r="CT158" s="47"/>
      <c r="CU158" s="47"/>
      <c r="CV158" s="47"/>
      <c r="CW158" s="47"/>
      <c r="CX158" s="47"/>
      <c r="CY158" s="47"/>
      <c r="CZ158" s="47"/>
      <c r="DA158" s="47"/>
      <c r="DB158" s="47"/>
      <c r="DC158" s="47"/>
      <c r="DD158" s="47"/>
      <c r="DE158" s="47"/>
      <c r="DF158" s="47"/>
      <c r="DG158" s="47"/>
      <c r="DH158" s="47"/>
      <c r="DI158" s="47"/>
      <c r="DJ158" s="47"/>
      <c r="DK158" s="47"/>
      <c r="DL158" s="47"/>
      <c r="DM158" s="47"/>
      <c r="DN158" s="47"/>
      <c r="DO158" s="47"/>
      <c r="DP158" s="47"/>
      <c r="DQ158" s="47"/>
      <c r="DR158" s="47"/>
      <c r="DS158" s="47"/>
      <c r="DT158" s="47"/>
      <c r="DU158" s="47"/>
      <c r="DV158" s="47"/>
      <c r="DW158" s="47"/>
      <c r="DX158" s="47"/>
      <c r="DY158" s="47"/>
      <c r="DZ158" s="47"/>
      <c r="EA158" s="47"/>
      <c r="EB158" s="47"/>
      <c r="EC158" s="47"/>
      <c r="ED158" s="47"/>
      <c r="EE158" s="47"/>
      <c r="EF158" s="47"/>
      <c r="EG158" s="47"/>
      <c r="EH158" s="47"/>
      <c r="EI158" s="47"/>
      <c r="EJ158" s="47"/>
      <c r="EK158" s="47"/>
      <c r="EL158" s="47"/>
      <c r="EM158" s="47"/>
      <c r="EN158" s="47"/>
      <c r="EO158" s="47"/>
      <c r="EP158" s="47"/>
      <c r="EQ158" s="47"/>
    </row>
    <row r="159" spans="58:147"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  <c r="CP159" s="47"/>
      <c r="CQ159" s="47"/>
      <c r="CR159" s="47"/>
      <c r="CS159" s="47"/>
      <c r="CT159" s="47"/>
      <c r="CU159" s="47"/>
      <c r="CV159" s="47"/>
      <c r="CW159" s="47"/>
      <c r="CX159" s="47"/>
      <c r="CY159" s="47"/>
      <c r="CZ159" s="47"/>
      <c r="DA159" s="47"/>
      <c r="DB159" s="47"/>
      <c r="DC159" s="47"/>
      <c r="DD159" s="47"/>
      <c r="DE159" s="47"/>
      <c r="DF159" s="47"/>
      <c r="DG159" s="47"/>
      <c r="DH159" s="47"/>
      <c r="DI159" s="47"/>
      <c r="DJ159" s="47"/>
      <c r="DK159" s="47"/>
      <c r="DL159" s="47"/>
      <c r="DM159" s="47"/>
      <c r="DN159" s="47"/>
      <c r="DO159" s="47"/>
      <c r="DP159" s="47"/>
      <c r="DQ159" s="47"/>
      <c r="DR159" s="47"/>
      <c r="DS159" s="47"/>
      <c r="DT159" s="47"/>
      <c r="DU159" s="47"/>
      <c r="DV159" s="47"/>
      <c r="DW159" s="47"/>
      <c r="DX159" s="47"/>
      <c r="DY159" s="47"/>
      <c r="DZ159" s="47"/>
      <c r="EA159" s="47"/>
      <c r="EB159" s="47"/>
      <c r="EC159" s="47"/>
      <c r="ED159" s="47"/>
      <c r="EE159" s="47"/>
      <c r="EF159" s="47"/>
      <c r="EG159" s="47"/>
      <c r="EH159" s="47"/>
      <c r="EI159" s="47"/>
      <c r="EJ159" s="47"/>
      <c r="EK159" s="47"/>
      <c r="EL159" s="47"/>
      <c r="EM159" s="47"/>
      <c r="EN159" s="47"/>
      <c r="EO159" s="47"/>
      <c r="EP159" s="47"/>
      <c r="EQ159" s="47"/>
    </row>
    <row r="160" spans="58:147"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  <c r="CP160" s="47"/>
      <c r="CQ160" s="47"/>
      <c r="CR160" s="47"/>
      <c r="CS160" s="47"/>
      <c r="CT160" s="47"/>
      <c r="CU160" s="47"/>
      <c r="CV160" s="47"/>
      <c r="CW160" s="47"/>
      <c r="CX160" s="47"/>
      <c r="CY160" s="47"/>
      <c r="CZ160" s="47"/>
      <c r="DA160" s="47"/>
      <c r="DB160" s="47"/>
      <c r="DC160" s="47"/>
      <c r="DD160" s="47"/>
      <c r="DE160" s="47"/>
      <c r="DF160" s="47"/>
      <c r="DG160" s="47"/>
      <c r="DH160" s="47"/>
      <c r="DI160" s="47"/>
      <c r="DJ160" s="47"/>
      <c r="DK160" s="47"/>
      <c r="DL160" s="47"/>
      <c r="DM160" s="47"/>
      <c r="DN160" s="47"/>
      <c r="DO160" s="47"/>
      <c r="DP160" s="47"/>
      <c r="DQ160" s="47"/>
      <c r="DR160" s="47"/>
      <c r="DS160" s="47"/>
      <c r="DT160" s="47"/>
      <c r="DU160" s="47"/>
      <c r="DV160" s="47"/>
      <c r="DW160" s="47"/>
      <c r="DX160" s="47"/>
      <c r="DY160" s="47"/>
      <c r="DZ160" s="47"/>
      <c r="EA160" s="47"/>
      <c r="EB160" s="47"/>
      <c r="EC160" s="47"/>
      <c r="ED160" s="47"/>
      <c r="EE160" s="47"/>
      <c r="EF160" s="47"/>
      <c r="EG160" s="47"/>
      <c r="EH160" s="47"/>
      <c r="EI160" s="47"/>
      <c r="EJ160" s="47"/>
      <c r="EK160" s="47"/>
      <c r="EL160" s="47"/>
      <c r="EM160" s="47"/>
      <c r="EN160" s="47"/>
      <c r="EO160" s="47"/>
      <c r="EP160" s="47"/>
      <c r="EQ160" s="47"/>
    </row>
    <row r="161" spans="58:147"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R161" s="47"/>
      <c r="CS161" s="47"/>
      <c r="CT161" s="47"/>
      <c r="CU161" s="47"/>
      <c r="CV161" s="47"/>
      <c r="CW161" s="47"/>
      <c r="CX161" s="47"/>
      <c r="CY161" s="47"/>
      <c r="CZ161" s="47"/>
      <c r="DA161" s="47"/>
      <c r="DB161" s="47"/>
      <c r="DC161" s="47"/>
      <c r="DD161" s="47"/>
      <c r="DE161" s="47"/>
      <c r="DF161" s="47"/>
      <c r="DG161" s="47"/>
      <c r="DH161" s="47"/>
      <c r="DI161" s="47"/>
      <c r="DJ161" s="47"/>
      <c r="DK161" s="47"/>
      <c r="DL161" s="47"/>
      <c r="DM161" s="47"/>
      <c r="DN161" s="47"/>
      <c r="DO161" s="47"/>
      <c r="DP161" s="47"/>
      <c r="DQ161" s="47"/>
      <c r="DR161" s="47"/>
      <c r="DS161" s="47"/>
      <c r="DT161" s="47"/>
      <c r="DU161" s="47"/>
      <c r="DV161" s="47"/>
      <c r="DW161" s="47"/>
      <c r="DX161" s="47"/>
      <c r="DY161" s="47"/>
      <c r="DZ161" s="47"/>
      <c r="EA161" s="47"/>
      <c r="EB161" s="47"/>
      <c r="EC161" s="47"/>
      <c r="ED161" s="47"/>
      <c r="EE161" s="47"/>
      <c r="EF161" s="47"/>
      <c r="EG161" s="47"/>
      <c r="EH161" s="47"/>
      <c r="EI161" s="47"/>
      <c r="EJ161" s="47"/>
      <c r="EK161" s="47"/>
      <c r="EL161" s="47"/>
      <c r="EM161" s="47"/>
      <c r="EN161" s="47"/>
      <c r="EO161" s="47"/>
      <c r="EP161" s="47"/>
      <c r="EQ161" s="47"/>
    </row>
    <row r="162" spans="58:147"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R162" s="47"/>
      <c r="CS162" s="47"/>
      <c r="CT162" s="47"/>
      <c r="CU162" s="47"/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  <c r="DI162" s="47"/>
      <c r="DJ162" s="47"/>
      <c r="DK162" s="47"/>
      <c r="DL162" s="47"/>
      <c r="DM162" s="47"/>
      <c r="DN162" s="47"/>
      <c r="DO162" s="47"/>
      <c r="DP162" s="47"/>
      <c r="DQ162" s="47"/>
      <c r="DR162" s="47"/>
      <c r="DS162" s="47"/>
      <c r="DT162" s="47"/>
      <c r="DU162" s="47"/>
      <c r="DV162" s="47"/>
      <c r="DW162" s="47"/>
      <c r="DX162" s="47"/>
      <c r="DY162" s="47"/>
      <c r="DZ162" s="47"/>
      <c r="EA162" s="47"/>
      <c r="EB162" s="47"/>
      <c r="EC162" s="47"/>
      <c r="ED162" s="47"/>
      <c r="EE162" s="47"/>
      <c r="EF162" s="47"/>
      <c r="EG162" s="47"/>
      <c r="EH162" s="47"/>
      <c r="EI162" s="47"/>
      <c r="EJ162" s="47"/>
      <c r="EK162" s="47"/>
      <c r="EL162" s="47"/>
      <c r="EM162" s="47"/>
      <c r="EN162" s="47"/>
      <c r="EO162" s="47"/>
      <c r="EP162" s="47"/>
      <c r="EQ162" s="47"/>
    </row>
    <row r="163" spans="58:147"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R163" s="47"/>
      <c r="CS163" s="47"/>
      <c r="CT163" s="47"/>
      <c r="CU163" s="47"/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  <c r="DI163" s="47"/>
      <c r="DJ163" s="47"/>
      <c r="DK163" s="47"/>
      <c r="DL163" s="47"/>
      <c r="DM163" s="47"/>
      <c r="DN163" s="47"/>
      <c r="DO163" s="47"/>
      <c r="DP163" s="47"/>
      <c r="DQ163" s="47"/>
      <c r="DR163" s="47"/>
      <c r="DS163" s="47"/>
      <c r="DT163" s="47"/>
      <c r="DU163" s="47"/>
      <c r="DV163" s="47"/>
      <c r="DW163" s="47"/>
      <c r="DX163" s="47"/>
      <c r="DY163" s="47"/>
      <c r="DZ163" s="47"/>
      <c r="EA163" s="47"/>
      <c r="EB163" s="47"/>
      <c r="EC163" s="47"/>
      <c r="ED163" s="47"/>
      <c r="EE163" s="47"/>
      <c r="EF163" s="47"/>
      <c r="EG163" s="47"/>
      <c r="EH163" s="47"/>
      <c r="EI163" s="47"/>
      <c r="EJ163" s="47"/>
      <c r="EK163" s="47"/>
      <c r="EL163" s="47"/>
      <c r="EM163" s="47"/>
      <c r="EN163" s="47"/>
      <c r="EO163" s="47"/>
      <c r="EP163" s="47"/>
      <c r="EQ163" s="47"/>
    </row>
    <row r="164" spans="58:147"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  <c r="CO164" s="47"/>
      <c r="CP164" s="47"/>
      <c r="CQ164" s="47"/>
      <c r="CR164" s="47"/>
      <c r="CS164" s="47"/>
      <c r="CT164" s="47"/>
      <c r="CU164" s="47"/>
      <c r="CV164" s="47"/>
      <c r="CW164" s="47"/>
      <c r="CX164" s="47"/>
      <c r="CY164" s="47"/>
      <c r="CZ164" s="47"/>
      <c r="DA164" s="47"/>
      <c r="DB164" s="47"/>
      <c r="DC164" s="47"/>
      <c r="DD164" s="47"/>
      <c r="DE164" s="47"/>
      <c r="DF164" s="47"/>
      <c r="DG164" s="47"/>
      <c r="DH164" s="47"/>
      <c r="DI164" s="47"/>
      <c r="DJ164" s="47"/>
      <c r="DK164" s="47"/>
      <c r="DL164" s="47"/>
      <c r="DM164" s="47"/>
      <c r="DN164" s="47"/>
      <c r="DO164" s="47"/>
      <c r="DP164" s="47"/>
      <c r="DQ164" s="47"/>
      <c r="DR164" s="47"/>
      <c r="DS164" s="47"/>
      <c r="DT164" s="47"/>
      <c r="DU164" s="47"/>
      <c r="DV164" s="47"/>
      <c r="DW164" s="47"/>
      <c r="DX164" s="47"/>
      <c r="DY164" s="47"/>
      <c r="DZ164" s="47"/>
      <c r="EA164" s="47"/>
      <c r="EB164" s="47"/>
      <c r="EC164" s="47"/>
      <c r="ED164" s="47"/>
      <c r="EE164" s="47"/>
      <c r="EF164" s="47"/>
      <c r="EG164" s="47"/>
      <c r="EH164" s="47"/>
      <c r="EI164" s="47"/>
      <c r="EJ164" s="47"/>
      <c r="EK164" s="47"/>
      <c r="EL164" s="47"/>
      <c r="EM164" s="47"/>
      <c r="EN164" s="47"/>
      <c r="EO164" s="47"/>
      <c r="EP164" s="47"/>
      <c r="EQ164" s="47"/>
    </row>
    <row r="165" spans="58:147"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  <c r="DL165" s="47"/>
      <c r="DM165" s="47"/>
      <c r="DN165" s="47"/>
      <c r="DO165" s="47"/>
      <c r="DP165" s="47"/>
      <c r="DQ165" s="47"/>
      <c r="DR165" s="47"/>
      <c r="DS165" s="47"/>
      <c r="DT165" s="47"/>
      <c r="DU165" s="47"/>
      <c r="DV165" s="47"/>
      <c r="DW165" s="47"/>
      <c r="DX165" s="47"/>
      <c r="DY165" s="47"/>
      <c r="DZ165" s="47"/>
      <c r="EA165" s="47"/>
      <c r="EB165" s="47"/>
      <c r="EC165" s="47"/>
      <c r="ED165" s="47"/>
      <c r="EE165" s="47"/>
      <c r="EF165" s="47"/>
      <c r="EG165" s="47"/>
      <c r="EH165" s="47"/>
      <c r="EI165" s="47"/>
      <c r="EJ165" s="47"/>
      <c r="EK165" s="47"/>
      <c r="EL165" s="47"/>
      <c r="EM165" s="47"/>
      <c r="EN165" s="47"/>
      <c r="EO165" s="47"/>
      <c r="EP165" s="47"/>
      <c r="EQ165" s="47"/>
    </row>
    <row r="166" spans="58:147"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R166" s="47"/>
      <c r="CS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7"/>
      <c r="DK166" s="47"/>
      <c r="DL166" s="47"/>
      <c r="DM166" s="47"/>
      <c r="DN166" s="47"/>
      <c r="DO166" s="47"/>
      <c r="DP166" s="47"/>
      <c r="DQ166" s="47"/>
      <c r="DR166" s="47"/>
      <c r="DS166" s="47"/>
      <c r="DT166" s="47"/>
      <c r="DU166" s="47"/>
      <c r="DV166" s="47"/>
      <c r="DW166" s="47"/>
      <c r="DX166" s="47"/>
      <c r="DY166" s="47"/>
      <c r="DZ166" s="47"/>
      <c r="EA166" s="47"/>
      <c r="EB166" s="47"/>
      <c r="EC166" s="47"/>
      <c r="ED166" s="47"/>
      <c r="EE166" s="47"/>
      <c r="EF166" s="47"/>
      <c r="EG166" s="47"/>
      <c r="EH166" s="47"/>
      <c r="EI166" s="47"/>
      <c r="EJ166" s="47"/>
      <c r="EK166" s="47"/>
      <c r="EL166" s="47"/>
      <c r="EM166" s="47"/>
      <c r="EN166" s="47"/>
      <c r="EO166" s="47"/>
      <c r="EP166" s="47"/>
      <c r="EQ166" s="47"/>
    </row>
    <row r="167" spans="58:147"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  <c r="DL167" s="47"/>
      <c r="DM167" s="47"/>
      <c r="DN167" s="47"/>
      <c r="DO167" s="47"/>
      <c r="DP167" s="47"/>
      <c r="DQ167" s="47"/>
      <c r="DR167" s="47"/>
      <c r="DS167" s="47"/>
      <c r="DT167" s="47"/>
      <c r="DU167" s="47"/>
      <c r="DV167" s="47"/>
      <c r="DW167" s="47"/>
      <c r="DX167" s="47"/>
      <c r="DY167" s="47"/>
      <c r="DZ167" s="47"/>
      <c r="EA167" s="47"/>
      <c r="EB167" s="47"/>
      <c r="EC167" s="47"/>
      <c r="ED167" s="47"/>
      <c r="EE167" s="47"/>
      <c r="EF167" s="47"/>
      <c r="EG167" s="47"/>
      <c r="EH167" s="47"/>
      <c r="EI167" s="47"/>
      <c r="EJ167" s="47"/>
      <c r="EK167" s="47"/>
      <c r="EL167" s="47"/>
      <c r="EM167" s="47"/>
      <c r="EN167" s="47"/>
      <c r="EO167" s="47"/>
      <c r="EP167" s="47"/>
      <c r="EQ167" s="47"/>
    </row>
    <row r="168" spans="58:147"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7"/>
      <c r="DK168" s="47"/>
      <c r="DL168" s="47"/>
      <c r="DM168" s="47"/>
      <c r="DN168" s="47"/>
      <c r="DO168" s="47"/>
      <c r="DP168" s="47"/>
      <c r="DQ168" s="47"/>
      <c r="DR168" s="47"/>
      <c r="DS168" s="47"/>
      <c r="DT168" s="47"/>
      <c r="DU168" s="47"/>
      <c r="DV168" s="47"/>
      <c r="DW168" s="47"/>
      <c r="DX168" s="47"/>
      <c r="DY168" s="47"/>
      <c r="DZ168" s="47"/>
      <c r="EA168" s="47"/>
      <c r="EB168" s="47"/>
      <c r="EC168" s="47"/>
      <c r="ED168" s="47"/>
      <c r="EE168" s="47"/>
      <c r="EF168" s="47"/>
      <c r="EG168" s="47"/>
      <c r="EH168" s="47"/>
      <c r="EI168" s="47"/>
      <c r="EJ168" s="47"/>
      <c r="EK168" s="47"/>
      <c r="EL168" s="47"/>
      <c r="EM168" s="47"/>
      <c r="EN168" s="47"/>
      <c r="EO168" s="47"/>
      <c r="EP168" s="47"/>
      <c r="EQ168" s="47"/>
    </row>
    <row r="169" spans="58:147"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7"/>
      <c r="DK169" s="47"/>
      <c r="DL169" s="47"/>
      <c r="DM169" s="47"/>
      <c r="DN169" s="47"/>
      <c r="DO169" s="47"/>
      <c r="DP169" s="47"/>
      <c r="DQ169" s="47"/>
      <c r="DR169" s="47"/>
      <c r="DS169" s="47"/>
      <c r="DT169" s="47"/>
      <c r="DU169" s="47"/>
      <c r="DV169" s="47"/>
      <c r="DW169" s="47"/>
      <c r="DX169" s="47"/>
      <c r="DY169" s="47"/>
      <c r="DZ169" s="47"/>
      <c r="EA169" s="47"/>
      <c r="EB169" s="47"/>
      <c r="EC169" s="47"/>
      <c r="ED169" s="47"/>
      <c r="EE169" s="47"/>
      <c r="EF169" s="47"/>
      <c r="EG169" s="47"/>
      <c r="EH169" s="47"/>
      <c r="EI169" s="47"/>
      <c r="EJ169" s="47"/>
      <c r="EK169" s="47"/>
      <c r="EL169" s="47"/>
      <c r="EM169" s="47"/>
      <c r="EN169" s="47"/>
      <c r="EO169" s="47"/>
      <c r="EP169" s="47"/>
      <c r="EQ169" s="47"/>
    </row>
    <row r="170" spans="58:147"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  <c r="DL170" s="47"/>
      <c r="DM170" s="47"/>
      <c r="DN170" s="47"/>
      <c r="DO170" s="47"/>
      <c r="DP170" s="47"/>
      <c r="DQ170" s="47"/>
      <c r="DR170" s="47"/>
      <c r="DS170" s="47"/>
      <c r="DT170" s="47"/>
      <c r="DU170" s="47"/>
      <c r="DV170" s="47"/>
      <c r="DW170" s="47"/>
      <c r="DX170" s="47"/>
      <c r="DY170" s="47"/>
      <c r="DZ170" s="47"/>
      <c r="EA170" s="47"/>
      <c r="EB170" s="47"/>
      <c r="EC170" s="47"/>
      <c r="ED170" s="47"/>
      <c r="EE170" s="47"/>
      <c r="EF170" s="47"/>
      <c r="EG170" s="47"/>
      <c r="EH170" s="47"/>
      <c r="EI170" s="47"/>
      <c r="EJ170" s="47"/>
      <c r="EK170" s="47"/>
      <c r="EL170" s="47"/>
      <c r="EM170" s="47"/>
      <c r="EN170" s="47"/>
      <c r="EO170" s="47"/>
      <c r="EP170" s="47"/>
      <c r="EQ170" s="47"/>
    </row>
    <row r="171" spans="58:147"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  <c r="DL171" s="47"/>
      <c r="DM171" s="47"/>
      <c r="DN171" s="47"/>
      <c r="DO171" s="47"/>
      <c r="DP171" s="47"/>
      <c r="DQ171" s="47"/>
      <c r="DR171" s="47"/>
      <c r="DS171" s="47"/>
      <c r="DT171" s="47"/>
      <c r="DU171" s="47"/>
      <c r="DV171" s="47"/>
      <c r="DW171" s="47"/>
      <c r="DX171" s="47"/>
      <c r="DY171" s="47"/>
      <c r="DZ171" s="47"/>
      <c r="EA171" s="47"/>
      <c r="EB171" s="47"/>
      <c r="EC171" s="47"/>
      <c r="ED171" s="47"/>
      <c r="EE171" s="47"/>
      <c r="EF171" s="47"/>
      <c r="EG171" s="47"/>
      <c r="EH171" s="47"/>
      <c r="EI171" s="47"/>
      <c r="EJ171" s="47"/>
      <c r="EK171" s="47"/>
      <c r="EL171" s="47"/>
      <c r="EM171" s="47"/>
      <c r="EN171" s="47"/>
      <c r="EO171" s="47"/>
      <c r="EP171" s="47"/>
      <c r="EQ171" s="47"/>
    </row>
    <row r="172" spans="58:147"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  <c r="DS172" s="47"/>
      <c r="DT172" s="47"/>
      <c r="DU172" s="47"/>
      <c r="DV172" s="47"/>
      <c r="DW172" s="47"/>
      <c r="DX172" s="47"/>
      <c r="DY172" s="47"/>
      <c r="DZ172" s="47"/>
      <c r="EA172" s="47"/>
      <c r="EB172" s="47"/>
      <c r="EC172" s="47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</row>
    <row r="173" spans="58:147"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47"/>
      <c r="DN173" s="47"/>
      <c r="DO173" s="47"/>
      <c r="DP173" s="47"/>
      <c r="DQ173" s="47"/>
      <c r="DR173" s="47"/>
      <c r="DS173" s="47"/>
      <c r="DT173" s="47"/>
      <c r="DU173" s="47"/>
      <c r="DV173" s="47"/>
      <c r="DW173" s="47"/>
      <c r="DX173" s="47"/>
      <c r="DY173" s="47"/>
      <c r="DZ173" s="47"/>
      <c r="EA173" s="47"/>
      <c r="EB173" s="47"/>
      <c r="EC173" s="47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</row>
    <row r="174" spans="58:147"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  <c r="DL174" s="47"/>
      <c r="DM174" s="47"/>
      <c r="DN174" s="47"/>
      <c r="DO174" s="47"/>
      <c r="DP174" s="47"/>
      <c r="DQ174" s="47"/>
      <c r="DR174" s="47"/>
      <c r="DS174" s="47"/>
      <c r="DT174" s="47"/>
      <c r="DU174" s="47"/>
      <c r="DV174" s="47"/>
      <c r="DW174" s="47"/>
      <c r="DX174" s="47"/>
      <c r="DY174" s="47"/>
      <c r="DZ174" s="47"/>
      <c r="EA174" s="47"/>
      <c r="EB174" s="47"/>
      <c r="EC174" s="47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</row>
    <row r="175" spans="58:147"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47"/>
      <c r="DN175" s="47"/>
      <c r="DO175" s="47"/>
      <c r="DP175" s="47"/>
      <c r="DQ175" s="47"/>
      <c r="DR175" s="47"/>
      <c r="DS175" s="47"/>
      <c r="DT175" s="47"/>
      <c r="DU175" s="47"/>
      <c r="DV175" s="47"/>
      <c r="DW175" s="47"/>
      <c r="DX175" s="47"/>
      <c r="DY175" s="47"/>
      <c r="DZ175" s="47"/>
      <c r="EA175" s="47"/>
      <c r="EB175" s="47"/>
      <c r="EC175" s="47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</row>
    <row r="176" spans="58:147"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  <c r="DL176" s="47"/>
      <c r="DM176" s="47"/>
      <c r="DN176" s="47"/>
      <c r="DO176" s="47"/>
      <c r="DP176" s="47"/>
      <c r="DQ176" s="47"/>
      <c r="DR176" s="47"/>
      <c r="DS176" s="47"/>
      <c r="DT176" s="47"/>
      <c r="DU176" s="47"/>
      <c r="DV176" s="47"/>
      <c r="DW176" s="47"/>
      <c r="DX176" s="47"/>
      <c r="DY176" s="47"/>
      <c r="DZ176" s="47"/>
      <c r="EA176" s="47"/>
      <c r="EB176" s="47"/>
      <c r="EC176" s="47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</row>
    <row r="177" spans="58:147"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  <c r="DL177" s="47"/>
      <c r="DM177" s="47"/>
      <c r="DN177" s="47"/>
      <c r="DO177" s="47"/>
      <c r="DP177" s="47"/>
      <c r="DQ177" s="47"/>
      <c r="DR177" s="47"/>
      <c r="DS177" s="47"/>
      <c r="DT177" s="47"/>
      <c r="DU177" s="47"/>
      <c r="DV177" s="47"/>
      <c r="DW177" s="47"/>
      <c r="DX177" s="47"/>
      <c r="DY177" s="47"/>
      <c r="DZ177" s="47"/>
      <c r="EA177" s="47"/>
      <c r="EB177" s="47"/>
      <c r="EC177" s="47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</row>
    <row r="178" spans="58:147"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/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/>
      <c r="EK178" s="47"/>
      <c r="EL178" s="47"/>
      <c r="EM178" s="47"/>
      <c r="EN178" s="47"/>
      <c r="EO178" s="47"/>
      <c r="EP178" s="47"/>
      <c r="EQ178" s="47"/>
    </row>
    <row r="179" spans="58:147"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</row>
    <row r="180" spans="58:147"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</row>
    <row r="181" spans="58:147"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</row>
    <row r="182" spans="58:147"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  <c r="DL182" s="47"/>
      <c r="DM182" s="47"/>
      <c r="DN182" s="47"/>
      <c r="DO182" s="47"/>
      <c r="DP182" s="47"/>
      <c r="DQ182" s="47"/>
      <c r="DR182" s="47"/>
      <c r="DS182" s="47"/>
      <c r="DT182" s="47"/>
      <c r="DU182" s="47"/>
      <c r="DV182" s="47"/>
      <c r="DW182" s="47"/>
      <c r="DX182" s="47"/>
      <c r="DY182" s="47"/>
      <c r="DZ182" s="47"/>
      <c r="EA182" s="47"/>
      <c r="EB182" s="47"/>
      <c r="EC182" s="47"/>
      <c r="ED182" s="47"/>
      <c r="EE182" s="47"/>
      <c r="EF182" s="47"/>
      <c r="EG182" s="47"/>
      <c r="EH182" s="47"/>
      <c r="EI182" s="47"/>
      <c r="EJ182" s="47"/>
      <c r="EK182" s="47"/>
      <c r="EL182" s="47"/>
      <c r="EM182" s="47"/>
      <c r="EN182" s="47"/>
      <c r="EO182" s="47"/>
      <c r="EP182" s="47"/>
      <c r="EQ182" s="47"/>
    </row>
    <row r="183" spans="58:147"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  <c r="DL183" s="47"/>
      <c r="DM183" s="47"/>
      <c r="DN183" s="47"/>
      <c r="DO183" s="47"/>
      <c r="DP183" s="47"/>
      <c r="DQ183" s="47"/>
      <c r="DR183" s="47"/>
      <c r="DS183" s="47"/>
      <c r="DT183" s="47"/>
      <c r="DU183" s="47"/>
      <c r="DV183" s="47"/>
      <c r="DW183" s="47"/>
      <c r="DX183" s="47"/>
      <c r="DY183" s="47"/>
      <c r="DZ183" s="47"/>
      <c r="EA183" s="47"/>
      <c r="EB183" s="47"/>
      <c r="EC183" s="47"/>
      <c r="ED183" s="47"/>
      <c r="EE183" s="47"/>
      <c r="EF183" s="47"/>
      <c r="EG183" s="47"/>
      <c r="EH183" s="47"/>
      <c r="EI183" s="47"/>
      <c r="EJ183" s="47"/>
      <c r="EK183" s="47"/>
      <c r="EL183" s="47"/>
      <c r="EM183" s="47"/>
      <c r="EN183" s="47"/>
      <c r="EO183" s="47"/>
      <c r="EP183" s="47"/>
      <c r="EQ183" s="47"/>
    </row>
    <row r="184" spans="58:147"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  <c r="DL184" s="47"/>
      <c r="DM184" s="47"/>
      <c r="DN184" s="47"/>
      <c r="DO184" s="47"/>
      <c r="DP184" s="47"/>
      <c r="DQ184" s="47"/>
      <c r="DR184" s="47"/>
      <c r="DS184" s="47"/>
      <c r="DT184" s="47"/>
      <c r="DU184" s="47"/>
      <c r="DV184" s="47"/>
      <c r="DW184" s="47"/>
      <c r="DX184" s="47"/>
      <c r="DY184" s="47"/>
      <c r="DZ184" s="47"/>
      <c r="EA184" s="47"/>
      <c r="EB184" s="47"/>
      <c r="EC184" s="47"/>
      <c r="ED184" s="47"/>
      <c r="EE184" s="47"/>
      <c r="EF184" s="47"/>
      <c r="EG184" s="47"/>
      <c r="EH184" s="47"/>
      <c r="EI184" s="47"/>
      <c r="EJ184" s="47"/>
      <c r="EK184" s="47"/>
      <c r="EL184" s="47"/>
      <c r="EM184" s="47"/>
      <c r="EN184" s="47"/>
      <c r="EO184" s="47"/>
      <c r="EP184" s="47"/>
      <c r="EQ184" s="47"/>
    </row>
    <row r="185" spans="58:147"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  <c r="DL185" s="47"/>
      <c r="DM185" s="47"/>
      <c r="DN185" s="47"/>
      <c r="DO185" s="47"/>
      <c r="DP185" s="47"/>
      <c r="DQ185" s="47"/>
      <c r="DR185" s="47"/>
      <c r="DS185" s="47"/>
      <c r="DT185" s="47"/>
      <c r="DU185" s="47"/>
      <c r="DV185" s="47"/>
      <c r="DW185" s="47"/>
      <c r="DX185" s="47"/>
      <c r="DY185" s="47"/>
      <c r="DZ185" s="47"/>
      <c r="EA185" s="47"/>
      <c r="EB185" s="47"/>
      <c r="EC185" s="47"/>
      <c r="ED185" s="47"/>
      <c r="EE185" s="47"/>
      <c r="EF185" s="47"/>
      <c r="EG185" s="47"/>
      <c r="EH185" s="47"/>
      <c r="EI185" s="47"/>
      <c r="EJ185" s="47"/>
      <c r="EK185" s="47"/>
      <c r="EL185" s="47"/>
      <c r="EM185" s="47"/>
      <c r="EN185" s="47"/>
      <c r="EO185" s="47"/>
      <c r="EP185" s="47"/>
      <c r="EQ185" s="47"/>
    </row>
    <row r="186" spans="58:147"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  <c r="CS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  <c r="DL186" s="47"/>
      <c r="DM186" s="47"/>
      <c r="DN186" s="47"/>
      <c r="DO186" s="47"/>
      <c r="DP186" s="47"/>
      <c r="DQ186" s="47"/>
      <c r="DR186" s="47"/>
      <c r="DS186" s="47"/>
      <c r="DT186" s="47"/>
      <c r="DU186" s="47"/>
      <c r="DV186" s="47"/>
      <c r="DW186" s="47"/>
      <c r="DX186" s="47"/>
      <c r="DY186" s="47"/>
      <c r="DZ186" s="47"/>
      <c r="EA186" s="47"/>
      <c r="EB186" s="47"/>
      <c r="EC186" s="47"/>
      <c r="ED186" s="47"/>
      <c r="EE186" s="47"/>
      <c r="EF186" s="47"/>
      <c r="EG186" s="47"/>
      <c r="EH186" s="47"/>
      <c r="EI186" s="47"/>
      <c r="EJ186" s="47"/>
      <c r="EK186" s="47"/>
      <c r="EL186" s="47"/>
      <c r="EM186" s="47"/>
      <c r="EN186" s="47"/>
      <c r="EO186" s="47"/>
      <c r="EP186" s="47"/>
      <c r="EQ186" s="47"/>
    </row>
    <row r="187" spans="58:147"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  <c r="CS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  <c r="DI187" s="47"/>
      <c r="DJ187" s="47"/>
      <c r="DK187" s="47"/>
      <c r="DL187" s="47"/>
      <c r="DM187" s="47"/>
      <c r="DN187" s="47"/>
      <c r="DO187" s="47"/>
      <c r="DP187" s="47"/>
      <c r="DQ187" s="47"/>
      <c r="DR187" s="47"/>
      <c r="DS187" s="47"/>
      <c r="DT187" s="47"/>
      <c r="DU187" s="47"/>
      <c r="DV187" s="47"/>
      <c r="DW187" s="47"/>
      <c r="DX187" s="47"/>
      <c r="DY187" s="47"/>
      <c r="DZ187" s="47"/>
      <c r="EA187" s="47"/>
      <c r="EB187" s="47"/>
      <c r="EC187" s="47"/>
      <c r="ED187" s="47"/>
      <c r="EE187" s="47"/>
      <c r="EF187" s="47"/>
      <c r="EG187" s="47"/>
      <c r="EH187" s="47"/>
      <c r="EI187" s="47"/>
      <c r="EJ187" s="47"/>
      <c r="EK187" s="47"/>
      <c r="EL187" s="47"/>
      <c r="EM187" s="47"/>
      <c r="EN187" s="47"/>
      <c r="EO187" s="47"/>
      <c r="EP187" s="47"/>
      <c r="EQ187" s="47"/>
    </row>
    <row r="188" spans="58:147"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  <c r="CS188" s="47"/>
      <c r="CT188" s="47"/>
      <c r="CU188" s="47"/>
      <c r="CV188" s="47"/>
      <c r="CW188" s="47"/>
      <c r="CX188" s="47"/>
      <c r="CY188" s="47"/>
      <c r="CZ188" s="47"/>
      <c r="DA188" s="47"/>
      <c r="DB188" s="47"/>
      <c r="DC188" s="47"/>
      <c r="DD188" s="47"/>
      <c r="DE188" s="47"/>
      <c r="DF188" s="47"/>
      <c r="DG188" s="47"/>
      <c r="DH188" s="47"/>
      <c r="DI188" s="47"/>
      <c r="DJ188" s="47"/>
      <c r="DK188" s="47"/>
      <c r="DL188" s="47"/>
      <c r="DM188" s="47"/>
      <c r="DN188" s="47"/>
      <c r="DO188" s="47"/>
      <c r="DP188" s="47"/>
      <c r="DQ188" s="47"/>
      <c r="DR188" s="47"/>
      <c r="DS188" s="47"/>
      <c r="DT188" s="47"/>
      <c r="DU188" s="47"/>
      <c r="DV188" s="47"/>
      <c r="DW188" s="47"/>
      <c r="DX188" s="47"/>
      <c r="DY188" s="47"/>
      <c r="DZ188" s="47"/>
      <c r="EA188" s="47"/>
      <c r="EB188" s="47"/>
      <c r="EC188" s="47"/>
      <c r="ED188" s="47"/>
      <c r="EE188" s="47"/>
      <c r="EF188" s="47"/>
      <c r="EG188" s="47"/>
      <c r="EH188" s="47"/>
      <c r="EI188" s="47"/>
      <c r="EJ188" s="47"/>
      <c r="EK188" s="47"/>
      <c r="EL188" s="47"/>
      <c r="EM188" s="47"/>
      <c r="EN188" s="47"/>
      <c r="EO188" s="47"/>
      <c r="EP188" s="47"/>
      <c r="EQ188" s="47"/>
    </row>
    <row r="189" spans="58:147"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  <c r="CY189" s="47"/>
      <c r="CZ189" s="47"/>
      <c r="DA189" s="47"/>
      <c r="DB189" s="47"/>
      <c r="DC189" s="47"/>
      <c r="DD189" s="47"/>
      <c r="DE189" s="47"/>
      <c r="DF189" s="47"/>
      <c r="DG189" s="47"/>
      <c r="DH189" s="47"/>
      <c r="DI189" s="47"/>
      <c r="DJ189" s="47"/>
      <c r="DK189" s="47"/>
      <c r="DL189" s="47"/>
      <c r="DM189" s="47"/>
      <c r="DN189" s="47"/>
      <c r="DO189" s="47"/>
      <c r="DP189" s="47"/>
      <c r="DQ189" s="47"/>
      <c r="DR189" s="47"/>
      <c r="DS189" s="47"/>
      <c r="DT189" s="47"/>
      <c r="DU189" s="47"/>
      <c r="DV189" s="47"/>
      <c r="DW189" s="47"/>
      <c r="DX189" s="47"/>
      <c r="DY189" s="47"/>
      <c r="DZ189" s="47"/>
      <c r="EA189" s="47"/>
      <c r="EB189" s="47"/>
      <c r="EC189" s="47"/>
      <c r="ED189" s="47"/>
      <c r="EE189" s="47"/>
      <c r="EF189" s="47"/>
      <c r="EG189" s="47"/>
      <c r="EH189" s="47"/>
      <c r="EI189" s="47"/>
      <c r="EJ189" s="47"/>
      <c r="EK189" s="47"/>
      <c r="EL189" s="47"/>
      <c r="EM189" s="47"/>
      <c r="EN189" s="47"/>
      <c r="EO189" s="47"/>
      <c r="EP189" s="47"/>
      <c r="EQ189" s="47"/>
    </row>
    <row r="190" spans="58:147"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  <c r="CS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  <c r="DL190" s="47"/>
      <c r="DM190" s="47"/>
      <c r="DN190" s="47"/>
      <c r="DO190" s="47"/>
      <c r="DP190" s="47"/>
      <c r="DQ190" s="47"/>
      <c r="DR190" s="47"/>
      <c r="DS190" s="47"/>
      <c r="DT190" s="47"/>
      <c r="DU190" s="47"/>
      <c r="DV190" s="47"/>
      <c r="DW190" s="47"/>
      <c r="DX190" s="47"/>
      <c r="DY190" s="47"/>
      <c r="DZ190" s="47"/>
      <c r="EA190" s="47"/>
      <c r="EB190" s="47"/>
      <c r="EC190" s="47"/>
      <c r="ED190" s="47"/>
      <c r="EE190" s="47"/>
      <c r="EF190" s="47"/>
      <c r="EG190" s="47"/>
      <c r="EH190" s="47"/>
      <c r="EI190" s="47"/>
      <c r="EJ190" s="47"/>
      <c r="EK190" s="47"/>
      <c r="EL190" s="47"/>
      <c r="EM190" s="47"/>
      <c r="EN190" s="47"/>
      <c r="EO190" s="47"/>
      <c r="EP190" s="47"/>
      <c r="EQ190" s="47"/>
    </row>
    <row r="191" spans="58:147"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47"/>
      <c r="DC191" s="47"/>
      <c r="DD191" s="47"/>
      <c r="DE191" s="47"/>
      <c r="DF191" s="47"/>
      <c r="DG191" s="47"/>
      <c r="DH191" s="47"/>
      <c r="DI191" s="47"/>
      <c r="DJ191" s="47"/>
      <c r="DK191" s="47"/>
      <c r="DL191" s="47"/>
      <c r="DM191" s="47"/>
      <c r="DN191" s="47"/>
      <c r="DO191" s="47"/>
      <c r="DP191" s="47"/>
      <c r="DQ191" s="47"/>
      <c r="DR191" s="47"/>
      <c r="DS191" s="47"/>
      <c r="DT191" s="47"/>
      <c r="DU191" s="47"/>
      <c r="DV191" s="47"/>
      <c r="DW191" s="47"/>
      <c r="DX191" s="47"/>
      <c r="DY191" s="47"/>
      <c r="DZ191" s="47"/>
      <c r="EA191" s="47"/>
      <c r="EB191" s="47"/>
      <c r="EC191" s="47"/>
      <c r="ED191" s="47"/>
      <c r="EE191" s="47"/>
      <c r="EF191" s="47"/>
      <c r="EG191" s="47"/>
      <c r="EH191" s="47"/>
      <c r="EI191" s="47"/>
      <c r="EJ191" s="47"/>
      <c r="EK191" s="47"/>
      <c r="EL191" s="47"/>
      <c r="EM191" s="47"/>
      <c r="EN191" s="47"/>
      <c r="EO191" s="47"/>
      <c r="EP191" s="47"/>
      <c r="EQ191" s="47"/>
    </row>
    <row r="192" spans="58:147"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R192" s="47"/>
      <c r="CS192" s="47"/>
      <c r="CT192" s="47"/>
      <c r="CU192" s="47"/>
      <c r="CV192" s="47"/>
      <c r="CW192" s="47"/>
      <c r="CX192" s="47"/>
      <c r="CY192" s="47"/>
      <c r="CZ192" s="47"/>
      <c r="DA192" s="47"/>
      <c r="DB192" s="47"/>
      <c r="DC192" s="47"/>
      <c r="DD192" s="47"/>
      <c r="DE192" s="47"/>
      <c r="DF192" s="47"/>
      <c r="DG192" s="47"/>
      <c r="DH192" s="47"/>
      <c r="DI192" s="47"/>
      <c r="DJ192" s="47"/>
      <c r="DK192" s="47"/>
      <c r="DL192" s="47"/>
      <c r="DM192" s="47"/>
      <c r="DN192" s="47"/>
      <c r="DO192" s="47"/>
      <c r="DP192" s="47"/>
      <c r="DQ192" s="47"/>
      <c r="DR192" s="47"/>
      <c r="DS192" s="47"/>
      <c r="DT192" s="47"/>
      <c r="DU192" s="47"/>
      <c r="DV192" s="47"/>
      <c r="DW192" s="47"/>
      <c r="DX192" s="47"/>
      <c r="DY192" s="47"/>
      <c r="DZ192" s="47"/>
      <c r="EA192" s="47"/>
      <c r="EB192" s="47"/>
      <c r="EC192" s="47"/>
      <c r="ED192" s="47"/>
      <c r="EE192" s="47"/>
      <c r="EF192" s="47"/>
      <c r="EG192" s="47"/>
      <c r="EH192" s="47"/>
      <c r="EI192" s="47"/>
      <c r="EJ192" s="47"/>
      <c r="EK192" s="47"/>
      <c r="EL192" s="47"/>
      <c r="EM192" s="47"/>
      <c r="EN192" s="47"/>
      <c r="EO192" s="47"/>
      <c r="EP192" s="47"/>
      <c r="EQ192" s="47"/>
    </row>
    <row r="193" spans="58:147"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47"/>
      <c r="CZ193" s="47"/>
      <c r="DA193" s="47"/>
      <c r="DB193" s="47"/>
      <c r="DC193" s="47"/>
      <c r="DD193" s="47"/>
      <c r="DE193" s="47"/>
      <c r="DF193" s="47"/>
      <c r="DG193" s="47"/>
      <c r="DH193" s="47"/>
      <c r="DI193" s="47"/>
      <c r="DJ193" s="47"/>
      <c r="DK193" s="47"/>
      <c r="DL193" s="47"/>
      <c r="DM193" s="47"/>
      <c r="DN193" s="47"/>
      <c r="DO193" s="47"/>
      <c r="DP193" s="47"/>
      <c r="DQ193" s="47"/>
      <c r="DR193" s="47"/>
      <c r="DS193" s="47"/>
      <c r="DT193" s="47"/>
      <c r="DU193" s="47"/>
      <c r="DV193" s="47"/>
      <c r="DW193" s="47"/>
      <c r="DX193" s="47"/>
      <c r="DY193" s="47"/>
      <c r="DZ193" s="47"/>
      <c r="EA193" s="47"/>
      <c r="EB193" s="47"/>
      <c r="EC193" s="47"/>
      <c r="ED193" s="47"/>
      <c r="EE193" s="47"/>
      <c r="EF193" s="47"/>
      <c r="EG193" s="47"/>
      <c r="EH193" s="47"/>
      <c r="EI193" s="47"/>
      <c r="EJ193" s="47"/>
      <c r="EK193" s="47"/>
      <c r="EL193" s="47"/>
      <c r="EM193" s="47"/>
      <c r="EN193" s="47"/>
      <c r="EO193" s="47"/>
      <c r="EP193" s="47"/>
      <c r="EQ193" s="47"/>
    </row>
    <row r="194" spans="58:147"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  <c r="CP194" s="47"/>
      <c r="CQ194" s="47"/>
      <c r="CR194" s="47"/>
      <c r="CS194" s="47"/>
      <c r="CT194" s="47"/>
      <c r="CU194" s="47"/>
      <c r="CV194" s="47"/>
      <c r="CW194" s="47"/>
      <c r="CX194" s="47"/>
      <c r="CY194" s="47"/>
      <c r="CZ194" s="47"/>
      <c r="DA194" s="47"/>
      <c r="DB194" s="47"/>
      <c r="DC194" s="47"/>
      <c r="DD194" s="47"/>
      <c r="DE194" s="47"/>
      <c r="DF194" s="47"/>
      <c r="DG194" s="47"/>
      <c r="DH194" s="47"/>
      <c r="DI194" s="47"/>
      <c r="DJ194" s="47"/>
      <c r="DK194" s="47"/>
      <c r="DL194" s="47"/>
      <c r="DM194" s="47"/>
      <c r="DN194" s="47"/>
      <c r="DO194" s="47"/>
      <c r="DP194" s="47"/>
      <c r="DQ194" s="47"/>
      <c r="DR194" s="47"/>
      <c r="DS194" s="47"/>
      <c r="DT194" s="47"/>
      <c r="DU194" s="47"/>
      <c r="DV194" s="47"/>
      <c r="DW194" s="47"/>
      <c r="DX194" s="47"/>
      <c r="DY194" s="47"/>
      <c r="DZ194" s="47"/>
      <c r="EA194" s="47"/>
      <c r="EB194" s="47"/>
      <c r="EC194" s="47"/>
      <c r="ED194" s="47"/>
      <c r="EE194" s="47"/>
      <c r="EF194" s="47"/>
      <c r="EG194" s="47"/>
      <c r="EH194" s="47"/>
      <c r="EI194" s="47"/>
      <c r="EJ194" s="47"/>
      <c r="EK194" s="47"/>
      <c r="EL194" s="47"/>
      <c r="EM194" s="47"/>
      <c r="EN194" s="47"/>
      <c r="EO194" s="47"/>
      <c r="EP194" s="47"/>
      <c r="EQ194" s="47"/>
    </row>
    <row r="195" spans="58:147"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  <c r="DJ195" s="47"/>
      <c r="DK195" s="47"/>
      <c r="DL195" s="47"/>
      <c r="DM195" s="47"/>
      <c r="DN195" s="47"/>
      <c r="DO195" s="47"/>
      <c r="DP195" s="47"/>
      <c r="DQ195" s="47"/>
      <c r="DR195" s="47"/>
      <c r="DS195" s="47"/>
      <c r="DT195" s="47"/>
      <c r="DU195" s="47"/>
      <c r="DV195" s="47"/>
      <c r="DW195" s="47"/>
      <c r="DX195" s="47"/>
      <c r="DY195" s="47"/>
      <c r="DZ195" s="47"/>
      <c r="EA195" s="47"/>
      <c r="EB195" s="47"/>
      <c r="EC195" s="47"/>
      <c r="ED195" s="47"/>
      <c r="EE195" s="47"/>
      <c r="EF195" s="47"/>
      <c r="EG195" s="47"/>
      <c r="EH195" s="47"/>
      <c r="EI195" s="47"/>
      <c r="EJ195" s="47"/>
      <c r="EK195" s="47"/>
      <c r="EL195" s="47"/>
      <c r="EM195" s="47"/>
      <c r="EN195" s="47"/>
      <c r="EO195" s="47"/>
      <c r="EP195" s="47"/>
      <c r="EQ195" s="47"/>
    </row>
    <row r="196" spans="58:147"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  <c r="CP196" s="47"/>
      <c r="CQ196" s="47"/>
      <c r="CR196" s="47"/>
      <c r="CS196" s="47"/>
      <c r="CT196" s="47"/>
      <c r="CU196" s="47"/>
      <c r="CV196" s="47"/>
      <c r="CW196" s="47"/>
      <c r="CX196" s="47"/>
      <c r="CY196" s="47"/>
      <c r="CZ196" s="47"/>
      <c r="DA196" s="47"/>
      <c r="DB196" s="47"/>
      <c r="DC196" s="47"/>
      <c r="DD196" s="47"/>
      <c r="DE196" s="47"/>
      <c r="DF196" s="47"/>
      <c r="DG196" s="47"/>
      <c r="DH196" s="47"/>
      <c r="DI196" s="47"/>
      <c r="DJ196" s="47"/>
      <c r="DK196" s="47"/>
      <c r="DL196" s="47"/>
      <c r="DM196" s="47"/>
      <c r="DN196" s="47"/>
      <c r="DO196" s="47"/>
      <c r="DP196" s="47"/>
      <c r="DQ196" s="47"/>
      <c r="DR196" s="47"/>
      <c r="DS196" s="47"/>
      <c r="DT196" s="47"/>
      <c r="DU196" s="47"/>
      <c r="DV196" s="47"/>
      <c r="DW196" s="47"/>
      <c r="DX196" s="47"/>
      <c r="DY196" s="47"/>
      <c r="DZ196" s="47"/>
      <c r="EA196" s="47"/>
      <c r="EB196" s="47"/>
      <c r="EC196" s="47"/>
      <c r="ED196" s="47"/>
      <c r="EE196" s="47"/>
      <c r="EF196" s="47"/>
      <c r="EG196" s="47"/>
      <c r="EH196" s="47"/>
      <c r="EI196" s="47"/>
      <c r="EJ196" s="47"/>
      <c r="EK196" s="47"/>
      <c r="EL196" s="47"/>
      <c r="EM196" s="47"/>
      <c r="EN196" s="47"/>
      <c r="EO196" s="47"/>
      <c r="EP196" s="47"/>
      <c r="EQ196" s="47"/>
    </row>
    <row r="197" spans="58:147"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47"/>
      <c r="CZ197" s="47"/>
      <c r="DA197" s="47"/>
      <c r="DB197" s="47"/>
      <c r="DC197" s="47"/>
      <c r="DD197" s="47"/>
      <c r="DE197" s="47"/>
      <c r="DF197" s="47"/>
      <c r="DG197" s="47"/>
      <c r="DH197" s="47"/>
      <c r="DI197" s="47"/>
      <c r="DJ197" s="47"/>
      <c r="DK197" s="47"/>
      <c r="DL197" s="47"/>
      <c r="DM197" s="47"/>
      <c r="DN197" s="47"/>
      <c r="DO197" s="47"/>
      <c r="DP197" s="47"/>
      <c r="DQ197" s="47"/>
      <c r="DR197" s="47"/>
      <c r="DS197" s="47"/>
      <c r="DT197" s="47"/>
      <c r="DU197" s="47"/>
      <c r="DV197" s="47"/>
      <c r="DW197" s="47"/>
      <c r="DX197" s="47"/>
      <c r="DY197" s="47"/>
      <c r="DZ197" s="47"/>
      <c r="EA197" s="47"/>
      <c r="EB197" s="47"/>
      <c r="EC197" s="47"/>
      <c r="ED197" s="47"/>
      <c r="EE197" s="47"/>
      <c r="EF197" s="47"/>
      <c r="EG197" s="47"/>
      <c r="EH197" s="47"/>
      <c r="EI197" s="47"/>
      <c r="EJ197" s="47"/>
      <c r="EK197" s="47"/>
      <c r="EL197" s="47"/>
      <c r="EM197" s="47"/>
      <c r="EN197" s="47"/>
      <c r="EO197" s="47"/>
      <c r="EP197" s="47"/>
      <c r="EQ197" s="47"/>
    </row>
    <row r="198" spans="58:147"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  <c r="CP198" s="47"/>
      <c r="CQ198" s="47"/>
      <c r="CR198" s="47"/>
      <c r="CS198" s="47"/>
      <c r="CT198" s="47"/>
      <c r="CU198" s="47"/>
      <c r="CV198" s="47"/>
      <c r="CW198" s="47"/>
      <c r="CX198" s="47"/>
      <c r="CY198" s="47"/>
      <c r="CZ198" s="47"/>
      <c r="DA198" s="47"/>
      <c r="DB198" s="47"/>
      <c r="DC198" s="47"/>
      <c r="DD198" s="47"/>
      <c r="DE198" s="47"/>
      <c r="DF198" s="47"/>
      <c r="DG198" s="47"/>
      <c r="DH198" s="47"/>
      <c r="DI198" s="47"/>
      <c r="DJ198" s="47"/>
      <c r="DK198" s="47"/>
      <c r="DL198" s="47"/>
      <c r="DM198" s="47"/>
      <c r="DN198" s="47"/>
      <c r="DO198" s="47"/>
      <c r="DP198" s="47"/>
      <c r="DQ198" s="47"/>
      <c r="DR198" s="47"/>
      <c r="DS198" s="47"/>
      <c r="DT198" s="47"/>
      <c r="DU198" s="47"/>
      <c r="DV198" s="47"/>
      <c r="DW198" s="47"/>
      <c r="DX198" s="47"/>
      <c r="DY198" s="47"/>
      <c r="DZ198" s="47"/>
      <c r="EA198" s="47"/>
      <c r="EB198" s="47"/>
      <c r="EC198" s="47"/>
      <c r="ED198" s="47"/>
      <c r="EE198" s="47"/>
      <c r="EF198" s="47"/>
      <c r="EG198" s="47"/>
      <c r="EH198" s="47"/>
      <c r="EI198" s="47"/>
      <c r="EJ198" s="47"/>
      <c r="EK198" s="47"/>
      <c r="EL198" s="47"/>
      <c r="EM198" s="47"/>
      <c r="EN198" s="47"/>
      <c r="EO198" s="47"/>
      <c r="EP198" s="47"/>
      <c r="EQ198" s="47"/>
    </row>
    <row r="199" spans="58:147"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47"/>
      <c r="DC199" s="47"/>
      <c r="DD199" s="47"/>
      <c r="DE199" s="47"/>
      <c r="DF199" s="47"/>
      <c r="DG199" s="47"/>
      <c r="DH199" s="47"/>
      <c r="DI199" s="47"/>
      <c r="DJ199" s="47"/>
      <c r="DK199" s="47"/>
      <c r="DL199" s="47"/>
      <c r="DM199" s="47"/>
      <c r="DN199" s="47"/>
      <c r="DO199" s="47"/>
      <c r="DP199" s="47"/>
      <c r="DQ199" s="47"/>
      <c r="DR199" s="47"/>
      <c r="DS199" s="47"/>
      <c r="DT199" s="47"/>
      <c r="DU199" s="47"/>
      <c r="DV199" s="47"/>
      <c r="DW199" s="47"/>
      <c r="DX199" s="47"/>
      <c r="DY199" s="47"/>
      <c r="DZ199" s="47"/>
      <c r="EA199" s="47"/>
      <c r="EB199" s="47"/>
      <c r="EC199" s="47"/>
      <c r="ED199" s="47"/>
      <c r="EE199" s="47"/>
      <c r="EF199" s="47"/>
      <c r="EG199" s="47"/>
      <c r="EH199" s="47"/>
      <c r="EI199" s="47"/>
      <c r="EJ199" s="47"/>
      <c r="EK199" s="47"/>
      <c r="EL199" s="47"/>
      <c r="EM199" s="47"/>
      <c r="EN199" s="47"/>
      <c r="EO199" s="47"/>
      <c r="EP199" s="47"/>
      <c r="EQ199" s="47"/>
    </row>
    <row r="200" spans="58:147"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R200" s="47"/>
      <c r="CS200" s="47"/>
      <c r="CT200" s="47"/>
      <c r="CU200" s="47"/>
      <c r="CV200" s="47"/>
      <c r="CW200" s="47"/>
      <c r="CX200" s="47"/>
      <c r="CY200" s="47"/>
      <c r="CZ200" s="47"/>
      <c r="DA200" s="47"/>
      <c r="DB200" s="47"/>
      <c r="DC200" s="47"/>
      <c r="DD200" s="47"/>
      <c r="DE200" s="47"/>
      <c r="DF200" s="47"/>
      <c r="DG200" s="47"/>
      <c r="DH200" s="47"/>
      <c r="DI200" s="47"/>
      <c r="DJ200" s="47"/>
      <c r="DK200" s="47"/>
      <c r="DL200" s="47"/>
      <c r="DM200" s="47"/>
      <c r="DN200" s="47"/>
      <c r="DO200" s="47"/>
      <c r="DP200" s="47"/>
      <c r="DQ200" s="47"/>
      <c r="DR200" s="47"/>
      <c r="DS200" s="47"/>
      <c r="DT200" s="47"/>
      <c r="DU200" s="47"/>
      <c r="DV200" s="47"/>
      <c r="DW200" s="47"/>
      <c r="DX200" s="47"/>
      <c r="DY200" s="47"/>
      <c r="DZ200" s="47"/>
      <c r="EA200" s="47"/>
      <c r="EB200" s="47"/>
      <c r="EC200" s="47"/>
      <c r="ED200" s="47"/>
      <c r="EE200" s="47"/>
      <c r="EF200" s="47"/>
      <c r="EG200" s="47"/>
      <c r="EH200" s="47"/>
      <c r="EI200" s="47"/>
      <c r="EJ200" s="47"/>
      <c r="EK200" s="47"/>
      <c r="EL200" s="47"/>
      <c r="EM200" s="47"/>
      <c r="EN200" s="47"/>
      <c r="EO200" s="47"/>
      <c r="EP200" s="47"/>
      <c r="EQ200" s="47"/>
    </row>
    <row r="201" spans="58:147"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R201" s="47"/>
      <c r="CS201" s="47"/>
      <c r="CT201" s="47"/>
      <c r="CU201" s="47"/>
      <c r="CV201" s="47"/>
      <c r="CW201" s="47"/>
      <c r="CX201" s="47"/>
      <c r="CY201" s="47"/>
      <c r="CZ201" s="47"/>
      <c r="DA201" s="47"/>
      <c r="DB201" s="47"/>
      <c r="DC201" s="47"/>
      <c r="DD201" s="47"/>
      <c r="DE201" s="47"/>
      <c r="DF201" s="47"/>
      <c r="DG201" s="47"/>
      <c r="DH201" s="47"/>
      <c r="DI201" s="47"/>
      <c r="DJ201" s="47"/>
      <c r="DK201" s="47"/>
      <c r="DL201" s="47"/>
      <c r="DM201" s="47"/>
      <c r="DN201" s="47"/>
      <c r="DO201" s="47"/>
      <c r="DP201" s="47"/>
      <c r="DQ201" s="47"/>
      <c r="DR201" s="47"/>
      <c r="DS201" s="47"/>
      <c r="DT201" s="47"/>
      <c r="DU201" s="47"/>
      <c r="DV201" s="47"/>
      <c r="DW201" s="47"/>
      <c r="DX201" s="47"/>
      <c r="DY201" s="47"/>
      <c r="DZ201" s="47"/>
      <c r="EA201" s="47"/>
      <c r="EB201" s="47"/>
      <c r="EC201" s="47"/>
      <c r="ED201" s="47"/>
      <c r="EE201" s="47"/>
      <c r="EF201" s="47"/>
      <c r="EG201" s="47"/>
      <c r="EH201" s="47"/>
      <c r="EI201" s="47"/>
      <c r="EJ201" s="47"/>
      <c r="EK201" s="47"/>
      <c r="EL201" s="47"/>
      <c r="EM201" s="47"/>
      <c r="EN201" s="47"/>
      <c r="EO201" s="47"/>
      <c r="EP201" s="47"/>
      <c r="EQ201" s="47"/>
    </row>
    <row r="202" spans="58:147"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R202" s="47"/>
      <c r="CS202" s="47"/>
      <c r="CT202" s="47"/>
      <c r="CU202" s="47"/>
      <c r="CV202" s="47"/>
      <c r="CW202" s="47"/>
      <c r="CX202" s="47"/>
      <c r="CY202" s="47"/>
      <c r="CZ202" s="47"/>
      <c r="DA202" s="47"/>
      <c r="DB202" s="47"/>
      <c r="DC202" s="47"/>
      <c r="DD202" s="47"/>
      <c r="DE202" s="47"/>
      <c r="DF202" s="47"/>
      <c r="DG202" s="47"/>
      <c r="DH202" s="47"/>
      <c r="DI202" s="47"/>
      <c r="DJ202" s="47"/>
      <c r="DK202" s="47"/>
      <c r="DL202" s="47"/>
      <c r="DM202" s="47"/>
      <c r="DN202" s="47"/>
      <c r="DO202" s="47"/>
      <c r="DP202" s="47"/>
      <c r="DQ202" s="47"/>
      <c r="DR202" s="47"/>
      <c r="DS202" s="47"/>
      <c r="DT202" s="47"/>
      <c r="DU202" s="47"/>
      <c r="DV202" s="47"/>
      <c r="DW202" s="47"/>
      <c r="DX202" s="47"/>
      <c r="DY202" s="47"/>
      <c r="DZ202" s="47"/>
      <c r="EA202" s="47"/>
      <c r="EB202" s="47"/>
      <c r="EC202" s="47"/>
      <c r="ED202" s="47"/>
      <c r="EE202" s="47"/>
      <c r="EF202" s="47"/>
      <c r="EG202" s="47"/>
      <c r="EH202" s="47"/>
      <c r="EI202" s="47"/>
      <c r="EJ202" s="47"/>
      <c r="EK202" s="47"/>
      <c r="EL202" s="47"/>
      <c r="EM202" s="47"/>
      <c r="EN202" s="47"/>
      <c r="EO202" s="47"/>
      <c r="EP202" s="47"/>
      <c r="EQ202" s="47"/>
    </row>
    <row r="203" spans="58:147"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47"/>
      <c r="CZ203" s="47"/>
      <c r="DA203" s="47"/>
      <c r="DB203" s="47"/>
      <c r="DC203" s="47"/>
      <c r="DD203" s="47"/>
      <c r="DE203" s="47"/>
      <c r="DF203" s="47"/>
      <c r="DG203" s="47"/>
      <c r="DH203" s="47"/>
      <c r="DI203" s="47"/>
      <c r="DJ203" s="47"/>
      <c r="DK203" s="47"/>
      <c r="DL203" s="47"/>
      <c r="DM203" s="47"/>
      <c r="DN203" s="47"/>
      <c r="DO203" s="47"/>
      <c r="DP203" s="47"/>
      <c r="DQ203" s="47"/>
      <c r="DR203" s="47"/>
      <c r="DS203" s="47"/>
      <c r="DT203" s="47"/>
      <c r="DU203" s="47"/>
      <c r="DV203" s="47"/>
      <c r="DW203" s="47"/>
      <c r="DX203" s="47"/>
      <c r="DY203" s="47"/>
      <c r="DZ203" s="47"/>
      <c r="EA203" s="47"/>
      <c r="EB203" s="47"/>
      <c r="EC203" s="47"/>
      <c r="ED203" s="47"/>
      <c r="EE203" s="47"/>
      <c r="EF203" s="47"/>
      <c r="EG203" s="47"/>
      <c r="EH203" s="47"/>
      <c r="EI203" s="47"/>
      <c r="EJ203" s="47"/>
      <c r="EK203" s="47"/>
      <c r="EL203" s="47"/>
      <c r="EM203" s="47"/>
      <c r="EN203" s="47"/>
      <c r="EO203" s="47"/>
      <c r="EP203" s="47"/>
      <c r="EQ203" s="47"/>
    </row>
    <row r="204" spans="58:147"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  <c r="CS204" s="47"/>
      <c r="CT204" s="47"/>
      <c r="CU204" s="47"/>
      <c r="CV204" s="47"/>
      <c r="CW204" s="47"/>
      <c r="CX204" s="47"/>
      <c r="CY204" s="47"/>
      <c r="CZ204" s="47"/>
      <c r="DA204" s="47"/>
      <c r="DB204" s="47"/>
      <c r="DC204" s="47"/>
      <c r="DD204" s="47"/>
      <c r="DE204" s="47"/>
      <c r="DF204" s="47"/>
      <c r="DG204" s="47"/>
      <c r="DH204" s="47"/>
      <c r="DI204" s="47"/>
      <c r="DJ204" s="47"/>
      <c r="DK204" s="47"/>
      <c r="DL204" s="47"/>
      <c r="DM204" s="47"/>
      <c r="DN204" s="47"/>
      <c r="DO204" s="47"/>
      <c r="DP204" s="47"/>
      <c r="DQ204" s="47"/>
      <c r="DR204" s="47"/>
      <c r="DS204" s="47"/>
      <c r="DT204" s="47"/>
      <c r="DU204" s="47"/>
      <c r="DV204" s="47"/>
      <c r="DW204" s="47"/>
      <c r="DX204" s="47"/>
      <c r="DY204" s="47"/>
      <c r="DZ204" s="47"/>
      <c r="EA204" s="47"/>
      <c r="EB204" s="47"/>
      <c r="EC204" s="47"/>
      <c r="ED204" s="47"/>
      <c r="EE204" s="47"/>
      <c r="EF204" s="47"/>
      <c r="EG204" s="47"/>
      <c r="EH204" s="47"/>
      <c r="EI204" s="47"/>
      <c r="EJ204" s="47"/>
      <c r="EK204" s="47"/>
      <c r="EL204" s="47"/>
      <c r="EM204" s="47"/>
      <c r="EN204" s="47"/>
      <c r="EO204" s="47"/>
      <c r="EP204" s="47"/>
      <c r="EQ204" s="47"/>
    </row>
    <row r="205" spans="58:147"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  <c r="CS205" s="47"/>
      <c r="CT205" s="47"/>
      <c r="CU205" s="47"/>
      <c r="CV205" s="47"/>
      <c r="CW205" s="47"/>
      <c r="CX205" s="47"/>
      <c r="CY205" s="47"/>
      <c r="CZ205" s="47"/>
      <c r="DA205" s="47"/>
      <c r="DB205" s="47"/>
      <c r="DC205" s="47"/>
      <c r="DD205" s="47"/>
      <c r="DE205" s="47"/>
      <c r="DF205" s="47"/>
      <c r="DG205" s="47"/>
      <c r="DH205" s="47"/>
      <c r="DI205" s="47"/>
      <c r="DJ205" s="47"/>
      <c r="DK205" s="47"/>
      <c r="DL205" s="47"/>
      <c r="DM205" s="47"/>
      <c r="DN205" s="47"/>
      <c r="DO205" s="47"/>
      <c r="DP205" s="47"/>
      <c r="DQ205" s="47"/>
      <c r="DR205" s="47"/>
      <c r="DS205" s="47"/>
      <c r="DT205" s="47"/>
      <c r="DU205" s="47"/>
      <c r="DV205" s="47"/>
      <c r="DW205" s="47"/>
      <c r="DX205" s="47"/>
      <c r="DY205" s="47"/>
      <c r="DZ205" s="47"/>
      <c r="EA205" s="47"/>
      <c r="EB205" s="47"/>
      <c r="EC205" s="47"/>
      <c r="ED205" s="47"/>
      <c r="EE205" s="47"/>
      <c r="EF205" s="47"/>
      <c r="EG205" s="47"/>
      <c r="EH205" s="47"/>
      <c r="EI205" s="47"/>
      <c r="EJ205" s="47"/>
      <c r="EK205" s="47"/>
      <c r="EL205" s="47"/>
      <c r="EM205" s="47"/>
      <c r="EN205" s="47"/>
      <c r="EO205" s="47"/>
      <c r="EP205" s="47"/>
      <c r="EQ205" s="47"/>
    </row>
    <row r="206" spans="58:147"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R206" s="47"/>
      <c r="CS206" s="47"/>
      <c r="CT206" s="47"/>
      <c r="CU206" s="47"/>
      <c r="CV206" s="47"/>
      <c r="CW206" s="47"/>
      <c r="CX206" s="47"/>
      <c r="CY206" s="47"/>
      <c r="CZ206" s="47"/>
      <c r="DA206" s="47"/>
      <c r="DB206" s="47"/>
      <c r="DC206" s="47"/>
      <c r="DD206" s="47"/>
      <c r="DE206" s="47"/>
      <c r="DF206" s="47"/>
      <c r="DG206" s="47"/>
      <c r="DH206" s="47"/>
      <c r="DI206" s="47"/>
      <c r="DJ206" s="47"/>
      <c r="DK206" s="47"/>
      <c r="DL206" s="47"/>
      <c r="DM206" s="47"/>
      <c r="DN206" s="47"/>
      <c r="DO206" s="47"/>
      <c r="DP206" s="47"/>
      <c r="DQ206" s="47"/>
      <c r="DR206" s="47"/>
      <c r="DS206" s="47"/>
      <c r="DT206" s="47"/>
      <c r="DU206" s="47"/>
      <c r="DV206" s="47"/>
      <c r="DW206" s="47"/>
      <c r="DX206" s="47"/>
      <c r="DY206" s="47"/>
      <c r="DZ206" s="47"/>
      <c r="EA206" s="47"/>
      <c r="EB206" s="47"/>
      <c r="EC206" s="47"/>
      <c r="ED206" s="47"/>
      <c r="EE206" s="47"/>
      <c r="EF206" s="47"/>
      <c r="EG206" s="47"/>
      <c r="EH206" s="47"/>
      <c r="EI206" s="47"/>
      <c r="EJ206" s="47"/>
      <c r="EK206" s="47"/>
      <c r="EL206" s="47"/>
      <c r="EM206" s="47"/>
      <c r="EN206" s="47"/>
      <c r="EO206" s="47"/>
      <c r="EP206" s="47"/>
      <c r="EQ206" s="47"/>
    </row>
    <row r="207" spans="58:147"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R207" s="47"/>
      <c r="CS207" s="47"/>
      <c r="CT207" s="47"/>
      <c r="CU207" s="47"/>
      <c r="CV207" s="47"/>
      <c r="CW207" s="47"/>
      <c r="CX207" s="47"/>
      <c r="CY207" s="47"/>
      <c r="CZ207" s="47"/>
      <c r="DA207" s="47"/>
      <c r="DB207" s="47"/>
      <c r="DC207" s="47"/>
      <c r="DD207" s="47"/>
      <c r="DE207" s="47"/>
      <c r="DF207" s="47"/>
      <c r="DG207" s="47"/>
      <c r="DH207" s="47"/>
      <c r="DI207" s="47"/>
      <c r="DJ207" s="47"/>
      <c r="DK207" s="47"/>
      <c r="DL207" s="47"/>
      <c r="DM207" s="47"/>
      <c r="DN207" s="47"/>
      <c r="DO207" s="47"/>
      <c r="DP207" s="47"/>
      <c r="DQ207" s="47"/>
      <c r="DR207" s="47"/>
      <c r="DS207" s="47"/>
      <c r="DT207" s="47"/>
      <c r="DU207" s="47"/>
      <c r="DV207" s="47"/>
      <c r="DW207" s="47"/>
      <c r="DX207" s="47"/>
      <c r="DY207" s="47"/>
      <c r="DZ207" s="47"/>
      <c r="EA207" s="47"/>
      <c r="EB207" s="47"/>
      <c r="EC207" s="47"/>
      <c r="ED207" s="47"/>
      <c r="EE207" s="47"/>
      <c r="EF207" s="47"/>
      <c r="EG207" s="47"/>
      <c r="EH207" s="47"/>
      <c r="EI207" s="47"/>
      <c r="EJ207" s="47"/>
      <c r="EK207" s="47"/>
      <c r="EL207" s="47"/>
      <c r="EM207" s="47"/>
      <c r="EN207" s="47"/>
      <c r="EO207" s="47"/>
      <c r="EP207" s="47"/>
      <c r="EQ207" s="47"/>
    </row>
    <row r="208" spans="58:147"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47"/>
      <c r="CZ208" s="47"/>
      <c r="DA208" s="47"/>
      <c r="DB208" s="47"/>
      <c r="DC208" s="47"/>
      <c r="DD208" s="47"/>
      <c r="DE208" s="47"/>
      <c r="DF208" s="47"/>
      <c r="DG208" s="47"/>
      <c r="DH208" s="47"/>
      <c r="DI208" s="47"/>
      <c r="DJ208" s="47"/>
      <c r="DK208" s="47"/>
      <c r="DL208" s="47"/>
      <c r="DM208" s="47"/>
      <c r="DN208" s="47"/>
      <c r="DO208" s="47"/>
      <c r="DP208" s="47"/>
      <c r="DQ208" s="47"/>
      <c r="DR208" s="47"/>
      <c r="DS208" s="47"/>
      <c r="DT208" s="47"/>
      <c r="DU208" s="47"/>
      <c r="DV208" s="47"/>
      <c r="DW208" s="47"/>
      <c r="DX208" s="47"/>
      <c r="DY208" s="47"/>
      <c r="DZ208" s="47"/>
      <c r="EA208" s="47"/>
      <c r="EB208" s="47"/>
      <c r="EC208" s="47"/>
      <c r="ED208" s="47"/>
      <c r="EE208" s="47"/>
      <c r="EF208" s="47"/>
      <c r="EG208" s="47"/>
      <c r="EH208" s="47"/>
      <c r="EI208" s="47"/>
      <c r="EJ208" s="47"/>
      <c r="EK208" s="47"/>
      <c r="EL208" s="47"/>
      <c r="EM208" s="47"/>
      <c r="EN208" s="47"/>
      <c r="EO208" s="47"/>
      <c r="EP208" s="47"/>
      <c r="EQ208" s="47"/>
    </row>
    <row r="209" spans="58:147"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</row>
    <row r="210" spans="58:147"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</row>
    <row r="211" spans="58:147"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</row>
    <row r="212" spans="58:147"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R212" s="47"/>
      <c r="CS212" s="47"/>
      <c r="CT212" s="47"/>
      <c r="CU212" s="47"/>
      <c r="CV212" s="47"/>
      <c r="CW212" s="47"/>
      <c r="CX212" s="47"/>
      <c r="CY212" s="47"/>
      <c r="CZ212" s="47"/>
      <c r="DA212" s="47"/>
      <c r="DB212" s="47"/>
      <c r="DC212" s="47"/>
      <c r="DD212" s="47"/>
      <c r="DE212" s="47"/>
      <c r="DF212" s="47"/>
      <c r="DG212" s="47"/>
      <c r="DH212" s="47"/>
      <c r="DI212" s="47"/>
      <c r="DJ212" s="47"/>
      <c r="DK212" s="47"/>
      <c r="DL212" s="47"/>
      <c r="DM212" s="47"/>
      <c r="DN212" s="47"/>
      <c r="DO212" s="47"/>
      <c r="DP212" s="47"/>
      <c r="DQ212" s="47"/>
      <c r="DR212" s="47"/>
      <c r="DS212" s="47"/>
      <c r="DT212" s="47"/>
      <c r="DU212" s="47"/>
      <c r="DV212" s="47"/>
      <c r="DW212" s="47"/>
      <c r="DX212" s="47"/>
      <c r="DY212" s="47"/>
      <c r="DZ212" s="47"/>
      <c r="EA212" s="47"/>
      <c r="EB212" s="47"/>
      <c r="EC212" s="47"/>
      <c r="ED212" s="47"/>
      <c r="EE212" s="47"/>
      <c r="EF212" s="47"/>
      <c r="EG212" s="47"/>
      <c r="EH212" s="47"/>
      <c r="EI212" s="47"/>
      <c r="EJ212" s="47"/>
      <c r="EK212" s="47"/>
      <c r="EL212" s="47"/>
      <c r="EM212" s="47"/>
      <c r="EN212" s="47"/>
      <c r="EO212" s="47"/>
      <c r="EP212" s="47"/>
      <c r="EQ212" s="47"/>
    </row>
    <row r="213" spans="58:147"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  <c r="CY213" s="47"/>
      <c r="CZ213" s="47"/>
      <c r="DA213" s="47"/>
      <c r="DB213" s="47"/>
      <c r="DC213" s="47"/>
      <c r="DD213" s="47"/>
      <c r="DE213" s="47"/>
      <c r="DF213" s="47"/>
      <c r="DG213" s="47"/>
      <c r="DH213" s="47"/>
      <c r="DI213" s="47"/>
      <c r="DJ213" s="47"/>
      <c r="DK213" s="47"/>
      <c r="DL213" s="47"/>
      <c r="DM213" s="47"/>
      <c r="DN213" s="47"/>
      <c r="DO213" s="47"/>
      <c r="DP213" s="47"/>
      <c r="DQ213" s="47"/>
      <c r="DR213" s="47"/>
      <c r="DS213" s="47"/>
      <c r="DT213" s="47"/>
      <c r="DU213" s="47"/>
      <c r="DV213" s="47"/>
      <c r="DW213" s="47"/>
      <c r="DX213" s="47"/>
      <c r="DY213" s="47"/>
      <c r="DZ213" s="47"/>
      <c r="EA213" s="47"/>
      <c r="EB213" s="47"/>
      <c r="EC213" s="47"/>
      <c r="ED213" s="47"/>
      <c r="EE213" s="47"/>
      <c r="EF213" s="47"/>
      <c r="EG213" s="47"/>
      <c r="EH213" s="47"/>
      <c r="EI213" s="47"/>
      <c r="EJ213" s="47"/>
      <c r="EK213" s="47"/>
      <c r="EL213" s="47"/>
      <c r="EM213" s="47"/>
      <c r="EN213" s="47"/>
      <c r="EO213" s="47"/>
      <c r="EP213" s="47"/>
      <c r="EQ213" s="47"/>
    </row>
    <row r="214" spans="58:147"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  <c r="CP214" s="47"/>
      <c r="CQ214" s="47"/>
      <c r="CR214" s="47"/>
      <c r="CS214" s="47"/>
      <c r="CT214" s="47"/>
      <c r="CU214" s="47"/>
      <c r="CV214" s="47"/>
      <c r="CW214" s="47"/>
      <c r="CX214" s="47"/>
      <c r="CY214" s="47"/>
      <c r="CZ214" s="47"/>
      <c r="DA214" s="47"/>
      <c r="DB214" s="47"/>
      <c r="DC214" s="47"/>
      <c r="DD214" s="47"/>
      <c r="DE214" s="47"/>
      <c r="DF214" s="47"/>
      <c r="DG214" s="47"/>
      <c r="DH214" s="47"/>
      <c r="DI214" s="47"/>
      <c r="DJ214" s="47"/>
      <c r="DK214" s="47"/>
      <c r="DL214" s="47"/>
      <c r="DM214" s="47"/>
      <c r="DN214" s="47"/>
      <c r="DO214" s="47"/>
      <c r="DP214" s="47"/>
      <c r="DQ214" s="47"/>
      <c r="DR214" s="47"/>
      <c r="DS214" s="47"/>
      <c r="DT214" s="47"/>
      <c r="DU214" s="47"/>
      <c r="DV214" s="47"/>
      <c r="DW214" s="47"/>
      <c r="DX214" s="47"/>
      <c r="DY214" s="47"/>
      <c r="DZ214" s="47"/>
      <c r="EA214" s="47"/>
      <c r="EB214" s="47"/>
      <c r="EC214" s="47"/>
      <c r="ED214" s="47"/>
      <c r="EE214" s="47"/>
      <c r="EF214" s="47"/>
      <c r="EG214" s="47"/>
      <c r="EH214" s="47"/>
      <c r="EI214" s="47"/>
      <c r="EJ214" s="47"/>
      <c r="EK214" s="47"/>
      <c r="EL214" s="47"/>
      <c r="EM214" s="47"/>
      <c r="EN214" s="47"/>
      <c r="EO214" s="47"/>
      <c r="EP214" s="47"/>
      <c r="EQ214" s="47"/>
    </row>
    <row r="215" spans="58:147"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  <c r="CY215" s="47"/>
      <c r="CZ215" s="47"/>
      <c r="DA215" s="47"/>
      <c r="DB215" s="47"/>
      <c r="DC215" s="47"/>
      <c r="DD215" s="47"/>
      <c r="DE215" s="47"/>
      <c r="DF215" s="47"/>
      <c r="DG215" s="47"/>
      <c r="DH215" s="47"/>
      <c r="DI215" s="47"/>
      <c r="DJ215" s="47"/>
      <c r="DK215" s="47"/>
      <c r="DL215" s="47"/>
      <c r="DM215" s="47"/>
      <c r="DN215" s="47"/>
      <c r="DO215" s="47"/>
      <c r="DP215" s="47"/>
      <c r="DQ215" s="47"/>
      <c r="DR215" s="47"/>
      <c r="DS215" s="47"/>
      <c r="DT215" s="47"/>
      <c r="DU215" s="47"/>
      <c r="DV215" s="47"/>
      <c r="DW215" s="47"/>
      <c r="DX215" s="47"/>
      <c r="DY215" s="47"/>
      <c r="DZ215" s="47"/>
      <c r="EA215" s="47"/>
      <c r="EB215" s="47"/>
      <c r="EC215" s="47"/>
      <c r="ED215" s="47"/>
      <c r="EE215" s="47"/>
      <c r="EF215" s="47"/>
      <c r="EG215" s="47"/>
      <c r="EH215" s="47"/>
      <c r="EI215" s="47"/>
      <c r="EJ215" s="47"/>
      <c r="EK215" s="47"/>
      <c r="EL215" s="47"/>
      <c r="EM215" s="47"/>
      <c r="EN215" s="47"/>
      <c r="EO215" s="47"/>
      <c r="EP215" s="47"/>
      <c r="EQ215" s="47"/>
    </row>
    <row r="216" spans="58:147"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  <c r="CY216" s="47"/>
      <c r="CZ216" s="47"/>
      <c r="DA216" s="47"/>
      <c r="DB216" s="47"/>
      <c r="DC216" s="47"/>
      <c r="DD216" s="47"/>
      <c r="DE216" s="47"/>
      <c r="DF216" s="47"/>
      <c r="DG216" s="47"/>
      <c r="DH216" s="47"/>
      <c r="DI216" s="47"/>
      <c r="DJ216" s="47"/>
      <c r="DK216" s="47"/>
      <c r="DL216" s="47"/>
      <c r="DM216" s="47"/>
      <c r="DN216" s="47"/>
      <c r="DO216" s="47"/>
      <c r="DP216" s="47"/>
      <c r="DQ216" s="47"/>
      <c r="DR216" s="47"/>
      <c r="DS216" s="47"/>
      <c r="DT216" s="47"/>
      <c r="DU216" s="47"/>
      <c r="DV216" s="47"/>
      <c r="DW216" s="47"/>
      <c r="DX216" s="47"/>
      <c r="DY216" s="47"/>
      <c r="DZ216" s="47"/>
      <c r="EA216" s="47"/>
      <c r="EB216" s="47"/>
      <c r="EC216" s="47"/>
      <c r="ED216" s="47"/>
      <c r="EE216" s="47"/>
      <c r="EF216" s="47"/>
      <c r="EG216" s="47"/>
      <c r="EH216" s="47"/>
      <c r="EI216" s="47"/>
      <c r="EJ216" s="47"/>
      <c r="EK216" s="47"/>
      <c r="EL216" s="47"/>
      <c r="EM216" s="47"/>
      <c r="EN216" s="47"/>
      <c r="EO216" s="47"/>
      <c r="EP216" s="47"/>
      <c r="EQ216" s="47"/>
    </row>
    <row r="217" spans="58:147"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47"/>
      <c r="CZ217" s="47"/>
      <c r="DA217" s="47"/>
      <c r="DB217" s="47"/>
      <c r="DC217" s="47"/>
      <c r="DD217" s="47"/>
      <c r="DE217" s="47"/>
      <c r="DF217" s="47"/>
      <c r="DG217" s="47"/>
      <c r="DH217" s="47"/>
      <c r="DI217" s="47"/>
      <c r="DJ217" s="47"/>
      <c r="DK217" s="47"/>
      <c r="DL217" s="47"/>
      <c r="DM217" s="47"/>
      <c r="DN217" s="47"/>
      <c r="DO217" s="47"/>
      <c r="DP217" s="47"/>
      <c r="DQ217" s="47"/>
      <c r="DR217" s="47"/>
      <c r="DS217" s="47"/>
      <c r="DT217" s="47"/>
      <c r="DU217" s="47"/>
      <c r="DV217" s="47"/>
      <c r="DW217" s="47"/>
      <c r="DX217" s="47"/>
      <c r="DY217" s="47"/>
      <c r="DZ217" s="47"/>
      <c r="EA217" s="47"/>
      <c r="EB217" s="47"/>
      <c r="EC217" s="47"/>
      <c r="ED217" s="47"/>
      <c r="EE217" s="47"/>
      <c r="EF217" s="47"/>
      <c r="EG217" s="47"/>
      <c r="EH217" s="47"/>
      <c r="EI217" s="47"/>
      <c r="EJ217" s="47"/>
      <c r="EK217" s="47"/>
      <c r="EL217" s="47"/>
      <c r="EM217" s="47"/>
      <c r="EN217" s="47"/>
      <c r="EO217" s="47"/>
      <c r="EP217" s="47"/>
      <c r="EQ217" s="47"/>
    </row>
    <row r="218" spans="58:147"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  <c r="CP218" s="47"/>
      <c r="CQ218" s="47"/>
      <c r="CR218" s="47"/>
      <c r="CS218" s="47"/>
      <c r="CT218" s="47"/>
      <c r="CU218" s="47"/>
      <c r="CV218" s="47"/>
      <c r="CW218" s="47"/>
      <c r="CX218" s="47"/>
      <c r="CY218" s="47"/>
      <c r="CZ218" s="47"/>
      <c r="DA218" s="47"/>
      <c r="DB218" s="47"/>
      <c r="DC218" s="47"/>
      <c r="DD218" s="47"/>
      <c r="DE218" s="47"/>
      <c r="DF218" s="47"/>
      <c r="DG218" s="47"/>
      <c r="DH218" s="47"/>
      <c r="DI218" s="47"/>
      <c r="DJ218" s="47"/>
      <c r="DK218" s="47"/>
      <c r="DL218" s="47"/>
      <c r="DM218" s="47"/>
      <c r="DN218" s="47"/>
      <c r="DO218" s="47"/>
      <c r="DP218" s="47"/>
      <c r="DQ218" s="47"/>
      <c r="DR218" s="47"/>
      <c r="DS218" s="47"/>
      <c r="DT218" s="47"/>
      <c r="DU218" s="47"/>
      <c r="DV218" s="47"/>
      <c r="DW218" s="47"/>
      <c r="DX218" s="47"/>
      <c r="DY218" s="47"/>
      <c r="DZ218" s="47"/>
      <c r="EA218" s="47"/>
      <c r="EB218" s="47"/>
      <c r="EC218" s="47"/>
      <c r="ED218" s="47"/>
      <c r="EE218" s="47"/>
      <c r="EF218" s="47"/>
      <c r="EG218" s="47"/>
      <c r="EH218" s="47"/>
      <c r="EI218" s="47"/>
      <c r="EJ218" s="47"/>
      <c r="EK218" s="47"/>
      <c r="EL218" s="47"/>
      <c r="EM218" s="47"/>
      <c r="EN218" s="47"/>
      <c r="EO218" s="47"/>
      <c r="EP218" s="47"/>
      <c r="EQ218" s="47"/>
    </row>
    <row r="219" spans="58:147"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  <c r="DI219" s="47"/>
      <c r="DJ219" s="47"/>
      <c r="DK219" s="47"/>
      <c r="DL219" s="47"/>
      <c r="DM219" s="47"/>
      <c r="DN219" s="47"/>
      <c r="DO219" s="47"/>
      <c r="DP219" s="47"/>
      <c r="DQ219" s="47"/>
      <c r="DR219" s="47"/>
      <c r="DS219" s="47"/>
      <c r="DT219" s="47"/>
      <c r="DU219" s="47"/>
      <c r="DV219" s="47"/>
      <c r="DW219" s="47"/>
      <c r="DX219" s="47"/>
      <c r="DY219" s="47"/>
      <c r="DZ219" s="47"/>
      <c r="EA219" s="47"/>
      <c r="EB219" s="47"/>
      <c r="EC219" s="47"/>
      <c r="ED219" s="47"/>
      <c r="EE219" s="47"/>
      <c r="EF219" s="47"/>
      <c r="EG219" s="47"/>
      <c r="EH219" s="47"/>
      <c r="EI219" s="47"/>
      <c r="EJ219" s="47"/>
      <c r="EK219" s="47"/>
      <c r="EL219" s="47"/>
      <c r="EM219" s="47"/>
      <c r="EN219" s="47"/>
      <c r="EO219" s="47"/>
      <c r="EP219" s="47"/>
      <c r="EQ219" s="47"/>
    </row>
    <row r="220" spans="58:147"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R220" s="47"/>
      <c r="CS220" s="47"/>
      <c r="CT220" s="47"/>
      <c r="CU220" s="47"/>
      <c r="CV220" s="47"/>
      <c r="CW220" s="47"/>
      <c r="CX220" s="47"/>
      <c r="CY220" s="47"/>
      <c r="CZ220" s="47"/>
      <c r="DA220" s="47"/>
      <c r="DB220" s="47"/>
      <c r="DC220" s="47"/>
      <c r="DD220" s="47"/>
      <c r="DE220" s="47"/>
      <c r="DF220" s="47"/>
      <c r="DG220" s="47"/>
      <c r="DH220" s="47"/>
      <c r="DI220" s="47"/>
      <c r="DJ220" s="47"/>
      <c r="DK220" s="47"/>
      <c r="DL220" s="47"/>
      <c r="DM220" s="47"/>
      <c r="DN220" s="47"/>
      <c r="DO220" s="47"/>
      <c r="DP220" s="47"/>
      <c r="DQ220" s="47"/>
      <c r="DR220" s="47"/>
      <c r="DS220" s="47"/>
      <c r="DT220" s="47"/>
      <c r="DU220" s="47"/>
      <c r="DV220" s="47"/>
      <c r="DW220" s="47"/>
      <c r="DX220" s="47"/>
      <c r="DY220" s="47"/>
      <c r="DZ220" s="47"/>
      <c r="EA220" s="47"/>
      <c r="EB220" s="47"/>
      <c r="EC220" s="47"/>
      <c r="ED220" s="47"/>
      <c r="EE220" s="47"/>
      <c r="EF220" s="47"/>
      <c r="EG220" s="47"/>
      <c r="EH220" s="47"/>
      <c r="EI220" s="47"/>
      <c r="EJ220" s="47"/>
      <c r="EK220" s="47"/>
      <c r="EL220" s="47"/>
      <c r="EM220" s="47"/>
      <c r="EN220" s="47"/>
      <c r="EO220" s="47"/>
      <c r="EP220" s="47"/>
      <c r="EQ220" s="47"/>
    </row>
    <row r="221" spans="58:147"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  <c r="CY221" s="47"/>
      <c r="CZ221" s="47"/>
      <c r="DA221" s="47"/>
      <c r="DB221" s="47"/>
      <c r="DC221" s="47"/>
      <c r="DD221" s="47"/>
      <c r="DE221" s="47"/>
      <c r="DF221" s="47"/>
      <c r="DG221" s="47"/>
      <c r="DH221" s="47"/>
      <c r="DI221" s="47"/>
      <c r="DJ221" s="47"/>
      <c r="DK221" s="47"/>
      <c r="DL221" s="47"/>
      <c r="DM221" s="47"/>
      <c r="DN221" s="47"/>
      <c r="DO221" s="47"/>
      <c r="DP221" s="47"/>
      <c r="DQ221" s="47"/>
      <c r="DR221" s="47"/>
      <c r="DS221" s="47"/>
      <c r="DT221" s="47"/>
      <c r="DU221" s="47"/>
      <c r="DV221" s="47"/>
      <c r="DW221" s="47"/>
      <c r="DX221" s="47"/>
      <c r="DY221" s="47"/>
      <c r="DZ221" s="47"/>
      <c r="EA221" s="47"/>
      <c r="EB221" s="47"/>
      <c r="EC221" s="47"/>
      <c r="ED221" s="47"/>
      <c r="EE221" s="47"/>
      <c r="EF221" s="47"/>
      <c r="EG221" s="47"/>
      <c r="EH221" s="47"/>
      <c r="EI221" s="47"/>
      <c r="EJ221" s="47"/>
      <c r="EK221" s="47"/>
      <c r="EL221" s="47"/>
      <c r="EM221" s="47"/>
      <c r="EN221" s="47"/>
      <c r="EO221" s="47"/>
      <c r="EP221" s="47"/>
      <c r="EQ221" s="47"/>
    </row>
    <row r="222" spans="58:147"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  <c r="CP222" s="47"/>
      <c r="CQ222" s="47"/>
      <c r="CR222" s="47"/>
      <c r="CS222" s="47"/>
      <c r="CT222" s="47"/>
      <c r="CU222" s="47"/>
      <c r="CV222" s="47"/>
      <c r="CW222" s="47"/>
      <c r="CX222" s="47"/>
      <c r="CY222" s="47"/>
      <c r="CZ222" s="47"/>
      <c r="DA222" s="47"/>
      <c r="DB222" s="47"/>
      <c r="DC222" s="47"/>
      <c r="DD222" s="47"/>
      <c r="DE222" s="47"/>
      <c r="DF222" s="47"/>
      <c r="DG222" s="47"/>
      <c r="DH222" s="47"/>
      <c r="DI222" s="47"/>
      <c r="DJ222" s="47"/>
      <c r="DK222" s="47"/>
      <c r="DL222" s="47"/>
      <c r="DM222" s="47"/>
      <c r="DN222" s="47"/>
      <c r="DO222" s="47"/>
      <c r="DP222" s="47"/>
      <c r="DQ222" s="47"/>
      <c r="DR222" s="47"/>
      <c r="DS222" s="47"/>
      <c r="DT222" s="47"/>
      <c r="DU222" s="47"/>
      <c r="DV222" s="47"/>
      <c r="DW222" s="47"/>
      <c r="DX222" s="47"/>
      <c r="DY222" s="47"/>
      <c r="DZ222" s="47"/>
      <c r="EA222" s="47"/>
      <c r="EB222" s="47"/>
      <c r="EC222" s="47"/>
      <c r="ED222" s="47"/>
      <c r="EE222" s="47"/>
      <c r="EF222" s="47"/>
      <c r="EG222" s="47"/>
      <c r="EH222" s="47"/>
      <c r="EI222" s="47"/>
      <c r="EJ222" s="47"/>
      <c r="EK222" s="47"/>
      <c r="EL222" s="47"/>
      <c r="EM222" s="47"/>
      <c r="EN222" s="47"/>
      <c r="EO222" s="47"/>
      <c r="EP222" s="47"/>
      <c r="EQ222" s="47"/>
    </row>
    <row r="223" spans="58:147"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  <c r="CP223" s="47"/>
      <c r="CQ223" s="47"/>
      <c r="CR223" s="47"/>
      <c r="CS223" s="47"/>
      <c r="CT223" s="47"/>
      <c r="CU223" s="47"/>
      <c r="CV223" s="47"/>
      <c r="CW223" s="47"/>
      <c r="CX223" s="47"/>
      <c r="CY223" s="47"/>
      <c r="CZ223" s="47"/>
      <c r="DA223" s="47"/>
      <c r="DB223" s="47"/>
      <c r="DC223" s="47"/>
      <c r="DD223" s="47"/>
      <c r="DE223" s="47"/>
      <c r="DF223" s="47"/>
      <c r="DG223" s="47"/>
      <c r="DH223" s="47"/>
      <c r="DI223" s="47"/>
      <c r="DJ223" s="47"/>
      <c r="DK223" s="47"/>
      <c r="DL223" s="47"/>
      <c r="DM223" s="47"/>
      <c r="DN223" s="47"/>
      <c r="DO223" s="47"/>
      <c r="DP223" s="47"/>
      <c r="DQ223" s="47"/>
      <c r="DR223" s="47"/>
      <c r="DS223" s="47"/>
      <c r="DT223" s="47"/>
      <c r="DU223" s="47"/>
      <c r="DV223" s="47"/>
      <c r="DW223" s="47"/>
      <c r="DX223" s="47"/>
      <c r="DY223" s="47"/>
      <c r="DZ223" s="47"/>
      <c r="EA223" s="47"/>
      <c r="EB223" s="47"/>
      <c r="EC223" s="47"/>
      <c r="ED223" s="47"/>
      <c r="EE223" s="47"/>
      <c r="EF223" s="47"/>
      <c r="EG223" s="47"/>
      <c r="EH223" s="47"/>
      <c r="EI223" s="47"/>
      <c r="EJ223" s="47"/>
      <c r="EK223" s="47"/>
      <c r="EL223" s="47"/>
      <c r="EM223" s="47"/>
      <c r="EN223" s="47"/>
      <c r="EO223" s="47"/>
      <c r="EP223" s="47"/>
      <c r="EQ223" s="47"/>
    </row>
    <row r="224" spans="58:147"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R224" s="47"/>
      <c r="CS224" s="47"/>
      <c r="CT224" s="47"/>
      <c r="CU224" s="47"/>
      <c r="CV224" s="47"/>
      <c r="CW224" s="47"/>
      <c r="CX224" s="47"/>
      <c r="CY224" s="47"/>
      <c r="CZ224" s="47"/>
      <c r="DA224" s="47"/>
      <c r="DB224" s="47"/>
      <c r="DC224" s="47"/>
      <c r="DD224" s="47"/>
      <c r="DE224" s="47"/>
      <c r="DF224" s="47"/>
      <c r="DG224" s="47"/>
      <c r="DH224" s="47"/>
      <c r="DI224" s="47"/>
      <c r="DJ224" s="47"/>
      <c r="DK224" s="47"/>
      <c r="DL224" s="47"/>
      <c r="DM224" s="47"/>
      <c r="DN224" s="47"/>
      <c r="DO224" s="47"/>
      <c r="DP224" s="47"/>
      <c r="DQ224" s="47"/>
      <c r="DR224" s="47"/>
      <c r="DS224" s="47"/>
      <c r="DT224" s="47"/>
      <c r="DU224" s="47"/>
      <c r="DV224" s="47"/>
      <c r="DW224" s="47"/>
      <c r="DX224" s="47"/>
      <c r="DY224" s="47"/>
      <c r="DZ224" s="47"/>
      <c r="EA224" s="47"/>
      <c r="EB224" s="47"/>
      <c r="EC224" s="47"/>
      <c r="ED224" s="47"/>
      <c r="EE224" s="47"/>
      <c r="EF224" s="47"/>
      <c r="EG224" s="47"/>
      <c r="EH224" s="47"/>
      <c r="EI224" s="47"/>
      <c r="EJ224" s="47"/>
      <c r="EK224" s="47"/>
      <c r="EL224" s="47"/>
      <c r="EM224" s="47"/>
      <c r="EN224" s="47"/>
      <c r="EO224" s="47"/>
      <c r="EP224" s="47"/>
      <c r="EQ224" s="47"/>
    </row>
    <row r="225" spans="58:147"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  <c r="DI225" s="47"/>
      <c r="DJ225" s="47"/>
      <c r="DK225" s="47"/>
      <c r="DL225" s="47"/>
      <c r="DM225" s="47"/>
      <c r="DN225" s="47"/>
      <c r="DO225" s="47"/>
      <c r="DP225" s="47"/>
      <c r="DQ225" s="47"/>
      <c r="DR225" s="47"/>
      <c r="DS225" s="47"/>
      <c r="DT225" s="47"/>
      <c r="DU225" s="47"/>
      <c r="DV225" s="47"/>
      <c r="DW225" s="47"/>
      <c r="DX225" s="47"/>
      <c r="DY225" s="47"/>
      <c r="DZ225" s="47"/>
      <c r="EA225" s="47"/>
      <c r="EB225" s="47"/>
      <c r="EC225" s="47"/>
      <c r="ED225" s="47"/>
      <c r="EE225" s="47"/>
      <c r="EF225" s="47"/>
      <c r="EG225" s="47"/>
      <c r="EH225" s="47"/>
      <c r="EI225" s="47"/>
      <c r="EJ225" s="47"/>
      <c r="EK225" s="47"/>
      <c r="EL225" s="47"/>
      <c r="EM225" s="47"/>
      <c r="EN225" s="47"/>
      <c r="EO225" s="47"/>
      <c r="EP225" s="47"/>
      <c r="EQ225" s="47"/>
    </row>
    <row r="226" spans="58:147"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R226" s="47"/>
      <c r="CS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  <c r="DL226" s="47"/>
      <c r="DM226" s="47"/>
      <c r="DN226" s="47"/>
      <c r="DO226" s="47"/>
      <c r="DP226" s="47"/>
      <c r="DQ226" s="47"/>
      <c r="DR226" s="47"/>
      <c r="DS226" s="47"/>
      <c r="DT226" s="47"/>
      <c r="DU226" s="47"/>
      <c r="DV226" s="47"/>
      <c r="DW226" s="47"/>
      <c r="DX226" s="47"/>
      <c r="DY226" s="47"/>
      <c r="DZ226" s="47"/>
      <c r="EA226" s="47"/>
      <c r="EB226" s="47"/>
      <c r="EC226" s="47"/>
      <c r="ED226" s="47"/>
      <c r="EE226" s="47"/>
      <c r="EF226" s="47"/>
      <c r="EG226" s="47"/>
      <c r="EH226" s="47"/>
      <c r="EI226" s="47"/>
      <c r="EJ226" s="47"/>
      <c r="EK226" s="47"/>
      <c r="EL226" s="47"/>
      <c r="EM226" s="47"/>
      <c r="EN226" s="47"/>
      <c r="EO226" s="47"/>
      <c r="EP226" s="47"/>
      <c r="EQ226" s="47"/>
    </row>
    <row r="227" spans="58:147"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R227" s="47"/>
      <c r="CS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  <c r="DL227" s="47"/>
      <c r="DM227" s="47"/>
      <c r="DN227" s="47"/>
      <c r="DO227" s="47"/>
      <c r="DP227" s="47"/>
      <c r="DQ227" s="47"/>
      <c r="DR227" s="47"/>
      <c r="DS227" s="47"/>
      <c r="DT227" s="47"/>
      <c r="DU227" s="47"/>
      <c r="DV227" s="47"/>
      <c r="DW227" s="47"/>
      <c r="DX227" s="47"/>
      <c r="DY227" s="47"/>
      <c r="DZ227" s="47"/>
      <c r="EA227" s="47"/>
      <c r="EB227" s="47"/>
      <c r="EC227" s="47"/>
      <c r="ED227" s="47"/>
      <c r="EE227" s="47"/>
      <c r="EF227" s="47"/>
      <c r="EG227" s="47"/>
      <c r="EH227" s="47"/>
      <c r="EI227" s="47"/>
      <c r="EJ227" s="47"/>
      <c r="EK227" s="47"/>
      <c r="EL227" s="47"/>
      <c r="EM227" s="47"/>
      <c r="EN227" s="47"/>
      <c r="EO227" s="47"/>
      <c r="EP227" s="47"/>
      <c r="EQ227" s="47"/>
    </row>
    <row r="228" spans="58:147"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  <c r="CP228" s="47"/>
      <c r="CQ228" s="47"/>
      <c r="CR228" s="47"/>
      <c r="CS228" s="47"/>
      <c r="CT228" s="47"/>
      <c r="CU228" s="47"/>
      <c r="CV228" s="47"/>
      <c r="CW228" s="47"/>
      <c r="CX228" s="47"/>
      <c r="CY228" s="47"/>
      <c r="CZ228" s="47"/>
      <c r="DA228" s="47"/>
      <c r="DB228" s="47"/>
      <c r="DC228" s="47"/>
      <c r="DD228" s="47"/>
      <c r="DE228" s="47"/>
      <c r="DF228" s="47"/>
      <c r="DG228" s="47"/>
      <c r="DH228" s="47"/>
      <c r="DI228" s="47"/>
      <c r="DJ228" s="47"/>
      <c r="DK228" s="47"/>
      <c r="DL228" s="47"/>
      <c r="DM228" s="47"/>
      <c r="DN228" s="47"/>
      <c r="DO228" s="47"/>
      <c r="DP228" s="47"/>
      <c r="DQ228" s="47"/>
      <c r="DR228" s="47"/>
      <c r="DS228" s="47"/>
      <c r="DT228" s="47"/>
      <c r="DU228" s="47"/>
      <c r="DV228" s="47"/>
      <c r="DW228" s="47"/>
      <c r="DX228" s="47"/>
      <c r="DY228" s="47"/>
      <c r="DZ228" s="47"/>
      <c r="EA228" s="47"/>
      <c r="EB228" s="47"/>
      <c r="EC228" s="47"/>
      <c r="ED228" s="47"/>
      <c r="EE228" s="47"/>
      <c r="EF228" s="47"/>
      <c r="EG228" s="47"/>
      <c r="EH228" s="47"/>
      <c r="EI228" s="47"/>
      <c r="EJ228" s="47"/>
      <c r="EK228" s="47"/>
      <c r="EL228" s="47"/>
      <c r="EM228" s="47"/>
      <c r="EN228" s="47"/>
      <c r="EO228" s="47"/>
      <c r="EP228" s="47"/>
      <c r="EQ228" s="47"/>
    </row>
    <row r="229" spans="58:147"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  <c r="CP229" s="47"/>
      <c r="CQ229" s="47"/>
      <c r="CR229" s="47"/>
      <c r="CS229" s="47"/>
      <c r="CT229" s="47"/>
      <c r="CU229" s="47"/>
      <c r="CV229" s="47"/>
      <c r="CW229" s="47"/>
      <c r="CX229" s="47"/>
      <c r="CY229" s="47"/>
      <c r="CZ229" s="47"/>
      <c r="DA229" s="47"/>
      <c r="DB229" s="47"/>
      <c r="DC229" s="47"/>
      <c r="DD229" s="47"/>
      <c r="DE229" s="47"/>
      <c r="DF229" s="47"/>
      <c r="DG229" s="47"/>
      <c r="DH229" s="47"/>
      <c r="DI229" s="47"/>
      <c r="DJ229" s="47"/>
      <c r="DK229" s="47"/>
      <c r="DL229" s="47"/>
      <c r="DM229" s="47"/>
      <c r="DN229" s="47"/>
      <c r="DO229" s="47"/>
      <c r="DP229" s="47"/>
      <c r="DQ229" s="47"/>
      <c r="DR229" s="47"/>
      <c r="DS229" s="47"/>
      <c r="DT229" s="47"/>
      <c r="DU229" s="47"/>
      <c r="DV229" s="47"/>
      <c r="DW229" s="47"/>
      <c r="DX229" s="47"/>
      <c r="DY229" s="47"/>
      <c r="DZ229" s="47"/>
      <c r="EA229" s="47"/>
      <c r="EB229" s="47"/>
      <c r="EC229" s="47"/>
      <c r="ED229" s="47"/>
      <c r="EE229" s="47"/>
      <c r="EF229" s="47"/>
      <c r="EG229" s="47"/>
      <c r="EH229" s="47"/>
      <c r="EI229" s="47"/>
      <c r="EJ229" s="47"/>
      <c r="EK229" s="47"/>
      <c r="EL229" s="47"/>
      <c r="EM229" s="47"/>
      <c r="EN229" s="47"/>
      <c r="EO229" s="47"/>
      <c r="EP229" s="47"/>
      <c r="EQ229" s="47"/>
    </row>
    <row r="230" spans="58:147"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  <c r="CP230" s="47"/>
      <c r="CQ230" s="47"/>
      <c r="CR230" s="47"/>
      <c r="CS230" s="47"/>
      <c r="CT230" s="47"/>
      <c r="CU230" s="47"/>
      <c r="CV230" s="47"/>
      <c r="CW230" s="47"/>
      <c r="CX230" s="47"/>
      <c r="CY230" s="47"/>
      <c r="CZ230" s="47"/>
      <c r="DA230" s="47"/>
      <c r="DB230" s="47"/>
      <c r="DC230" s="47"/>
      <c r="DD230" s="47"/>
      <c r="DE230" s="47"/>
      <c r="DF230" s="47"/>
      <c r="DG230" s="47"/>
      <c r="DH230" s="47"/>
      <c r="DI230" s="47"/>
      <c r="DJ230" s="47"/>
      <c r="DK230" s="47"/>
      <c r="DL230" s="47"/>
      <c r="DM230" s="47"/>
      <c r="DN230" s="47"/>
      <c r="DO230" s="47"/>
      <c r="DP230" s="47"/>
      <c r="DQ230" s="47"/>
      <c r="DR230" s="47"/>
      <c r="DS230" s="47"/>
      <c r="DT230" s="47"/>
      <c r="DU230" s="47"/>
      <c r="DV230" s="47"/>
      <c r="DW230" s="47"/>
      <c r="DX230" s="47"/>
      <c r="DY230" s="47"/>
      <c r="DZ230" s="47"/>
      <c r="EA230" s="47"/>
      <c r="EB230" s="47"/>
      <c r="EC230" s="47"/>
      <c r="ED230" s="47"/>
      <c r="EE230" s="47"/>
      <c r="EF230" s="47"/>
      <c r="EG230" s="47"/>
      <c r="EH230" s="47"/>
      <c r="EI230" s="47"/>
      <c r="EJ230" s="47"/>
      <c r="EK230" s="47"/>
      <c r="EL230" s="47"/>
      <c r="EM230" s="47"/>
      <c r="EN230" s="47"/>
      <c r="EO230" s="47"/>
      <c r="EP230" s="47"/>
      <c r="EQ230" s="47"/>
    </row>
    <row r="231" spans="58:147"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  <c r="CP231" s="47"/>
      <c r="CQ231" s="47"/>
      <c r="CR231" s="47"/>
      <c r="CS231" s="47"/>
      <c r="CT231" s="47"/>
      <c r="CU231" s="47"/>
      <c r="CV231" s="47"/>
      <c r="CW231" s="47"/>
      <c r="CX231" s="47"/>
      <c r="CY231" s="47"/>
      <c r="CZ231" s="47"/>
      <c r="DA231" s="47"/>
      <c r="DB231" s="47"/>
      <c r="DC231" s="47"/>
      <c r="DD231" s="47"/>
      <c r="DE231" s="47"/>
      <c r="DF231" s="47"/>
      <c r="DG231" s="47"/>
      <c r="DH231" s="47"/>
      <c r="DI231" s="47"/>
      <c r="DJ231" s="47"/>
      <c r="DK231" s="47"/>
      <c r="DL231" s="47"/>
      <c r="DM231" s="47"/>
      <c r="DN231" s="47"/>
      <c r="DO231" s="47"/>
      <c r="DP231" s="47"/>
      <c r="DQ231" s="47"/>
      <c r="DR231" s="47"/>
      <c r="DS231" s="47"/>
      <c r="DT231" s="47"/>
      <c r="DU231" s="47"/>
      <c r="DV231" s="47"/>
      <c r="DW231" s="47"/>
      <c r="DX231" s="47"/>
      <c r="DY231" s="47"/>
      <c r="DZ231" s="47"/>
      <c r="EA231" s="47"/>
      <c r="EB231" s="47"/>
      <c r="EC231" s="47"/>
      <c r="ED231" s="47"/>
      <c r="EE231" s="47"/>
      <c r="EF231" s="47"/>
      <c r="EG231" s="47"/>
      <c r="EH231" s="47"/>
      <c r="EI231" s="47"/>
      <c r="EJ231" s="47"/>
      <c r="EK231" s="47"/>
      <c r="EL231" s="47"/>
      <c r="EM231" s="47"/>
      <c r="EN231" s="47"/>
      <c r="EO231" s="47"/>
      <c r="EP231" s="47"/>
      <c r="EQ231" s="47"/>
    </row>
    <row r="232" spans="58:147"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  <c r="CP232" s="47"/>
      <c r="CQ232" s="47"/>
      <c r="CR232" s="47"/>
      <c r="CS232" s="47"/>
      <c r="CT232" s="47"/>
      <c r="CU232" s="47"/>
      <c r="CV232" s="47"/>
      <c r="CW232" s="47"/>
      <c r="CX232" s="47"/>
      <c r="CY232" s="47"/>
      <c r="CZ232" s="47"/>
      <c r="DA232" s="47"/>
      <c r="DB232" s="47"/>
      <c r="DC232" s="47"/>
      <c r="DD232" s="47"/>
      <c r="DE232" s="47"/>
      <c r="DF232" s="47"/>
      <c r="DG232" s="47"/>
      <c r="DH232" s="47"/>
      <c r="DI232" s="47"/>
      <c r="DJ232" s="47"/>
      <c r="DK232" s="47"/>
      <c r="DL232" s="47"/>
      <c r="DM232" s="47"/>
      <c r="DN232" s="47"/>
      <c r="DO232" s="47"/>
      <c r="DP232" s="47"/>
      <c r="DQ232" s="47"/>
      <c r="DR232" s="47"/>
      <c r="DS232" s="47"/>
      <c r="DT232" s="47"/>
      <c r="DU232" s="47"/>
      <c r="DV232" s="47"/>
      <c r="DW232" s="47"/>
      <c r="DX232" s="47"/>
      <c r="DY232" s="47"/>
      <c r="DZ232" s="47"/>
      <c r="EA232" s="47"/>
      <c r="EB232" s="47"/>
      <c r="EC232" s="47"/>
      <c r="ED232" s="47"/>
      <c r="EE232" s="47"/>
      <c r="EF232" s="47"/>
      <c r="EG232" s="47"/>
      <c r="EH232" s="47"/>
      <c r="EI232" s="47"/>
      <c r="EJ232" s="47"/>
      <c r="EK232" s="47"/>
      <c r="EL232" s="47"/>
      <c r="EM232" s="47"/>
      <c r="EN232" s="47"/>
      <c r="EO232" s="47"/>
      <c r="EP232" s="47"/>
      <c r="EQ232" s="47"/>
    </row>
    <row r="233" spans="58:147"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  <c r="CY233" s="47"/>
      <c r="CZ233" s="47"/>
      <c r="DA233" s="47"/>
      <c r="DB233" s="47"/>
      <c r="DC233" s="47"/>
      <c r="DD233" s="47"/>
      <c r="DE233" s="47"/>
      <c r="DF233" s="47"/>
      <c r="DG233" s="47"/>
      <c r="DH233" s="47"/>
      <c r="DI233" s="47"/>
      <c r="DJ233" s="47"/>
      <c r="DK233" s="47"/>
      <c r="DL233" s="47"/>
      <c r="DM233" s="47"/>
      <c r="DN233" s="47"/>
      <c r="DO233" s="47"/>
      <c r="DP233" s="47"/>
      <c r="DQ233" s="47"/>
      <c r="DR233" s="47"/>
      <c r="DS233" s="47"/>
      <c r="DT233" s="47"/>
      <c r="DU233" s="47"/>
      <c r="DV233" s="47"/>
      <c r="DW233" s="47"/>
      <c r="DX233" s="47"/>
      <c r="DY233" s="47"/>
      <c r="DZ233" s="47"/>
      <c r="EA233" s="47"/>
      <c r="EB233" s="47"/>
      <c r="EC233" s="47"/>
      <c r="ED233" s="47"/>
      <c r="EE233" s="47"/>
      <c r="EF233" s="47"/>
      <c r="EG233" s="47"/>
      <c r="EH233" s="47"/>
      <c r="EI233" s="47"/>
      <c r="EJ233" s="47"/>
      <c r="EK233" s="47"/>
      <c r="EL233" s="47"/>
      <c r="EM233" s="47"/>
      <c r="EN233" s="47"/>
      <c r="EO233" s="47"/>
      <c r="EP233" s="47"/>
      <c r="EQ233" s="47"/>
    </row>
    <row r="234" spans="58:147"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  <c r="CP234" s="47"/>
      <c r="CQ234" s="47"/>
      <c r="CR234" s="47"/>
      <c r="CS234" s="47"/>
      <c r="CT234" s="47"/>
      <c r="CU234" s="47"/>
      <c r="CV234" s="47"/>
      <c r="CW234" s="47"/>
      <c r="CX234" s="47"/>
      <c r="CY234" s="47"/>
      <c r="CZ234" s="47"/>
      <c r="DA234" s="47"/>
      <c r="DB234" s="47"/>
      <c r="DC234" s="47"/>
      <c r="DD234" s="47"/>
      <c r="DE234" s="47"/>
      <c r="DF234" s="47"/>
      <c r="DG234" s="47"/>
      <c r="DH234" s="47"/>
      <c r="DI234" s="47"/>
      <c r="DJ234" s="47"/>
      <c r="DK234" s="47"/>
      <c r="DL234" s="47"/>
      <c r="DM234" s="47"/>
      <c r="DN234" s="47"/>
      <c r="DO234" s="47"/>
      <c r="DP234" s="47"/>
      <c r="DQ234" s="47"/>
      <c r="DR234" s="47"/>
      <c r="DS234" s="47"/>
      <c r="DT234" s="47"/>
      <c r="DU234" s="47"/>
      <c r="DV234" s="47"/>
      <c r="DW234" s="47"/>
      <c r="DX234" s="47"/>
      <c r="DY234" s="47"/>
      <c r="DZ234" s="47"/>
      <c r="EA234" s="47"/>
      <c r="EB234" s="47"/>
      <c r="EC234" s="47"/>
      <c r="ED234" s="47"/>
      <c r="EE234" s="47"/>
      <c r="EF234" s="47"/>
      <c r="EG234" s="47"/>
      <c r="EH234" s="47"/>
      <c r="EI234" s="47"/>
      <c r="EJ234" s="47"/>
      <c r="EK234" s="47"/>
      <c r="EL234" s="47"/>
      <c r="EM234" s="47"/>
      <c r="EN234" s="47"/>
      <c r="EO234" s="47"/>
      <c r="EP234" s="47"/>
      <c r="EQ234" s="47"/>
    </row>
    <row r="235" spans="58:147"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  <c r="DI235" s="47"/>
      <c r="DJ235" s="47"/>
      <c r="DK235" s="47"/>
      <c r="DL235" s="47"/>
      <c r="DM235" s="47"/>
      <c r="DN235" s="47"/>
      <c r="DO235" s="47"/>
      <c r="DP235" s="47"/>
      <c r="DQ235" s="47"/>
      <c r="DR235" s="47"/>
      <c r="DS235" s="47"/>
      <c r="DT235" s="47"/>
      <c r="DU235" s="47"/>
      <c r="DV235" s="47"/>
      <c r="DW235" s="47"/>
      <c r="DX235" s="47"/>
      <c r="DY235" s="47"/>
      <c r="DZ235" s="47"/>
      <c r="EA235" s="47"/>
      <c r="EB235" s="47"/>
      <c r="EC235" s="47"/>
      <c r="ED235" s="47"/>
      <c r="EE235" s="47"/>
      <c r="EF235" s="47"/>
      <c r="EG235" s="47"/>
      <c r="EH235" s="47"/>
      <c r="EI235" s="47"/>
      <c r="EJ235" s="47"/>
      <c r="EK235" s="47"/>
      <c r="EL235" s="47"/>
      <c r="EM235" s="47"/>
      <c r="EN235" s="47"/>
      <c r="EO235" s="47"/>
      <c r="EP235" s="47"/>
      <c r="EQ235" s="47"/>
    </row>
    <row r="236" spans="58:147"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R236" s="47"/>
      <c r="CS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  <c r="DI236" s="47"/>
      <c r="DJ236" s="47"/>
      <c r="DK236" s="47"/>
      <c r="DL236" s="47"/>
      <c r="DM236" s="47"/>
      <c r="DN236" s="47"/>
      <c r="DO236" s="47"/>
      <c r="DP236" s="47"/>
      <c r="DQ236" s="47"/>
      <c r="DR236" s="47"/>
      <c r="DS236" s="47"/>
      <c r="DT236" s="47"/>
      <c r="DU236" s="47"/>
      <c r="DV236" s="47"/>
      <c r="DW236" s="47"/>
      <c r="DX236" s="47"/>
      <c r="DY236" s="47"/>
      <c r="DZ236" s="47"/>
      <c r="EA236" s="47"/>
      <c r="EB236" s="47"/>
      <c r="EC236" s="47"/>
      <c r="ED236" s="47"/>
      <c r="EE236" s="47"/>
      <c r="EF236" s="47"/>
      <c r="EG236" s="47"/>
      <c r="EH236" s="47"/>
      <c r="EI236" s="47"/>
      <c r="EJ236" s="47"/>
      <c r="EK236" s="47"/>
      <c r="EL236" s="47"/>
      <c r="EM236" s="47"/>
      <c r="EN236" s="47"/>
      <c r="EO236" s="47"/>
      <c r="EP236" s="47"/>
      <c r="EQ236" s="47"/>
    </row>
    <row r="237" spans="58:147"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  <c r="DI237" s="47"/>
      <c r="DJ237" s="47"/>
      <c r="DK237" s="47"/>
      <c r="DL237" s="47"/>
      <c r="DM237" s="47"/>
      <c r="DN237" s="47"/>
      <c r="DO237" s="47"/>
      <c r="DP237" s="47"/>
      <c r="DQ237" s="47"/>
      <c r="DR237" s="47"/>
      <c r="DS237" s="47"/>
      <c r="DT237" s="47"/>
      <c r="DU237" s="47"/>
      <c r="DV237" s="47"/>
      <c r="DW237" s="47"/>
      <c r="DX237" s="47"/>
      <c r="DY237" s="47"/>
      <c r="DZ237" s="47"/>
      <c r="EA237" s="47"/>
      <c r="EB237" s="47"/>
      <c r="EC237" s="47"/>
      <c r="ED237" s="47"/>
      <c r="EE237" s="47"/>
      <c r="EF237" s="47"/>
      <c r="EG237" s="47"/>
      <c r="EH237" s="47"/>
      <c r="EI237" s="47"/>
      <c r="EJ237" s="47"/>
      <c r="EK237" s="47"/>
      <c r="EL237" s="47"/>
      <c r="EM237" s="47"/>
      <c r="EN237" s="47"/>
      <c r="EO237" s="47"/>
      <c r="EP237" s="47"/>
      <c r="EQ237" s="47"/>
    </row>
    <row r="238" spans="58:147"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R238" s="47"/>
      <c r="CS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  <c r="DI238" s="47"/>
      <c r="DJ238" s="47"/>
      <c r="DK238" s="47"/>
      <c r="DL238" s="47"/>
      <c r="DM238" s="47"/>
      <c r="DN238" s="47"/>
      <c r="DO238" s="47"/>
      <c r="DP238" s="47"/>
      <c r="DQ238" s="47"/>
      <c r="DR238" s="47"/>
      <c r="DS238" s="47"/>
      <c r="DT238" s="47"/>
      <c r="DU238" s="47"/>
      <c r="DV238" s="47"/>
      <c r="DW238" s="47"/>
      <c r="DX238" s="47"/>
      <c r="DY238" s="47"/>
      <c r="DZ238" s="47"/>
      <c r="EA238" s="47"/>
      <c r="EB238" s="47"/>
      <c r="EC238" s="47"/>
      <c r="ED238" s="47"/>
      <c r="EE238" s="47"/>
      <c r="EF238" s="47"/>
      <c r="EG238" s="47"/>
      <c r="EH238" s="47"/>
      <c r="EI238" s="47"/>
      <c r="EJ238" s="47"/>
      <c r="EK238" s="47"/>
      <c r="EL238" s="47"/>
      <c r="EM238" s="47"/>
      <c r="EN238" s="47"/>
      <c r="EO238" s="47"/>
      <c r="EP238" s="47"/>
      <c r="EQ238" s="47"/>
    </row>
    <row r="239" spans="58:147"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  <c r="CP239" s="47"/>
      <c r="CQ239" s="47"/>
      <c r="CR239" s="47"/>
      <c r="CS239" s="47"/>
      <c r="CT239" s="47"/>
      <c r="CU239" s="47"/>
      <c r="CV239" s="47"/>
      <c r="CW239" s="47"/>
      <c r="CX239" s="47"/>
      <c r="CY239" s="47"/>
      <c r="CZ239" s="47"/>
      <c r="DA239" s="47"/>
      <c r="DB239" s="47"/>
      <c r="DC239" s="47"/>
      <c r="DD239" s="47"/>
      <c r="DE239" s="47"/>
      <c r="DF239" s="47"/>
      <c r="DG239" s="47"/>
      <c r="DH239" s="47"/>
      <c r="DI239" s="47"/>
      <c r="DJ239" s="47"/>
      <c r="DK239" s="47"/>
      <c r="DL239" s="47"/>
      <c r="DM239" s="47"/>
      <c r="DN239" s="47"/>
      <c r="DO239" s="47"/>
      <c r="DP239" s="47"/>
      <c r="DQ239" s="47"/>
      <c r="DR239" s="47"/>
      <c r="DS239" s="47"/>
      <c r="DT239" s="47"/>
      <c r="DU239" s="47"/>
      <c r="DV239" s="47"/>
      <c r="DW239" s="47"/>
      <c r="DX239" s="47"/>
      <c r="DY239" s="47"/>
      <c r="DZ239" s="47"/>
      <c r="EA239" s="47"/>
      <c r="EB239" s="47"/>
      <c r="EC239" s="47"/>
      <c r="ED239" s="47"/>
      <c r="EE239" s="47"/>
      <c r="EF239" s="47"/>
      <c r="EG239" s="47"/>
      <c r="EH239" s="47"/>
      <c r="EI239" s="47"/>
      <c r="EJ239" s="47"/>
      <c r="EK239" s="47"/>
      <c r="EL239" s="47"/>
      <c r="EM239" s="47"/>
      <c r="EN239" s="47"/>
      <c r="EO239" s="47"/>
      <c r="EP239" s="47"/>
      <c r="EQ239" s="47"/>
    </row>
    <row r="240" spans="58:147"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R240" s="47"/>
      <c r="CS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  <c r="DI240" s="47"/>
      <c r="DJ240" s="47"/>
      <c r="DK240" s="47"/>
      <c r="DL240" s="47"/>
      <c r="DM240" s="47"/>
      <c r="DN240" s="47"/>
      <c r="DO240" s="47"/>
      <c r="DP240" s="47"/>
      <c r="DQ240" s="47"/>
      <c r="DR240" s="47"/>
      <c r="DS240" s="47"/>
      <c r="DT240" s="47"/>
      <c r="DU240" s="47"/>
      <c r="DV240" s="47"/>
      <c r="DW240" s="47"/>
      <c r="DX240" s="47"/>
      <c r="DY240" s="47"/>
      <c r="DZ240" s="47"/>
      <c r="EA240" s="47"/>
      <c r="EB240" s="47"/>
      <c r="EC240" s="47"/>
      <c r="ED240" s="47"/>
      <c r="EE240" s="47"/>
      <c r="EF240" s="47"/>
      <c r="EG240" s="47"/>
      <c r="EH240" s="47"/>
      <c r="EI240" s="47"/>
      <c r="EJ240" s="47"/>
      <c r="EK240" s="47"/>
      <c r="EL240" s="47"/>
      <c r="EM240" s="47"/>
      <c r="EN240" s="47"/>
      <c r="EO240" s="47"/>
      <c r="EP240" s="47"/>
      <c r="EQ240" s="47"/>
    </row>
    <row r="241" spans="58:147"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  <c r="CP241" s="47"/>
      <c r="CQ241" s="47"/>
      <c r="CR241" s="47"/>
      <c r="CS241" s="47"/>
      <c r="CT241" s="47"/>
      <c r="CU241" s="47"/>
      <c r="CV241" s="47"/>
      <c r="CW241" s="47"/>
      <c r="CX241" s="47"/>
      <c r="CY241" s="47"/>
      <c r="CZ241" s="47"/>
      <c r="DA241" s="47"/>
      <c r="DB241" s="47"/>
      <c r="DC241" s="47"/>
      <c r="DD241" s="47"/>
      <c r="DE241" s="47"/>
      <c r="DF241" s="47"/>
      <c r="DG241" s="47"/>
      <c r="DH241" s="47"/>
      <c r="DI241" s="47"/>
      <c r="DJ241" s="47"/>
      <c r="DK241" s="47"/>
      <c r="DL241" s="47"/>
      <c r="DM241" s="47"/>
      <c r="DN241" s="47"/>
      <c r="DO241" s="47"/>
      <c r="DP241" s="47"/>
      <c r="DQ241" s="47"/>
      <c r="DR241" s="47"/>
      <c r="DS241" s="47"/>
      <c r="DT241" s="47"/>
      <c r="DU241" s="47"/>
      <c r="DV241" s="47"/>
      <c r="DW241" s="47"/>
      <c r="DX241" s="47"/>
      <c r="DY241" s="47"/>
      <c r="DZ241" s="47"/>
      <c r="EA241" s="47"/>
      <c r="EB241" s="47"/>
      <c r="EC241" s="47"/>
      <c r="ED241" s="47"/>
      <c r="EE241" s="47"/>
      <c r="EF241" s="47"/>
      <c r="EG241" s="47"/>
      <c r="EH241" s="47"/>
      <c r="EI241" s="47"/>
      <c r="EJ241" s="47"/>
      <c r="EK241" s="47"/>
      <c r="EL241" s="47"/>
      <c r="EM241" s="47"/>
      <c r="EN241" s="47"/>
      <c r="EO241" s="47"/>
      <c r="EP241" s="47"/>
      <c r="EQ241" s="47"/>
    </row>
    <row r="242" spans="58:147"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  <c r="CP242" s="47"/>
      <c r="CQ242" s="47"/>
      <c r="CR242" s="47"/>
      <c r="CS242" s="47"/>
      <c r="CT242" s="47"/>
      <c r="CU242" s="47"/>
      <c r="CV242" s="47"/>
      <c r="CW242" s="47"/>
      <c r="CX242" s="47"/>
      <c r="CY242" s="47"/>
      <c r="CZ242" s="47"/>
      <c r="DA242" s="47"/>
      <c r="DB242" s="47"/>
      <c r="DC242" s="47"/>
      <c r="DD242" s="47"/>
      <c r="DE242" s="47"/>
      <c r="DF242" s="47"/>
      <c r="DG242" s="47"/>
      <c r="DH242" s="47"/>
      <c r="DI242" s="47"/>
      <c r="DJ242" s="47"/>
      <c r="DK242" s="47"/>
      <c r="DL242" s="47"/>
      <c r="DM242" s="47"/>
      <c r="DN242" s="47"/>
      <c r="DO242" s="47"/>
      <c r="DP242" s="47"/>
      <c r="DQ242" s="47"/>
      <c r="DR242" s="47"/>
      <c r="DS242" s="47"/>
      <c r="DT242" s="47"/>
      <c r="DU242" s="47"/>
      <c r="DV242" s="47"/>
      <c r="DW242" s="47"/>
      <c r="DX242" s="47"/>
      <c r="DY242" s="47"/>
      <c r="DZ242" s="47"/>
      <c r="EA242" s="47"/>
      <c r="EB242" s="47"/>
      <c r="EC242" s="47"/>
      <c r="ED242" s="47"/>
      <c r="EE242" s="47"/>
      <c r="EF242" s="47"/>
      <c r="EG242" s="47"/>
      <c r="EH242" s="47"/>
      <c r="EI242" s="47"/>
      <c r="EJ242" s="47"/>
      <c r="EK242" s="47"/>
      <c r="EL242" s="47"/>
      <c r="EM242" s="47"/>
      <c r="EN242" s="47"/>
      <c r="EO242" s="47"/>
      <c r="EP242" s="47"/>
      <c r="EQ242" s="47"/>
    </row>
    <row r="243" spans="58:147"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  <c r="CP243" s="47"/>
      <c r="CQ243" s="47"/>
      <c r="CR243" s="47"/>
      <c r="CS243" s="47"/>
      <c r="CT243" s="47"/>
      <c r="CU243" s="47"/>
      <c r="CV243" s="47"/>
      <c r="CW243" s="47"/>
      <c r="CX243" s="47"/>
      <c r="CY243" s="47"/>
      <c r="CZ243" s="47"/>
      <c r="DA243" s="47"/>
      <c r="DB243" s="47"/>
      <c r="DC243" s="47"/>
      <c r="DD243" s="47"/>
      <c r="DE243" s="47"/>
      <c r="DF243" s="47"/>
      <c r="DG243" s="47"/>
      <c r="DH243" s="47"/>
      <c r="DI243" s="47"/>
      <c r="DJ243" s="47"/>
      <c r="DK243" s="47"/>
      <c r="DL243" s="47"/>
      <c r="DM243" s="47"/>
      <c r="DN243" s="47"/>
      <c r="DO243" s="47"/>
      <c r="DP243" s="47"/>
      <c r="DQ243" s="47"/>
      <c r="DR243" s="47"/>
      <c r="DS243" s="47"/>
      <c r="DT243" s="47"/>
      <c r="DU243" s="47"/>
      <c r="DV243" s="47"/>
      <c r="DW243" s="47"/>
      <c r="DX243" s="47"/>
      <c r="DY243" s="47"/>
      <c r="DZ243" s="47"/>
      <c r="EA243" s="47"/>
      <c r="EB243" s="47"/>
      <c r="EC243" s="47"/>
      <c r="ED243" s="47"/>
      <c r="EE243" s="47"/>
      <c r="EF243" s="47"/>
      <c r="EG243" s="47"/>
      <c r="EH243" s="47"/>
      <c r="EI243" s="47"/>
      <c r="EJ243" s="47"/>
      <c r="EK243" s="47"/>
      <c r="EL243" s="47"/>
      <c r="EM243" s="47"/>
      <c r="EN243" s="47"/>
      <c r="EO243" s="47"/>
      <c r="EP243" s="47"/>
      <c r="EQ243" s="47"/>
    </row>
    <row r="244" spans="58:147"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R244" s="47"/>
      <c r="CS244" s="47"/>
      <c r="CT244" s="47"/>
      <c r="CU244" s="47"/>
      <c r="CV244" s="47"/>
      <c r="CW244" s="47"/>
      <c r="CX244" s="47"/>
      <c r="CY244" s="47"/>
      <c r="CZ244" s="47"/>
      <c r="DA244" s="47"/>
      <c r="DB244" s="47"/>
      <c r="DC244" s="47"/>
      <c r="DD244" s="47"/>
      <c r="DE244" s="47"/>
      <c r="DF244" s="47"/>
      <c r="DG244" s="47"/>
      <c r="DH244" s="47"/>
      <c r="DI244" s="47"/>
      <c r="DJ244" s="47"/>
      <c r="DK244" s="47"/>
      <c r="DL244" s="47"/>
      <c r="DM244" s="47"/>
      <c r="DN244" s="47"/>
      <c r="DO244" s="47"/>
      <c r="DP244" s="47"/>
      <c r="DQ244" s="47"/>
      <c r="DR244" s="47"/>
      <c r="DS244" s="47"/>
      <c r="DT244" s="47"/>
      <c r="DU244" s="47"/>
      <c r="DV244" s="47"/>
      <c r="DW244" s="47"/>
      <c r="DX244" s="47"/>
      <c r="DY244" s="47"/>
      <c r="DZ244" s="47"/>
      <c r="EA244" s="47"/>
      <c r="EB244" s="47"/>
      <c r="EC244" s="47"/>
      <c r="ED244" s="47"/>
      <c r="EE244" s="47"/>
      <c r="EF244" s="47"/>
      <c r="EG244" s="47"/>
      <c r="EH244" s="47"/>
      <c r="EI244" s="47"/>
      <c r="EJ244" s="47"/>
      <c r="EK244" s="47"/>
      <c r="EL244" s="47"/>
      <c r="EM244" s="47"/>
      <c r="EN244" s="47"/>
      <c r="EO244" s="47"/>
      <c r="EP244" s="47"/>
      <c r="EQ244" s="47"/>
    </row>
    <row r="245" spans="58:147"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47"/>
      <c r="DC245" s="47"/>
      <c r="DD245" s="47"/>
      <c r="DE245" s="47"/>
      <c r="DF245" s="47"/>
      <c r="DG245" s="47"/>
      <c r="DH245" s="47"/>
      <c r="DI245" s="47"/>
      <c r="DJ245" s="47"/>
      <c r="DK245" s="47"/>
      <c r="DL245" s="47"/>
      <c r="DM245" s="47"/>
      <c r="DN245" s="47"/>
      <c r="DO245" s="47"/>
      <c r="DP245" s="47"/>
      <c r="DQ245" s="47"/>
      <c r="DR245" s="47"/>
      <c r="DS245" s="47"/>
      <c r="DT245" s="47"/>
      <c r="DU245" s="47"/>
      <c r="DV245" s="47"/>
      <c r="DW245" s="47"/>
      <c r="DX245" s="47"/>
      <c r="DY245" s="47"/>
      <c r="DZ245" s="47"/>
      <c r="EA245" s="47"/>
      <c r="EB245" s="47"/>
      <c r="EC245" s="47"/>
      <c r="ED245" s="47"/>
      <c r="EE245" s="47"/>
      <c r="EF245" s="47"/>
      <c r="EG245" s="47"/>
      <c r="EH245" s="47"/>
      <c r="EI245" s="47"/>
      <c r="EJ245" s="47"/>
      <c r="EK245" s="47"/>
      <c r="EL245" s="47"/>
      <c r="EM245" s="47"/>
      <c r="EN245" s="47"/>
      <c r="EO245" s="47"/>
      <c r="EP245" s="47"/>
      <c r="EQ245" s="47"/>
    </row>
    <row r="246" spans="58:147"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  <c r="CP246" s="47"/>
      <c r="CQ246" s="47"/>
      <c r="CR246" s="47"/>
      <c r="CS246" s="47"/>
      <c r="CT246" s="47"/>
      <c r="CU246" s="47"/>
      <c r="CV246" s="47"/>
      <c r="CW246" s="47"/>
      <c r="CX246" s="47"/>
      <c r="CY246" s="47"/>
      <c r="CZ246" s="47"/>
      <c r="DA246" s="47"/>
      <c r="DB246" s="47"/>
      <c r="DC246" s="47"/>
      <c r="DD246" s="47"/>
      <c r="DE246" s="47"/>
      <c r="DF246" s="47"/>
      <c r="DG246" s="47"/>
      <c r="DH246" s="47"/>
      <c r="DI246" s="47"/>
      <c r="DJ246" s="47"/>
      <c r="DK246" s="47"/>
      <c r="DL246" s="47"/>
      <c r="DM246" s="47"/>
      <c r="DN246" s="47"/>
      <c r="DO246" s="47"/>
      <c r="DP246" s="47"/>
      <c r="DQ246" s="47"/>
      <c r="DR246" s="47"/>
      <c r="DS246" s="47"/>
      <c r="DT246" s="47"/>
      <c r="DU246" s="47"/>
      <c r="DV246" s="47"/>
      <c r="DW246" s="47"/>
      <c r="DX246" s="47"/>
      <c r="DY246" s="47"/>
      <c r="DZ246" s="47"/>
      <c r="EA246" s="47"/>
      <c r="EB246" s="47"/>
      <c r="EC246" s="47"/>
      <c r="ED246" s="47"/>
      <c r="EE246" s="47"/>
      <c r="EF246" s="47"/>
      <c r="EG246" s="47"/>
      <c r="EH246" s="47"/>
      <c r="EI246" s="47"/>
      <c r="EJ246" s="47"/>
      <c r="EK246" s="47"/>
      <c r="EL246" s="47"/>
      <c r="EM246" s="47"/>
      <c r="EN246" s="47"/>
      <c r="EO246" s="47"/>
      <c r="EP246" s="47"/>
      <c r="EQ246" s="47"/>
    </row>
    <row r="247" spans="58:147"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47"/>
      <c r="CZ247" s="47"/>
      <c r="DA247" s="47"/>
      <c r="DB247" s="47"/>
      <c r="DC247" s="47"/>
      <c r="DD247" s="47"/>
      <c r="DE247" s="47"/>
      <c r="DF247" s="47"/>
      <c r="DG247" s="47"/>
      <c r="DH247" s="47"/>
      <c r="DI247" s="47"/>
      <c r="DJ247" s="47"/>
      <c r="DK247" s="47"/>
      <c r="DL247" s="47"/>
      <c r="DM247" s="47"/>
      <c r="DN247" s="47"/>
      <c r="DO247" s="47"/>
      <c r="DP247" s="47"/>
      <c r="DQ247" s="47"/>
      <c r="DR247" s="47"/>
      <c r="DS247" s="47"/>
      <c r="DT247" s="47"/>
      <c r="DU247" s="47"/>
      <c r="DV247" s="47"/>
      <c r="DW247" s="47"/>
      <c r="DX247" s="47"/>
      <c r="DY247" s="47"/>
      <c r="DZ247" s="47"/>
      <c r="EA247" s="47"/>
      <c r="EB247" s="47"/>
      <c r="EC247" s="47"/>
      <c r="ED247" s="47"/>
      <c r="EE247" s="47"/>
      <c r="EF247" s="47"/>
      <c r="EG247" s="47"/>
      <c r="EH247" s="47"/>
      <c r="EI247" s="47"/>
      <c r="EJ247" s="47"/>
      <c r="EK247" s="47"/>
      <c r="EL247" s="47"/>
      <c r="EM247" s="47"/>
      <c r="EN247" s="47"/>
      <c r="EO247" s="47"/>
      <c r="EP247" s="47"/>
      <c r="EQ247" s="47"/>
    </row>
    <row r="248" spans="58:147"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  <c r="CP248" s="47"/>
      <c r="CQ248" s="47"/>
      <c r="CR248" s="47"/>
      <c r="CS248" s="47"/>
      <c r="CT248" s="47"/>
      <c r="CU248" s="47"/>
      <c r="CV248" s="47"/>
      <c r="CW248" s="47"/>
      <c r="CX248" s="47"/>
      <c r="CY248" s="47"/>
      <c r="CZ248" s="47"/>
      <c r="DA248" s="47"/>
      <c r="DB248" s="47"/>
      <c r="DC248" s="47"/>
      <c r="DD248" s="47"/>
      <c r="DE248" s="47"/>
      <c r="DF248" s="47"/>
      <c r="DG248" s="47"/>
      <c r="DH248" s="47"/>
      <c r="DI248" s="47"/>
      <c r="DJ248" s="47"/>
      <c r="DK248" s="47"/>
      <c r="DL248" s="47"/>
      <c r="DM248" s="47"/>
      <c r="DN248" s="47"/>
      <c r="DO248" s="47"/>
      <c r="DP248" s="47"/>
      <c r="DQ248" s="47"/>
      <c r="DR248" s="47"/>
      <c r="DS248" s="47"/>
      <c r="DT248" s="47"/>
      <c r="DU248" s="47"/>
      <c r="DV248" s="47"/>
      <c r="DW248" s="47"/>
      <c r="DX248" s="47"/>
      <c r="DY248" s="47"/>
      <c r="DZ248" s="47"/>
      <c r="EA248" s="47"/>
      <c r="EB248" s="47"/>
      <c r="EC248" s="47"/>
      <c r="ED248" s="47"/>
      <c r="EE248" s="47"/>
      <c r="EF248" s="47"/>
      <c r="EG248" s="47"/>
      <c r="EH248" s="47"/>
      <c r="EI248" s="47"/>
      <c r="EJ248" s="47"/>
      <c r="EK248" s="47"/>
      <c r="EL248" s="47"/>
      <c r="EM248" s="47"/>
      <c r="EN248" s="47"/>
      <c r="EO248" s="47"/>
      <c r="EP248" s="47"/>
      <c r="EQ248" s="47"/>
    </row>
    <row r="249" spans="58:147"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  <c r="CP249" s="47"/>
      <c r="CQ249" s="47"/>
      <c r="CR249" s="47"/>
      <c r="CS249" s="47"/>
      <c r="CT249" s="47"/>
      <c r="CU249" s="47"/>
      <c r="CV249" s="47"/>
      <c r="CW249" s="47"/>
      <c r="CX249" s="47"/>
      <c r="CY249" s="47"/>
      <c r="CZ249" s="47"/>
      <c r="DA249" s="47"/>
      <c r="DB249" s="47"/>
      <c r="DC249" s="47"/>
      <c r="DD249" s="47"/>
      <c r="DE249" s="47"/>
      <c r="DF249" s="47"/>
      <c r="DG249" s="47"/>
      <c r="DH249" s="47"/>
      <c r="DI249" s="47"/>
      <c r="DJ249" s="47"/>
      <c r="DK249" s="47"/>
      <c r="DL249" s="47"/>
      <c r="DM249" s="47"/>
      <c r="DN249" s="47"/>
      <c r="DO249" s="47"/>
      <c r="DP249" s="47"/>
      <c r="DQ249" s="47"/>
      <c r="DR249" s="47"/>
      <c r="DS249" s="47"/>
      <c r="DT249" s="47"/>
      <c r="DU249" s="47"/>
      <c r="DV249" s="47"/>
      <c r="DW249" s="47"/>
      <c r="DX249" s="47"/>
      <c r="DY249" s="47"/>
      <c r="DZ249" s="47"/>
      <c r="EA249" s="47"/>
      <c r="EB249" s="47"/>
      <c r="EC249" s="47"/>
      <c r="ED249" s="47"/>
      <c r="EE249" s="47"/>
      <c r="EF249" s="47"/>
      <c r="EG249" s="47"/>
      <c r="EH249" s="47"/>
      <c r="EI249" s="47"/>
      <c r="EJ249" s="47"/>
      <c r="EK249" s="47"/>
      <c r="EL249" s="47"/>
      <c r="EM249" s="47"/>
      <c r="EN249" s="47"/>
      <c r="EO249" s="47"/>
      <c r="EP249" s="47"/>
      <c r="EQ249" s="47"/>
    </row>
    <row r="250" spans="58:147"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  <c r="CP250" s="47"/>
      <c r="CQ250" s="47"/>
      <c r="CR250" s="47"/>
      <c r="CS250" s="47"/>
      <c r="CT250" s="47"/>
      <c r="CU250" s="47"/>
      <c r="CV250" s="47"/>
      <c r="CW250" s="47"/>
      <c r="CX250" s="47"/>
      <c r="CY250" s="47"/>
      <c r="CZ250" s="47"/>
      <c r="DA250" s="47"/>
      <c r="DB250" s="47"/>
      <c r="DC250" s="47"/>
      <c r="DD250" s="47"/>
      <c r="DE250" s="47"/>
      <c r="DF250" s="47"/>
      <c r="DG250" s="47"/>
      <c r="DH250" s="47"/>
      <c r="DI250" s="47"/>
      <c r="DJ250" s="47"/>
      <c r="DK250" s="47"/>
      <c r="DL250" s="47"/>
      <c r="DM250" s="47"/>
      <c r="DN250" s="47"/>
      <c r="DO250" s="47"/>
      <c r="DP250" s="47"/>
      <c r="DQ250" s="47"/>
      <c r="DR250" s="47"/>
      <c r="DS250" s="47"/>
      <c r="DT250" s="47"/>
      <c r="DU250" s="47"/>
      <c r="DV250" s="47"/>
      <c r="DW250" s="47"/>
      <c r="DX250" s="47"/>
      <c r="DY250" s="47"/>
      <c r="DZ250" s="47"/>
      <c r="EA250" s="47"/>
      <c r="EB250" s="47"/>
      <c r="EC250" s="47"/>
      <c r="ED250" s="47"/>
      <c r="EE250" s="47"/>
      <c r="EF250" s="47"/>
      <c r="EG250" s="47"/>
      <c r="EH250" s="47"/>
      <c r="EI250" s="47"/>
      <c r="EJ250" s="47"/>
      <c r="EK250" s="47"/>
      <c r="EL250" s="47"/>
      <c r="EM250" s="47"/>
      <c r="EN250" s="47"/>
      <c r="EO250" s="47"/>
      <c r="EP250" s="47"/>
      <c r="EQ250" s="47"/>
    </row>
    <row r="251" spans="58:147"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7"/>
      <c r="CQ251" s="47"/>
      <c r="CR251" s="47"/>
      <c r="CS251" s="47"/>
      <c r="CT251" s="47"/>
      <c r="CU251" s="47"/>
      <c r="CV251" s="47"/>
      <c r="CW251" s="47"/>
      <c r="CX251" s="47"/>
      <c r="CY251" s="47"/>
      <c r="CZ251" s="47"/>
      <c r="DA251" s="47"/>
      <c r="DB251" s="47"/>
      <c r="DC251" s="47"/>
      <c r="DD251" s="47"/>
      <c r="DE251" s="47"/>
      <c r="DF251" s="47"/>
      <c r="DG251" s="47"/>
      <c r="DH251" s="47"/>
      <c r="DI251" s="47"/>
      <c r="DJ251" s="47"/>
      <c r="DK251" s="47"/>
      <c r="DL251" s="47"/>
      <c r="DM251" s="47"/>
      <c r="DN251" s="47"/>
      <c r="DO251" s="47"/>
      <c r="DP251" s="47"/>
      <c r="DQ251" s="47"/>
      <c r="DR251" s="47"/>
      <c r="DS251" s="47"/>
      <c r="DT251" s="47"/>
      <c r="DU251" s="47"/>
      <c r="DV251" s="47"/>
      <c r="DW251" s="47"/>
      <c r="DX251" s="47"/>
      <c r="DY251" s="47"/>
      <c r="DZ251" s="47"/>
      <c r="EA251" s="47"/>
      <c r="EB251" s="47"/>
      <c r="EC251" s="47"/>
      <c r="ED251" s="47"/>
      <c r="EE251" s="47"/>
      <c r="EF251" s="47"/>
      <c r="EG251" s="47"/>
      <c r="EH251" s="47"/>
      <c r="EI251" s="47"/>
      <c r="EJ251" s="47"/>
      <c r="EK251" s="47"/>
      <c r="EL251" s="47"/>
      <c r="EM251" s="47"/>
      <c r="EN251" s="47"/>
      <c r="EO251" s="47"/>
      <c r="EP251" s="47"/>
      <c r="EQ251" s="47"/>
    </row>
    <row r="252" spans="58:147"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7"/>
      <c r="CQ252" s="47"/>
      <c r="CR252" s="47"/>
      <c r="CS252" s="47"/>
      <c r="CT252" s="47"/>
      <c r="CU252" s="47"/>
      <c r="CV252" s="47"/>
      <c r="CW252" s="47"/>
      <c r="CX252" s="47"/>
      <c r="CY252" s="47"/>
      <c r="CZ252" s="47"/>
      <c r="DA252" s="47"/>
      <c r="DB252" s="47"/>
      <c r="DC252" s="47"/>
      <c r="DD252" s="47"/>
      <c r="DE252" s="47"/>
      <c r="DF252" s="47"/>
      <c r="DG252" s="47"/>
      <c r="DH252" s="47"/>
      <c r="DI252" s="47"/>
      <c r="DJ252" s="47"/>
      <c r="DK252" s="47"/>
      <c r="DL252" s="47"/>
      <c r="DM252" s="47"/>
      <c r="DN252" s="47"/>
      <c r="DO252" s="47"/>
      <c r="DP252" s="47"/>
      <c r="DQ252" s="47"/>
      <c r="DR252" s="47"/>
      <c r="DS252" s="47"/>
      <c r="DT252" s="47"/>
      <c r="DU252" s="47"/>
      <c r="DV252" s="47"/>
      <c r="DW252" s="47"/>
      <c r="DX252" s="47"/>
      <c r="DY252" s="47"/>
      <c r="DZ252" s="47"/>
      <c r="EA252" s="47"/>
      <c r="EB252" s="47"/>
      <c r="EC252" s="47"/>
      <c r="ED252" s="47"/>
      <c r="EE252" s="47"/>
      <c r="EF252" s="47"/>
      <c r="EG252" s="47"/>
      <c r="EH252" s="47"/>
      <c r="EI252" s="47"/>
      <c r="EJ252" s="47"/>
      <c r="EK252" s="47"/>
      <c r="EL252" s="47"/>
      <c r="EM252" s="47"/>
      <c r="EN252" s="47"/>
      <c r="EO252" s="47"/>
      <c r="EP252" s="47"/>
      <c r="EQ252" s="47"/>
    </row>
    <row r="253" spans="58:147"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7"/>
      <c r="CQ253" s="47"/>
      <c r="CR253" s="47"/>
      <c r="CS253" s="47"/>
      <c r="CT253" s="47"/>
      <c r="CU253" s="47"/>
      <c r="CV253" s="47"/>
      <c r="CW253" s="47"/>
      <c r="CX253" s="47"/>
      <c r="CY253" s="47"/>
      <c r="CZ253" s="47"/>
      <c r="DA253" s="47"/>
      <c r="DB253" s="47"/>
      <c r="DC253" s="47"/>
      <c r="DD253" s="47"/>
      <c r="DE253" s="47"/>
      <c r="DF253" s="47"/>
      <c r="DG253" s="47"/>
      <c r="DH253" s="47"/>
      <c r="DI253" s="47"/>
      <c r="DJ253" s="47"/>
      <c r="DK253" s="47"/>
      <c r="DL253" s="47"/>
      <c r="DM253" s="47"/>
      <c r="DN253" s="47"/>
      <c r="DO253" s="47"/>
      <c r="DP253" s="47"/>
      <c r="DQ253" s="47"/>
      <c r="DR253" s="47"/>
      <c r="DS253" s="47"/>
      <c r="DT253" s="47"/>
      <c r="DU253" s="47"/>
      <c r="DV253" s="47"/>
      <c r="DW253" s="47"/>
      <c r="DX253" s="47"/>
      <c r="DY253" s="47"/>
      <c r="DZ253" s="47"/>
      <c r="EA253" s="47"/>
      <c r="EB253" s="47"/>
      <c r="EC253" s="47"/>
      <c r="ED253" s="47"/>
      <c r="EE253" s="47"/>
      <c r="EF253" s="47"/>
      <c r="EG253" s="47"/>
      <c r="EH253" s="47"/>
      <c r="EI253" s="47"/>
      <c r="EJ253" s="47"/>
      <c r="EK253" s="47"/>
      <c r="EL253" s="47"/>
      <c r="EM253" s="47"/>
      <c r="EN253" s="47"/>
      <c r="EO253" s="47"/>
      <c r="EP253" s="47"/>
      <c r="EQ253" s="47"/>
    </row>
    <row r="254" spans="58:147"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7"/>
      <c r="CQ254" s="47"/>
      <c r="CR254" s="47"/>
      <c r="CS254" s="47"/>
      <c r="CT254" s="47"/>
      <c r="CU254" s="47"/>
      <c r="CV254" s="47"/>
      <c r="CW254" s="47"/>
      <c r="CX254" s="47"/>
      <c r="CY254" s="47"/>
      <c r="CZ254" s="47"/>
      <c r="DA254" s="47"/>
      <c r="DB254" s="47"/>
      <c r="DC254" s="47"/>
      <c r="DD254" s="47"/>
      <c r="DE254" s="47"/>
      <c r="DF254" s="47"/>
      <c r="DG254" s="47"/>
      <c r="DH254" s="47"/>
      <c r="DI254" s="47"/>
      <c r="DJ254" s="47"/>
      <c r="DK254" s="47"/>
      <c r="DL254" s="47"/>
      <c r="DM254" s="47"/>
      <c r="DN254" s="47"/>
      <c r="DO254" s="47"/>
      <c r="DP254" s="47"/>
      <c r="DQ254" s="47"/>
      <c r="DR254" s="47"/>
      <c r="DS254" s="47"/>
      <c r="DT254" s="47"/>
      <c r="DU254" s="47"/>
      <c r="DV254" s="47"/>
      <c r="DW254" s="47"/>
      <c r="DX254" s="47"/>
      <c r="DY254" s="47"/>
      <c r="DZ254" s="47"/>
      <c r="EA254" s="47"/>
      <c r="EB254" s="47"/>
      <c r="EC254" s="47"/>
      <c r="ED254" s="47"/>
      <c r="EE254" s="47"/>
      <c r="EF254" s="47"/>
      <c r="EG254" s="47"/>
      <c r="EH254" s="47"/>
      <c r="EI254" s="47"/>
      <c r="EJ254" s="47"/>
      <c r="EK254" s="47"/>
      <c r="EL254" s="47"/>
      <c r="EM254" s="47"/>
      <c r="EN254" s="47"/>
      <c r="EO254" s="47"/>
      <c r="EP254" s="47"/>
      <c r="EQ254" s="47"/>
    </row>
    <row r="255" spans="58:147"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7"/>
      <c r="CQ255" s="47"/>
      <c r="CR255" s="47"/>
      <c r="CS255" s="47"/>
      <c r="CT255" s="47"/>
      <c r="CU255" s="47"/>
      <c r="CV255" s="47"/>
      <c r="CW255" s="47"/>
      <c r="CX255" s="47"/>
      <c r="CY255" s="47"/>
      <c r="CZ255" s="47"/>
      <c r="DA255" s="47"/>
      <c r="DB255" s="47"/>
      <c r="DC255" s="47"/>
      <c r="DD255" s="47"/>
      <c r="DE255" s="47"/>
      <c r="DF255" s="47"/>
      <c r="DG255" s="47"/>
      <c r="DH255" s="47"/>
      <c r="DI255" s="47"/>
      <c r="DJ255" s="47"/>
      <c r="DK255" s="47"/>
      <c r="DL255" s="47"/>
      <c r="DM255" s="47"/>
      <c r="DN255" s="47"/>
      <c r="DO255" s="47"/>
      <c r="DP255" s="47"/>
      <c r="DQ255" s="47"/>
      <c r="DR255" s="47"/>
      <c r="DS255" s="47"/>
      <c r="DT255" s="47"/>
      <c r="DU255" s="47"/>
      <c r="DV255" s="47"/>
      <c r="DW255" s="47"/>
      <c r="DX255" s="47"/>
      <c r="DY255" s="47"/>
      <c r="DZ255" s="47"/>
      <c r="EA255" s="47"/>
      <c r="EB255" s="47"/>
      <c r="EC255" s="47"/>
      <c r="ED255" s="47"/>
      <c r="EE255" s="47"/>
      <c r="EF255" s="47"/>
      <c r="EG255" s="47"/>
      <c r="EH255" s="47"/>
      <c r="EI255" s="47"/>
      <c r="EJ255" s="47"/>
      <c r="EK255" s="47"/>
      <c r="EL255" s="47"/>
      <c r="EM255" s="47"/>
      <c r="EN255" s="47"/>
      <c r="EO255" s="47"/>
      <c r="EP255" s="47"/>
      <c r="EQ255" s="47"/>
    </row>
    <row r="256" spans="58:147"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7"/>
      <c r="CQ256" s="47"/>
      <c r="CR256" s="47"/>
      <c r="CS256" s="47"/>
      <c r="CT256" s="47"/>
      <c r="CU256" s="47"/>
      <c r="CV256" s="47"/>
      <c r="CW256" s="47"/>
      <c r="CX256" s="47"/>
      <c r="CY256" s="47"/>
      <c r="CZ256" s="47"/>
      <c r="DA256" s="47"/>
      <c r="DB256" s="47"/>
      <c r="DC256" s="47"/>
      <c r="DD256" s="47"/>
      <c r="DE256" s="47"/>
      <c r="DF256" s="47"/>
      <c r="DG256" s="47"/>
      <c r="DH256" s="47"/>
      <c r="DI256" s="47"/>
      <c r="DJ256" s="47"/>
      <c r="DK256" s="47"/>
      <c r="DL256" s="47"/>
      <c r="DM256" s="47"/>
      <c r="DN256" s="47"/>
      <c r="DO256" s="47"/>
      <c r="DP256" s="47"/>
      <c r="DQ256" s="47"/>
      <c r="DR256" s="47"/>
      <c r="DS256" s="47"/>
      <c r="DT256" s="47"/>
      <c r="DU256" s="47"/>
      <c r="DV256" s="47"/>
      <c r="DW256" s="47"/>
      <c r="DX256" s="47"/>
      <c r="DY256" s="47"/>
      <c r="DZ256" s="47"/>
      <c r="EA256" s="47"/>
      <c r="EB256" s="47"/>
      <c r="EC256" s="47"/>
      <c r="ED256" s="47"/>
      <c r="EE256" s="47"/>
      <c r="EF256" s="47"/>
      <c r="EG256" s="47"/>
      <c r="EH256" s="47"/>
      <c r="EI256" s="47"/>
      <c r="EJ256" s="47"/>
      <c r="EK256" s="47"/>
      <c r="EL256" s="47"/>
      <c r="EM256" s="47"/>
      <c r="EN256" s="47"/>
      <c r="EO256" s="47"/>
      <c r="EP256" s="47"/>
      <c r="EQ256" s="47"/>
    </row>
    <row r="257" spans="58:147"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7"/>
      <c r="CQ257" s="47"/>
      <c r="CR257" s="47"/>
      <c r="CS257" s="47"/>
      <c r="CT257" s="47"/>
      <c r="CU257" s="47"/>
      <c r="CV257" s="47"/>
      <c r="CW257" s="47"/>
      <c r="CX257" s="47"/>
      <c r="CY257" s="47"/>
      <c r="CZ257" s="47"/>
      <c r="DA257" s="47"/>
      <c r="DB257" s="47"/>
      <c r="DC257" s="47"/>
      <c r="DD257" s="47"/>
      <c r="DE257" s="47"/>
      <c r="DF257" s="47"/>
      <c r="DG257" s="47"/>
      <c r="DH257" s="47"/>
      <c r="DI257" s="47"/>
      <c r="DJ257" s="47"/>
      <c r="DK257" s="47"/>
      <c r="DL257" s="47"/>
      <c r="DM257" s="47"/>
      <c r="DN257" s="47"/>
      <c r="DO257" s="47"/>
      <c r="DP257" s="47"/>
      <c r="DQ257" s="47"/>
      <c r="DR257" s="47"/>
      <c r="DS257" s="47"/>
      <c r="DT257" s="47"/>
      <c r="DU257" s="47"/>
      <c r="DV257" s="47"/>
      <c r="DW257" s="47"/>
      <c r="DX257" s="47"/>
      <c r="DY257" s="47"/>
      <c r="DZ257" s="47"/>
      <c r="EA257" s="47"/>
      <c r="EB257" s="47"/>
      <c r="EC257" s="47"/>
      <c r="ED257" s="47"/>
      <c r="EE257" s="47"/>
      <c r="EF257" s="47"/>
      <c r="EG257" s="47"/>
      <c r="EH257" s="47"/>
      <c r="EI257" s="47"/>
      <c r="EJ257" s="47"/>
      <c r="EK257" s="47"/>
      <c r="EL257" s="47"/>
      <c r="EM257" s="47"/>
      <c r="EN257" s="47"/>
      <c r="EO257" s="47"/>
      <c r="EP257" s="47"/>
      <c r="EQ257" s="47"/>
    </row>
    <row r="258" spans="58:147"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7"/>
      <c r="CQ258" s="47"/>
      <c r="CR258" s="47"/>
      <c r="CS258" s="47"/>
      <c r="CT258" s="47"/>
      <c r="CU258" s="47"/>
      <c r="CV258" s="47"/>
      <c r="CW258" s="47"/>
      <c r="CX258" s="47"/>
      <c r="CY258" s="47"/>
      <c r="CZ258" s="47"/>
      <c r="DA258" s="47"/>
      <c r="DB258" s="47"/>
      <c r="DC258" s="47"/>
      <c r="DD258" s="47"/>
      <c r="DE258" s="47"/>
      <c r="DF258" s="47"/>
      <c r="DG258" s="47"/>
      <c r="DH258" s="47"/>
      <c r="DI258" s="47"/>
      <c r="DJ258" s="47"/>
      <c r="DK258" s="47"/>
      <c r="DL258" s="47"/>
      <c r="DM258" s="47"/>
      <c r="DN258" s="47"/>
      <c r="DO258" s="47"/>
      <c r="DP258" s="47"/>
      <c r="DQ258" s="47"/>
      <c r="DR258" s="47"/>
      <c r="DS258" s="47"/>
      <c r="DT258" s="47"/>
      <c r="DU258" s="47"/>
      <c r="DV258" s="47"/>
      <c r="DW258" s="47"/>
      <c r="DX258" s="47"/>
      <c r="DY258" s="47"/>
      <c r="DZ258" s="47"/>
      <c r="EA258" s="47"/>
      <c r="EB258" s="47"/>
      <c r="EC258" s="47"/>
      <c r="ED258" s="47"/>
      <c r="EE258" s="47"/>
      <c r="EF258" s="47"/>
      <c r="EG258" s="47"/>
      <c r="EH258" s="47"/>
      <c r="EI258" s="47"/>
      <c r="EJ258" s="47"/>
      <c r="EK258" s="47"/>
      <c r="EL258" s="47"/>
      <c r="EM258" s="47"/>
      <c r="EN258" s="47"/>
      <c r="EO258" s="47"/>
      <c r="EP258" s="47"/>
      <c r="EQ258" s="47"/>
    </row>
    <row r="259" spans="58:147"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7"/>
      <c r="CQ259" s="47"/>
      <c r="CR259" s="47"/>
      <c r="CS259" s="47"/>
      <c r="CT259" s="47"/>
      <c r="CU259" s="47"/>
      <c r="CV259" s="47"/>
      <c r="CW259" s="47"/>
      <c r="CX259" s="47"/>
      <c r="CY259" s="47"/>
      <c r="CZ259" s="47"/>
      <c r="DA259" s="47"/>
      <c r="DB259" s="47"/>
      <c r="DC259" s="47"/>
      <c r="DD259" s="47"/>
      <c r="DE259" s="47"/>
      <c r="DF259" s="47"/>
      <c r="DG259" s="47"/>
      <c r="DH259" s="47"/>
      <c r="DI259" s="47"/>
      <c r="DJ259" s="47"/>
      <c r="DK259" s="47"/>
      <c r="DL259" s="47"/>
      <c r="DM259" s="47"/>
      <c r="DN259" s="47"/>
      <c r="DO259" s="47"/>
      <c r="DP259" s="47"/>
      <c r="DQ259" s="47"/>
      <c r="DR259" s="47"/>
      <c r="DS259" s="47"/>
      <c r="DT259" s="47"/>
      <c r="DU259" s="47"/>
      <c r="DV259" s="47"/>
      <c r="DW259" s="47"/>
      <c r="DX259" s="47"/>
      <c r="DY259" s="47"/>
      <c r="DZ259" s="47"/>
      <c r="EA259" s="47"/>
      <c r="EB259" s="47"/>
      <c r="EC259" s="47"/>
      <c r="ED259" s="47"/>
      <c r="EE259" s="47"/>
      <c r="EF259" s="47"/>
      <c r="EG259" s="47"/>
      <c r="EH259" s="47"/>
      <c r="EI259" s="47"/>
      <c r="EJ259" s="47"/>
      <c r="EK259" s="47"/>
      <c r="EL259" s="47"/>
      <c r="EM259" s="47"/>
      <c r="EN259" s="47"/>
      <c r="EO259" s="47"/>
      <c r="EP259" s="47"/>
      <c r="EQ259" s="47"/>
    </row>
    <row r="260" spans="58:147"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7"/>
      <c r="CQ260" s="47"/>
      <c r="CR260" s="47"/>
      <c r="CS260" s="47"/>
      <c r="CT260" s="47"/>
      <c r="CU260" s="47"/>
      <c r="CV260" s="47"/>
      <c r="CW260" s="47"/>
      <c r="CX260" s="47"/>
      <c r="CY260" s="47"/>
      <c r="CZ260" s="47"/>
      <c r="DA260" s="47"/>
      <c r="DB260" s="47"/>
      <c r="DC260" s="47"/>
      <c r="DD260" s="47"/>
      <c r="DE260" s="47"/>
      <c r="DF260" s="47"/>
      <c r="DG260" s="47"/>
      <c r="DH260" s="47"/>
      <c r="DI260" s="47"/>
      <c r="DJ260" s="47"/>
      <c r="DK260" s="47"/>
      <c r="DL260" s="47"/>
      <c r="DM260" s="47"/>
      <c r="DN260" s="47"/>
      <c r="DO260" s="47"/>
      <c r="DP260" s="47"/>
      <c r="DQ260" s="47"/>
      <c r="DR260" s="47"/>
      <c r="DS260" s="47"/>
      <c r="DT260" s="47"/>
      <c r="DU260" s="47"/>
      <c r="DV260" s="47"/>
      <c r="DW260" s="47"/>
      <c r="DX260" s="47"/>
      <c r="DY260" s="47"/>
      <c r="DZ260" s="47"/>
      <c r="EA260" s="47"/>
      <c r="EB260" s="47"/>
      <c r="EC260" s="47"/>
      <c r="ED260" s="47"/>
      <c r="EE260" s="47"/>
      <c r="EF260" s="47"/>
      <c r="EG260" s="47"/>
      <c r="EH260" s="47"/>
      <c r="EI260" s="47"/>
      <c r="EJ260" s="47"/>
      <c r="EK260" s="47"/>
      <c r="EL260" s="47"/>
      <c r="EM260" s="47"/>
      <c r="EN260" s="47"/>
      <c r="EO260" s="47"/>
      <c r="EP260" s="47"/>
      <c r="EQ260" s="47"/>
    </row>
    <row r="261" spans="58:147"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  <c r="CY261" s="47"/>
      <c r="CZ261" s="47"/>
      <c r="DA261" s="47"/>
      <c r="DB261" s="47"/>
      <c r="DC261" s="47"/>
      <c r="DD261" s="47"/>
      <c r="DE261" s="47"/>
      <c r="DF261" s="47"/>
      <c r="DG261" s="47"/>
      <c r="DH261" s="47"/>
      <c r="DI261" s="47"/>
      <c r="DJ261" s="47"/>
      <c r="DK261" s="47"/>
      <c r="DL261" s="47"/>
      <c r="DM261" s="47"/>
      <c r="DN261" s="47"/>
      <c r="DO261" s="47"/>
      <c r="DP261" s="47"/>
      <c r="DQ261" s="47"/>
      <c r="DR261" s="47"/>
      <c r="DS261" s="47"/>
      <c r="DT261" s="47"/>
      <c r="DU261" s="47"/>
      <c r="DV261" s="47"/>
      <c r="DW261" s="47"/>
      <c r="DX261" s="47"/>
      <c r="DY261" s="47"/>
      <c r="DZ261" s="47"/>
      <c r="EA261" s="47"/>
      <c r="EB261" s="47"/>
      <c r="EC261" s="47"/>
      <c r="ED261" s="47"/>
      <c r="EE261" s="47"/>
      <c r="EF261" s="47"/>
      <c r="EG261" s="47"/>
      <c r="EH261" s="47"/>
      <c r="EI261" s="47"/>
      <c r="EJ261" s="47"/>
      <c r="EK261" s="47"/>
      <c r="EL261" s="47"/>
      <c r="EM261" s="47"/>
      <c r="EN261" s="47"/>
      <c r="EO261" s="47"/>
      <c r="EP261" s="47"/>
      <c r="EQ261" s="47"/>
    </row>
    <row r="262" spans="58:147"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R262" s="47"/>
      <c r="CS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  <c r="DI262" s="47"/>
      <c r="DJ262" s="47"/>
      <c r="DK262" s="47"/>
      <c r="DL262" s="47"/>
      <c r="DM262" s="47"/>
      <c r="DN262" s="47"/>
      <c r="DO262" s="47"/>
      <c r="DP262" s="47"/>
      <c r="DQ262" s="47"/>
      <c r="DR262" s="47"/>
      <c r="DS262" s="47"/>
      <c r="DT262" s="47"/>
      <c r="DU262" s="47"/>
      <c r="DV262" s="47"/>
      <c r="DW262" s="47"/>
      <c r="DX262" s="47"/>
      <c r="DY262" s="47"/>
      <c r="DZ262" s="47"/>
      <c r="EA262" s="47"/>
      <c r="EB262" s="47"/>
      <c r="EC262" s="47"/>
      <c r="ED262" s="47"/>
      <c r="EE262" s="47"/>
      <c r="EF262" s="47"/>
      <c r="EG262" s="47"/>
      <c r="EH262" s="47"/>
      <c r="EI262" s="47"/>
      <c r="EJ262" s="47"/>
      <c r="EK262" s="47"/>
      <c r="EL262" s="47"/>
      <c r="EM262" s="47"/>
      <c r="EN262" s="47"/>
      <c r="EO262" s="47"/>
      <c r="EP262" s="47"/>
      <c r="EQ262" s="47"/>
    </row>
    <row r="263" spans="58:147"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47"/>
      <c r="DA263" s="47"/>
      <c r="DB263" s="47"/>
      <c r="DC263" s="47"/>
      <c r="DD263" s="47"/>
      <c r="DE263" s="47"/>
      <c r="DF263" s="47"/>
      <c r="DG263" s="47"/>
      <c r="DH263" s="47"/>
      <c r="DI263" s="47"/>
      <c r="DJ263" s="47"/>
      <c r="DK263" s="47"/>
      <c r="DL263" s="47"/>
      <c r="DM263" s="47"/>
      <c r="DN263" s="47"/>
      <c r="DO263" s="47"/>
      <c r="DP263" s="47"/>
      <c r="DQ263" s="47"/>
      <c r="DR263" s="47"/>
      <c r="DS263" s="47"/>
      <c r="DT263" s="47"/>
      <c r="DU263" s="47"/>
      <c r="DV263" s="47"/>
      <c r="DW263" s="47"/>
      <c r="DX263" s="47"/>
      <c r="DY263" s="47"/>
      <c r="DZ263" s="47"/>
      <c r="EA263" s="47"/>
      <c r="EB263" s="47"/>
      <c r="EC263" s="47"/>
      <c r="ED263" s="47"/>
      <c r="EE263" s="47"/>
      <c r="EF263" s="47"/>
      <c r="EG263" s="47"/>
      <c r="EH263" s="47"/>
      <c r="EI263" s="47"/>
      <c r="EJ263" s="47"/>
      <c r="EK263" s="47"/>
      <c r="EL263" s="47"/>
      <c r="EM263" s="47"/>
      <c r="EN263" s="47"/>
      <c r="EO263" s="47"/>
      <c r="EP263" s="47"/>
      <c r="EQ263" s="47"/>
    </row>
    <row r="264" spans="58:147"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7"/>
      <c r="CQ264" s="47"/>
      <c r="CR264" s="47"/>
      <c r="CS264" s="47"/>
      <c r="CT264" s="47"/>
      <c r="CU264" s="47"/>
      <c r="CV264" s="47"/>
      <c r="CW264" s="47"/>
      <c r="CX264" s="47"/>
      <c r="CY264" s="47"/>
      <c r="CZ264" s="47"/>
      <c r="DA264" s="47"/>
      <c r="DB264" s="47"/>
      <c r="DC264" s="47"/>
      <c r="DD264" s="47"/>
      <c r="DE264" s="47"/>
      <c r="DF264" s="47"/>
      <c r="DG264" s="47"/>
      <c r="DH264" s="47"/>
      <c r="DI264" s="47"/>
      <c r="DJ264" s="47"/>
      <c r="DK264" s="47"/>
      <c r="DL264" s="47"/>
      <c r="DM264" s="47"/>
      <c r="DN264" s="47"/>
      <c r="DO264" s="47"/>
      <c r="DP264" s="47"/>
      <c r="DQ264" s="47"/>
      <c r="DR264" s="47"/>
      <c r="DS264" s="47"/>
      <c r="DT264" s="47"/>
      <c r="DU264" s="47"/>
      <c r="DV264" s="47"/>
      <c r="DW264" s="47"/>
      <c r="DX264" s="47"/>
      <c r="DY264" s="47"/>
      <c r="DZ264" s="47"/>
      <c r="EA264" s="47"/>
      <c r="EB264" s="47"/>
      <c r="EC264" s="47"/>
      <c r="ED264" s="47"/>
      <c r="EE264" s="47"/>
      <c r="EF264" s="47"/>
      <c r="EG264" s="47"/>
      <c r="EH264" s="47"/>
      <c r="EI264" s="47"/>
      <c r="EJ264" s="47"/>
      <c r="EK264" s="47"/>
      <c r="EL264" s="47"/>
      <c r="EM264" s="47"/>
      <c r="EN264" s="47"/>
      <c r="EO264" s="47"/>
      <c r="EP264" s="47"/>
      <c r="EQ264" s="47"/>
    </row>
    <row r="265" spans="58:147"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7"/>
      <c r="CQ265" s="47"/>
      <c r="CR265" s="47"/>
      <c r="CS265" s="47"/>
      <c r="CT265" s="47"/>
      <c r="CU265" s="47"/>
      <c r="CV265" s="47"/>
      <c r="CW265" s="47"/>
      <c r="CX265" s="47"/>
      <c r="CY265" s="47"/>
      <c r="CZ265" s="47"/>
      <c r="DA265" s="47"/>
      <c r="DB265" s="47"/>
      <c r="DC265" s="47"/>
      <c r="DD265" s="47"/>
      <c r="DE265" s="47"/>
      <c r="DF265" s="47"/>
      <c r="DG265" s="47"/>
      <c r="DH265" s="47"/>
      <c r="DI265" s="47"/>
      <c r="DJ265" s="47"/>
      <c r="DK265" s="47"/>
      <c r="DL265" s="47"/>
      <c r="DM265" s="47"/>
      <c r="DN265" s="47"/>
      <c r="DO265" s="47"/>
      <c r="DP265" s="47"/>
      <c r="DQ265" s="47"/>
      <c r="DR265" s="47"/>
      <c r="DS265" s="47"/>
      <c r="DT265" s="47"/>
      <c r="DU265" s="47"/>
      <c r="DV265" s="47"/>
      <c r="DW265" s="47"/>
      <c r="DX265" s="47"/>
      <c r="DY265" s="47"/>
      <c r="DZ265" s="47"/>
      <c r="EA265" s="47"/>
      <c r="EB265" s="47"/>
      <c r="EC265" s="47"/>
      <c r="ED265" s="47"/>
      <c r="EE265" s="47"/>
      <c r="EF265" s="47"/>
      <c r="EG265" s="47"/>
      <c r="EH265" s="47"/>
      <c r="EI265" s="47"/>
      <c r="EJ265" s="47"/>
      <c r="EK265" s="47"/>
      <c r="EL265" s="47"/>
      <c r="EM265" s="47"/>
      <c r="EN265" s="47"/>
      <c r="EO265" s="47"/>
      <c r="EP265" s="47"/>
      <c r="EQ265" s="47"/>
    </row>
    <row r="266" spans="58:147"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R266" s="47"/>
      <c r="CS266" s="47"/>
      <c r="CT266" s="47"/>
      <c r="CU266" s="47"/>
      <c r="CV266" s="47"/>
      <c r="CW266" s="47"/>
      <c r="CX266" s="47"/>
      <c r="CY266" s="47"/>
      <c r="CZ266" s="47"/>
      <c r="DA266" s="47"/>
      <c r="DB266" s="47"/>
      <c r="DC266" s="47"/>
      <c r="DD266" s="47"/>
      <c r="DE266" s="47"/>
      <c r="DF266" s="47"/>
      <c r="DG266" s="47"/>
      <c r="DH266" s="47"/>
      <c r="DI266" s="47"/>
      <c r="DJ266" s="47"/>
      <c r="DK266" s="47"/>
      <c r="DL266" s="47"/>
      <c r="DM266" s="47"/>
      <c r="DN266" s="47"/>
      <c r="DO266" s="47"/>
      <c r="DP266" s="47"/>
      <c r="DQ266" s="47"/>
      <c r="DR266" s="47"/>
      <c r="DS266" s="47"/>
      <c r="DT266" s="47"/>
      <c r="DU266" s="47"/>
      <c r="DV266" s="47"/>
      <c r="DW266" s="47"/>
      <c r="DX266" s="47"/>
      <c r="DY266" s="47"/>
      <c r="DZ266" s="47"/>
      <c r="EA266" s="47"/>
      <c r="EB266" s="47"/>
      <c r="EC266" s="47"/>
      <c r="ED266" s="47"/>
      <c r="EE266" s="47"/>
      <c r="EF266" s="47"/>
      <c r="EG266" s="47"/>
      <c r="EH266" s="47"/>
      <c r="EI266" s="47"/>
      <c r="EJ266" s="47"/>
      <c r="EK266" s="47"/>
      <c r="EL266" s="47"/>
      <c r="EM266" s="47"/>
      <c r="EN266" s="47"/>
      <c r="EO266" s="47"/>
      <c r="EP266" s="47"/>
      <c r="EQ266" s="47"/>
    </row>
    <row r="267" spans="58:147"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47"/>
      <c r="DA267" s="47"/>
      <c r="DB267" s="47"/>
      <c r="DC267" s="47"/>
      <c r="DD267" s="47"/>
      <c r="DE267" s="47"/>
      <c r="DF267" s="47"/>
      <c r="DG267" s="47"/>
      <c r="DH267" s="47"/>
      <c r="DI267" s="47"/>
      <c r="DJ267" s="47"/>
      <c r="DK267" s="47"/>
      <c r="DL267" s="47"/>
      <c r="DM267" s="47"/>
      <c r="DN267" s="47"/>
      <c r="DO267" s="47"/>
      <c r="DP267" s="47"/>
      <c r="DQ267" s="47"/>
      <c r="DR267" s="47"/>
      <c r="DS267" s="47"/>
      <c r="DT267" s="47"/>
      <c r="DU267" s="47"/>
      <c r="DV267" s="47"/>
      <c r="DW267" s="47"/>
      <c r="DX267" s="47"/>
      <c r="DY267" s="47"/>
      <c r="DZ267" s="47"/>
      <c r="EA267" s="47"/>
      <c r="EB267" s="47"/>
      <c r="EC267" s="47"/>
      <c r="ED267" s="47"/>
      <c r="EE267" s="47"/>
      <c r="EF267" s="47"/>
      <c r="EG267" s="47"/>
      <c r="EH267" s="47"/>
      <c r="EI267" s="47"/>
      <c r="EJ267" s="47"/>
      <c r="EK267" s="47"/>
      <c r="EL267" s="47"/>
      <c r="EM267" s="47"/>
      <c r="EN267" s="47"/>
      <c r="EO267" s="47"/>
      <c r="EP267" s="47"/>
      <c r="EQ267" s="47"/>
    </row>
    <row r="268" spans="58:147"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  <c r="CY268" s="47"/>
      <c r="CZ268" s="47"/>
      <c r="DA268" s="47"/>
      <c r="DB268" s="47"/>
      <c r="DC268" s="47"/>
      <c r="DD268" s="47"/>
      <c r="DE268" s="47"/>
      <c r="DF268" s="47"/>
      <c r="DG268" s="47"/>
      <c r="DH268" s="47"/>
      <c r="DI268" s="47"/>
      <c r="DJ268" s="47"/>
      <c r="DK268" s="47"/>
      <c r="DL268" s="47"/>
      <c r="DM268" s="47"/>
      <c r="DN268" s="47"/>
      <c r="DO268" s="47"/>
      <c r="DP268" s="47"/>
      <c r="DQ268" s="47"/>
      <c r="DR268" s="47"/>
      <c r="DS268" s="47"/>
      <c r="DT268" s="47"/>
      <c r="DU268" s="47"/>
      <c r="DV268" s="47"/>
      <c r="DW268" s="47"/>
      <c r="DX268" s="47"/>
      <c r="DY268" s="47"/>
      <c r="DZ268" s="47"/>
      <c r="EA268" s="47"/>
      <c r="EB268" s="47"/>
      <c r="EC268" s="47"/>
      <c r="ED268" s="47"/>
      <c r="EE268" s="47"/>
      <c r="EF268" s="47"/>
      <c r="EG268" s="47"/>
      <c r="EH268" s="47"/>
      <c r="EI268" s="47"/>
      <c r="EJ268" s="47"/>
      <c r="EK268" s="47"/>
      <c r="EL268" s="47"/>
      <c r="EM268" s="47"/>
      <c r="EN268" s="47"/>
      <c r="EO268" s="47"/>
      <c r="EP268" s="47"/>
      <c r="EQ268" s="47"/>
    </row>
    <row r="269" spans="58:147"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7"/>
      <c r="CQ269" s="47"/>
      <c r="CR269" s="47"/>
      <c r="CS269" s="47"/>
      <c r="CT269" s="47"/>
      <c r="CU269" s="47"/>
      <c r="CV269" s="47"/>
      <c r="CW269" s="47"/>
      <c r="CX269" s="47"/>
      <c r="CY269" s="47"/>
      <c r="CZ269" s="47"/>
      <c r="DA269" s="47"/>
      <c r="DB269" s="47"/>
      <c r="DC269" s="47"/>
      <c r="DD269" s="47"/>
      <c r="DE269" s="47"/>
      <c r="DF269" s="47"/>
      <c r="DG269" s="47"/>
      <c r="DH269" s="47"/>
      <c r="DI269" s="47"/>
      <c r="DJ269" s="47"/>
      <c r="DK269" s="47"/>
      <c r="DL269" s="47"/>
      <c r="DM269" s="47"/>
      <c r="DN269" s="47"/>
      <c r="DO269" s="47"/>
      <c r="DP269" s="47"/>
      <c r="DQ269" s="47"/>
      <c r="DR269" s="47"/>
      <c r="DS269" s="47"/>
      <c r="DT269" s="47"/>
      <c r="DU269" s="47"/>
      <c r="DV269" s="47"/>
      <c r="DW269" s="47"/>
      <c r="DX269" s="47"/>
      <c r="DY269" s="47"/>
      <c r="DZ269" s="47"/>
      <c r="EA269" s="47"/>
      <c r="EB269" s="47"/>
      <c r="EC269" s="47"/>
      <c r="ED269" s="47"/>
      <c r="EE269" s="47"/>
      <c r="EF269" s="47"/>
      <c r="EG269" s="47"/>
      <c r="EH269" s="47"/>
      <c r="EI269" s="47"/>
      <c r="EJ269" s="47"/>
      <c r="EK269" s="47"/>
      <c r="EL269" s="47"/>
      <c r="EM269" s="47"/>
      <c r="EN269" s="47"/>
      <c r="EO269" s="47"/>
      <c r="EP269" s="47"/>
      <c r="EQ269" s="47"/>
    </row>
    <row r="270" spans="58:147"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7"/>
      <c r="CQ270" s="47"/>
      <c r="CR270" s="47"/>
      <c r="CS270" s="47"/>
      <c r="CT270" s="47"/>
      <c r="CU270" s="47"/>
      <c r="CV270" s="47"/>
      <c r="CW270" s="47"/>
      <c r="CX270" s="47"/>
      <c r="CY270" s="47"/>
      <c r="CZ270" s="47"/>
      <c r="DA270" s="47"/>
      <c r="DB270" s="47"/>
      <c r="DC270" s="47"/>
      <c r="DD270" s="47"/>
      <c r="DE270" s="47"/>
      <c r="DF270" s="47"/>
      <c r="DG270" s="47"/>
      <c r="DH270" s="47"/>
      <c r="DI270" s="47"/>
      <c r="DJ270" s="47"/>
      <c r="DK270" s="47"/>
      <c r="DL270" s="47"/>
      <c r="DM270" s="47"/>
      <c r="DN270" s="47"/>
      <c r="DO270" s="47"/>
      <c r="DP270" s="47"/>
      <c r="DQ270" s="47"/>
      <c r="DR270" s="47"/>
      <c r="DS270" s="47"/>
      <c r="DT270" s="47"/>
      <c r="DU270" s="47"/>
      <c r="DV270" s="47"/>
      <c r="DW270" s="47"/>
      <c r="DX270" s="47"/>
      <c r="DY270" s="47"/>
      <c r="DZ270" s="47"/>
      <c r="EA270" s="47"/>
      <c r="EB270" s="47"/>
      <c r="EC270" s="47"/>
      <c r="ED270" s="47"/>
      <c r="EE270" s="47"/>
      <c r="EF270" s="47"/>
      <c r="EG270" s="47"/>
      <c r="EH270" s="47"/>
      <c r="EI270" s="47"/>
      <c r="EJ270" s="47"/>
      <c r="EK270" s="47"/>
      <c r="EL270" s="47"/>
      <c r="EM270" s="47"/>
      <c r="EN270" s="47"/>
      <c r="EO270" s="47"/>
      <c r="EP270" s="47"/>
      <c r="EQ270" s="47"/>
    </row>
    <row r="271" spans="58:147"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7"/>
      <c r="CQ271" s="47"/>
      <c r="CR271" s="47"/>
      <c r="CS271" s="47"/>
      <c r="CT271" s="47"/>
      <c r="CU271" s="47"/>
      <c r="CV271" s="47"/>
      <c r="CW271" s="47"/>
      <c r="CX271" s="47"/>
      <c r="CY271" s="47"/>
      <c r="CZ271" s="47"/>
      <c r="DA271" s="47"/>
      <c r="DB271" s="47"/>
      <c r="DC271" s="47"/>
      <c r="DD271" s="47"/>
      <c r="DE271" s="47"/>
      <c r="DF271" s="47"/>
      <c r="DG271" s="47"/>
      <c r="DH271" s="47"/>
      <c r="DI271" s="47"/>
      <c r="DJ271" s="47"/>
      <c r="DK271" s="47"/>
      <c r="DL271" s="47"/>
      <c r="DM271" s="47"/>
      <c r="DN271" s="47"/>
      <c r="DO271" s="47"/>
      <c r="DP271" s="47"/>
      <c r="DQ271" s="47"/>
      <c r="DR271" s="47"/>
      <c r="DS271" s="47"/>
      <c r="DT271" s="47"/>
      <c r="DU271" s="47"/>
      <c r="DV271" s="47"/>
      <c r="DW271" s="47"/>
      <c r="DX271" s="47"/>
      <c r="DY271" s="47"/>
      <c r="DZ271" s="47"/>
      <c r="EA271" s="47"/>
      <c r="EB271" s="47"/>
      <c r="EC271" s="47"/>
      <c r="ED271" s="47"/>
      <c r="EE271" s="47"/>
      <c r="EF271" s="47"/>
      <c r="EG271" s="47"/>
      <c r="EH271" s="47"/>
      <c r="EI271" s="47"/>
      <c r="EJ271" s="47"/>
      <c r="EK271" s="47"/>
      <c r="EL271" s="47"/>
      <c r="EM271" s="47"/>
      <c r="EN271" s="47"/>
      <c r="EO271" s="47"/>
      <c r="EP271" s="47"/>
      <c r="EQ271" s="47"/>
    </row>
    <row r="272" spans="58:147"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7"/>
      <c r="CQ272" s="47"/>
      <c r="CR272" s="47"/>
      <c r="CS272" s="47"/>
      <c r="CT272" s="47"/>
      <c r="CU272" s="47"/>
      <c r="CV272" s="47"/>
      <c r="CW272" s="47"/>
      <c r="CX272" s="47"/>
      <c r="CY272" s="47"/>
      <c r="CZ272" s="47"/>
      <c r="DA272" s="47"/>
      <c r="DB272" s="47"/>
      <c r="DC272" s="47"/>
      <c r="DD272" s="47"/>
      <c r="DE272" s="47"/>
      <c r="DF272" s="47"/>
      <c r="DG272" s="47"/>
      <c r="DH272" s="47"/>
      <c r="DI272" s="47"/>
      <c r="DJ272" s="47"/>
      <c r="DK272" s="47"/>
      <c r="DL272" s="47"/>
      <c r="DM272" s="47"/>
      <c r="DN272" s="47"/>
      <c r="DO272" s="47"/>
      <c r="DP272" s="47"/>
      <c r="DQ272" s="47"/>
      <c r="DR272" s="47"/>
      <c r="DS272" s="47"/>
      <c r="DT272" s="47"/>
      <c r="DU272" s="47"/>
      <c r="DV272" s="47"/>
      <c r="DW272" s="47"/>
      <c r="DX272" s="47"/>
      <c r="DY272" s="47"/>
      <c r="DZ272" s="47"/>
      <c r="EA272" s="47"/>
      <c r="EB272" s="47"/>
      <c r="EC272" s="47"/>
      <c r="ED272" s="47"/>
      <c r="EE272" s="47"/>
      <c r="EF272" s="47"/>
      <c r="EG272" s="47"/>
      <c r="EH272" s="47"/>
      <c r="EI272" s="47"/>
      <c r="EJ272" s="47"/>
      <c r="EK272" s="47"/>
      <c r="EL272" s="47"/>
      <c r="EM272" s="47"/>
      <c r="EN272" s="47"/>
      <c r="EO272" s="47"/>
      <c r="EP272" s="47"/>
      <c r="EQ272" s="47"/>
    </row>
    <row r="273" spans="58:147"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7"/>
      <c r="CQ273" s="47"/>
      <c r="CR273" s="47"/>
      <c r="CS273" s="47"/>
      <c r="CT273" s="47"/>
      <c r="CU273" s="47"/>
      <c r="CV273" s="47"/>
      <c r="CW273" s="47"/>
      <c r="CX273" s="47"/>
      <c r="CY273" s="47"/>
      <c r="CZ273" s="47"/>
      <c r="DA273" s="47"/>
      <c r="DB273" s="47"/>
      <c r="DC273" s="47"/>
      <c r="DD273" s="47"/>
      <c r="DE273" s="47"/>
      <c r="DF273" s="47"/>
      <c r="DG273" s="47"/>
      <c r="DH273" s="47"/>
      <c r="DI273" s="47"/>
      <c r="DJ273" s="47"/>
      <c r="DK273" s="47"/>
      <c r="DL273" s="47"/>
      <c r="DM273" s="47"/>
      <c r="DN273" s="47"/>
      <c r="DO273" s="47"/>
      <c r="DP273" s="47"/>
      <c r="DQ273" s="47"/>
      <c r="DR273" s="47"/>
      <c r="DS273" s="47"/>
      <c r="DT273" s="47"/>
      <c r="DU273" s="47"/>
      <c r="DV273" s="47"/>
      <c r="DW273" s="47"/>
      <c r="DX273" s="47"/>
      <c r="DY273" s="47"/>
      <c r="DZ273" s="47"/>
      <c r="EA273" s="47"/>
      <c r="EB273" s="47"/>
      <c r="EC273" s="47"/>
      <c r="ED273" s="47"/>
      <c r="EE273" s="47"/>
      <c r="EF273" s="47"/>
      <c r="EG273" s="47"/>
      <c r="EH273" s="47"/>
      <c r="EI273" s="47"/>
      <c r="EJ273" s="47"/>
      <c r="EK273" s="47"/>
      <c r="EL273" s="47"/>
      <c r="EM273" s="47"/>
      <c r="EN273" s="47"/>
      <c r="EO273" s="47"/>
      <c r="EP273" s="47"/>
      <c r="EQ273" s="47"/>
    </row>
    <row r="274" spans="58:147"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  <c r="CP274" s="47"/>
      <c r="CQ274" s="47"/>
      <c r="CR274" s="47"/>
      <c r="CS274" s="47"/>
      <c r="CT274" s="47"/>
      <c r="CU274" s="47"/>
      <c r="CV274" s="47"/>
      <c r="CW274" s="47"/>
      <c r="CX274" s="47"/>
      <c r="CY274" s="47"/>
      <c r="CZ274" s="47"/>
      <c r="DA274" s="47"/>
      <c r="DB274" s="47"/>
      <c r="DC274" s="47"/>
      <c r="DD274" s="47"/>
      <c r="DE274" s="47"/>
      <c r="DF274" s="47"/>
      <c r="DG274" s="47"/>
      <c r="DH274" s="47"/>
      <c r="DI274" s="47"/>
      <c r="DJ274" s="47"/>
      <c r="DK274" s="47"/>
      <c r="DL274" s="47"/>
      <c r="DM274" s="47"/>
      <c r="DN274" s="47"/>
      <c r="DO274" s="47"/>
      <c r="DP274" s="47"/>
      <c r="DQ274" s="47"/>
      <c r="DR274" s="47"/>
      <c r="DS274" s="47"/>
      <c r="DT274" s="47"/>
      <c r="DU274" s="47"/>
      <c r="DV274" s="47"/>
      <c r="DW274" s="47"/>
      <c r="DX274" s="47"/>
      <c r="DY274" s="47"/>
      <c r="DZ274" s="47"/>
      <c r="EA274" s="47"/>
      <c r="EB274" s="47"/>
      <c r="EC274" s="47"/>
      <c r="ED274" s="47"/>
      <c r="EE274" s="47"/>
      <c r="EF274" s="47"/>
      <c r="EG274" s="47"/>
      <c r="EH274" s="47"/>
      <c r="EI274" s="47"/>
      <c r="EJ274" s="47"/>
      <c r="EK274" s="47"/>
      <c r="EL274" s="47"/>
      <c r="EM274" s="47"/>
      <c r="EN274" s="47"/>
      <c r="EO274" s="47"/>
      <c r="EP274" s="47"/>
      <c r="EQ274" s="47"/>
    </row>
    <row r="275" spans="58:147"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R275" s="47"/>
      <c r="CS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  <c r="DL275" s="47"/>
      <c r="DM275" s="47"/>
      <c r="DN275" s="47"/>
      <c r="DO275" s="47"/>
      <c r="DP275" s="47"/>
      <c r="DQ275" s="47"/>
      <c r="DR275" s="47"/>
      <c r="DS275" s="47"/>
      <c r="DT275" s="47"/>
      <c r="DU275" s="47"/>
      <c r="DV275" s="47"/>
      <c r="DW275" s="47"/>
      <c r="DX275" s="47"/>
      <c r="DY275" s="47"/>
      <c r="DZ275" s="47"/>
      <c r="EA275" s="47"/>
      <c r="EB275" s="47"/>
      <c r="EC275" s="47"/>
      <c r="ED275" s="47"/>
      <c r="EE275" s="47"/>
      <c r="EF275" s="47"/>
      <c r="EG275" s="47"/>
      <c r="EH275" s="47"/>
      <c r="EI275" s="47"/>
      <c r="EJ275" s="47"/>
      <c r="EK275" s="47"/>
      <c r="EL275" s="47"/>
      <c r="EM275" s="47"/>
      <c r="EN275" s="47"/>
      <c r="EO275" s="47"/>
      <c r="EP275" s="47"/>
      <c r="EQ275" s="47"/>
    </row>
    <row r="276" spans="58:147"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  <c r="CY276" s="47"/>
      <c r="CZ276" s="47"/>
      <c r="DA276" s="47"/>
      <c r="DB276" s="47"/>
      <c r="DC276" s="47"/>
      <c r="DD276" s="47"/>
      <c r="DE276" s="47"/>
      <c r="DF276" s="47"/>
      <c r="DG276" s="47"/>
      <c r="DH276" s="47"/>
      <c r="DI276" s="47"/>
      <c r="DJ276" s="47"/>
      <c r="DK276" s="47"/>
      <c r="DL276" s="47"/>
      <c r="DM276" s="47"/>
      <c r="DN276" s="47"/>
      <c r="DO276" s="47"/>
      <c r="DP276" s="47"/>
      <c r="DQ276" s="47"/>
      <c r="DR276" s="47"/>
      <c r="DS276" s="47"/>
      <c r="DT276" s="47"/>
      <c r="DU276" s="47"/>
      <c r="DV276" s="47"/>
      <c r="DW276" s="47"/>
      <c r="DX276" s="47"/>
      <c r="DY276" s="47"/>
      <c r="DZ276" s="47"/>
      <c r="EA276" s="47"/>
      <c r="EB276" s="47"/>
      <c r="EC276" s="47"/>
      <c r="ED276" s="47"/>
      <c r="EE276" s="47"/>
      <c r="EF276" s="47"/>
      <c r="EG276" s="47"/>
      <c r="EH276" s="47"/>
      <c r="EI276" s="47"/>
      <c r="EJ276" s="47"/>
      <c r="EK276" s="47"/>
      <c r="EL276" s="47"/>
      <c r="EM276" s="47"/>
      <c r="EN276" s="47"/>
      <c r="EO276" s="47"/>
      <c r="EP276" s="47"/>
      <c r="EQ276" s="47"/>
    </row>
    <row r="277" spans="58:147"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7"/>
      <c r="CQ277" s="47"/>
      <c r="CR277" s="47"/>
      <c r="CS277" s="47"/>
      <c r="CT277" s="47"/>
      <c r="CU277" s="47"/>
      <c r="CV277" s="47"/>
      <c r="CW277" s="47"/>
      <c r="CX277" s="47"/>
      <c r="CY277" s="47"/>
      <c r="CZ277" s="47"/>
      <c r="DA277" s="47"/>
      <c r="DB277" s="47"/>
      <c r="DC277" s="47"/>
      <c r="DD277" s="47"/>
      <c r="DE277" s="47"/>
      <c r="DF277" s="47"/>
      <c r="DG277" s="47"/>
      <c r="DH277" s="47"/>
      <c r="DI277" s="47"/>
      <c r="DJ277" s="47"/>
      <c r="DK277" s="47"/>
      <c r="DL277" s="47"/>
      <c r="DM277" s="47"/>
      <c r="DN277" s="47"/>
      <c r="DO277" s="47"/>
      <c r="DP277" s="47"/>
      <c r="DQ277" s="47"/>
      <c r="DR277" s="47"/>
      <c r="DS277" s="47"/>
      <c r="DT277" s="47"/>
      <c r="DU277" s="47"/>
      <c r="DV277" s="47"/>
      <c r="DW277" s="47"/>
      <c r="DX277" s="47"/>
      <c r="DY277" s="47"/>
      <c r="DZ277" s="47"/>
      <c r="EA277" s="47"/>
      <c r="EB277" s="47"/>
      <c r="EC277" s="47"/>
      <c r="ED277" s="47"/>
      <c r="EE277" s="47"/>
      <c r="EF277" s="47"/>
      <c r="EG277" s="47"/>
      <c r="EH277" s="47"/>
      <c r="EI277" s="47"/>
      <c r="EJ277" s="47"/>
      <c r="EK277" s="47"/>
      <c r="EL277" s="47"/>
      <c r="EM277" s="47"/>
      <c r="EN277" s="47"/>
      <c r="EO277" s="47"/>
      <c r="EP277" s="47"/>
      <c r="EQ277" s="47"/>
    </row>
    <row r="278" spans="58:147"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R278" s="47"/>
      <c r="CS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  <c r="DL278" s="47"/>
      <c r="DM278" s="47"/>
      <c r="DN278" s="47"/>
      <c r="DO278" s="47"/>
      <c r="DP278" s="47"/>
      <c r="DQ278" s="47"/>
      <c r="DR278" s="47"/>
      <c r="DS278" s="47"/>
      <c r="DT278" s="47"/>
      <c r="DU278" s="47"/>
      <c r="DV278" s="47"/>
      <c r="DW278" s="47"/>
      <c r="DX278" s="47"/>
      <c r="DY278" s="47"/>
      <c r="DZ278" s="47"/>
      <c r="EA278" s="47"/>
      <c r="EB278" s="47"/>
      <c r="EC278" s="47"/>
      <c r="ED278" s="47"/>
      <c r="EE278" s="47"/>
      <c r="EF278" s="47"/>
      <c r="EG278" s="47"/>
      <c r="EH278" s="47"/>
      <c r="EI278" s="47"/>
      <c r="EJ278" s="47"/>
      <c r="EK278" s="47"/>
      <c r="EL278" s="47"/>
      <c r="EM278" s="47"/>
      <c r="EN278" s="47"/>
      <c r="EO278" s="47"/>
      <c r="EP278" s="47"/>
      <c r="EQ278" s="47"/>
    </row>
    <row r="279" spans="58:147"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R279" s="47"/>
      <c r="CS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  <c r="DL279" s="47"/>
      <c r="DM279" s="47"/>
      <c r="DN279" s="47"/>
      <c r="DO279" s="47"/>
      <c r="DP279" s="47"/>
      <c r="DQ279" s="47"/>
      <c r="DR279" s="47"/>
      <c r="DS279" s="47"/>
      <c r="DT279" s="47"/>
      <c r="DU279" s="47"/>
      <c r="DV279" s="47"/>
      <c r="DW279" s="47"/>
      <c r="DX279" s="47"/>
      <c r="DY279" s="47"/>
      <c r="DZ279" s="47"/>
      <c r="EA279" s="47"/>
      <c r="EB279" s="47"/>
      <c r="EC279" s="47"/>
      <c r="ED279" s="47"/>
      <c r="EE279" s="47"/>
      <c r="EF279" s="47"/>
      <c r="EG279" s="47"/>
      <c r="EH279" s="47"/>
      <c r="EI279" s="47"/>
      <c r="EJ279" s="47"/>
      <c r="EK279" s="47"/>
      <c r="EL279" s="47"/>
      <c r="EM279" s="47"/>
      <c r="EN279" s="47"/>
      <c r="EO279" s="47"/>
      <c r="EP279" s="47"/>
      <c r="EQ279" s="47"/>
    </row>
    <row r="280" spans="58:147"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R280" s="47"/>
      <c r="CS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  <c r="DL280" s="47"/>
      <c r="DM280" s="47"/>
      <c r="DN280" s="47"/>
      <c r="DO280" s="47"/>
      <c r="DP280" s="47"/>
      <c r="DQ280" s="47"/>
      <c r="DR280" s="47"/>
      <c r="DS280" s="47"/>
      <c r="DT280" s="47"/>
      <c r="DU280" s="47"/>
      <c r="DV280" s="47"/>
      <c r="DW280" s="47"/>
      <c r="DX280" s="47"/>
      <c r="DY280" s="47"/>
      <c r="DZ280" s="47"/>
      <c r="EA280" s="47"/>
      <c r="EB280" s="47"/>
      <c r="EC280" s="47"/>
      <c r="ED280" s="47"/>
      <c r="EE280" s="47"/>
      <c r="EF280" s="47"/>
      <c r="EG280" s="47"/>
      <c r="EH280" s="47"/>
      <c r="EI280" s="47"/>
      <c r="EJ280" s="47"/>
      <c r="EK280" s="47"/>
      <c r="EL280" s="47"/>
      <c r="EM280" s="47"/>
      <c r="EN280" s="47"/>
      <c r="EO280" s="47"/>
      <c r="EP280" s="47"/>
      <c r="EQ280" s="47"/>
    </row>
    <row r="281" spans="58:147"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R281" s="47"/>
      <c r="CS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  <c r="DL281" s="47"/>
      <c r="DM281" s="47"/>
      <c r="DN281" s="47"/>
      <c r="DO281" s="47"/>
      <c r="DP281" s="47"/>
      <c r="DQ281" s="47"/>
      <c r="DR281" s="47"/>
      <c r="DS281" s="47"/>
      <c r="DT281" s="47"/>
      <c r="DU281" s="47"/>
      <c r="DV281" s="47"/>
      <c r="DW281" s="47"/>
      <c r="DX281" s="47"/>
      <c r="DY281" s="47"/>
      <c r="DZ281" s="47"/>
      <c r="EA281" s="47"/>
      <c r="EB281" s="47"/>
      <c r="EC281" s="47"/>
      <c r="ED281" s="47"/>
      <c r="EE281" s="47"/>
      <c r="EF281" s="47"/>
      <c r="EG281" s="47"/>
      <c r="EH281" s="47"/>
      <c r="EI281" s="47"/>
      <c r="EJ281" s="47"/>
      <c r="EK281" s="47"/>
      <c r="EL281" s="47"/>
      <c r="EM281" s="47"/>
      <c r="EN281" s="47"/>
      <c r="EO281" s="47"/>
      <c r="EP281" s="47"/>
      <c r="EQ281" s="47"/>
    </row>
    <row r="282" spans="58:147"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7"/>
      <c r="CQ282" s="47"/>
      <c r="CR282" s="47"/>
      <c r="CS282" s="47"/>
      <c r="CT282" s="47"/>
      <c r="CU282" s="47"/>
      <c r="CV282" s="47"/>
      <c r="CW282" s="47"/>
      <c r="CX282" s="47"/>
      <c r="CY282" s="47"/>
      <c r="CZ282" s="47"/>
      <c r="DA282" s="47"/>
      <c r="DB282" s="47"/>
      <c r="DC282" s="47"/>
      <c r="DD282" s="47"/>
      <c r="DE282" s="47"/>
      <c r="DF282" s="47"/>
      <c r="DG282" s="47"/>
      <c r="DH282" s="47"/>
      <c r="DI282" s="47"/>
      <c r="DJ282" s="47"/>
      <c r="DK282" s="47"/>
      <c r="DL282" s="47"/>
      <c r="DM282" s="47"/>
      <c r="DN282" s="47"/>
      <c r="DO282" s="47"/>
      <c r="DP282" s="47"/>
      <c r="DQ282" s="47"/>
      <c r="DR282" s="47"/>
      <c r="DS282" s="47"/>
      <c r="DT282" s="47"/>
      <c r="DU282" s="47"/>
      <c r="DV282" s="47"/>
      <c r="DW282" s="47"/>
      <c r="DX282" s="47"/>
      <c r="DY282" s="47"/>
      <c r="DZ282" s="47"/>
      <c r="EA282" s="47"/>
      <c r="EB282" s="47"/>
      <c r="EC282" s="47"/>
      <c r="ED282" s="47"/>
      <c r="EE282" s="47"/>
      <c r="EF282" s="47"/>
      <c r="EG282" s="47"/>
      <c r="EH282" s="47"/>
      <c r="EI282" s="47"/>
      <c r="EJ282" s="47"/>
      <c r="EK282" s="47"/>
      <c r="EL282" s="47"/>
      <c r="EM282" s="47"/>
      <c r="EN282" s="47"/>
      <c r="EO282" s="47"/>
      <c r="EP282" s="47"/>
      <c r="EQ282" s="47"/>
    </row>
    <row r="283" spans="58:147"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7"/>
      <c r="CQ283" s="47"/>
      <c r="CR283" s="47"/>
      <c r="CS283" s="47"/>
      <c r="CT283" s="47"/>
      <c r="CU283" s="47"/>
      <c r="CV283" s="47"/>
      <c r="CW283" s="47"/>
      <c r="CX283" s="47"/>
      <c r="CY283" s="47"/>
      <c r="CZ283" s="47"/>
      <c r="DA283" s="47"/>
      <c r="DB283" s="47"/>
      <c r="DC283" s="47"/>
      <c r="DD283" s="47"/>
      <c r="DE283" s="47"/>
      <c r="DF283" s="47"/>
      <c r="DG283" s="47"/>
      <c r="DH283" s="47"/>
      <c r="DI283" s="47"/>
      <c r="DJ283" s="47"/>
      <c r="DK283" s="47"/>
      <c r="DL283" s="47"/>
      <c r="DM283" s="47"/>
      <c r="DN283" s="47"/>
      <c r="DO283" s="47"/>
      <c r="DP283" s="47"/>
      <c r="DQ283" s="47"/>
      <c r="DR283" s="47"/>
      <c r="DS283" s="47"/>
      <c r="DT283" s="47"/>
      <c r="DU283" s="47"/>
      <c r="DV283" s="47"/>
      <c r="DW283" s="47"/>
      <c r="DX283" s="47"/>
      <c r="DY283" s="47"/>
      <c r="DZ283" s="47"/>
      <c r="EA283" s="47"/>
      <c r="EB283" s="47"/>
      <c r="EC283" s="47"/>
      <c r="ED283" s="47"/>
      <c r="EE283" s="47"/>
      <c r="EF283" s="47"/>
      <c r="EG283" s="47"/>
      <c r="EH283" s="47"/>
      <c r="EI283" s="47"/>
      <c r="EJ283" s="47"/>
      <c r="EK283" s="47"/>
      <c r="EL283" s="47"/>
      <c r="EM283" s="47"/>
      <c r="EN283" s="47"/>
      <c r="EO283" s="47"/>
      <c r="EP283" s="47"/>
      <c r="EQ283" s="47"/>
    </row>
    <row r="284" spans="58:147"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7"/>
      <c r="CQ284" s="47"/>
      <c r="CR284" s="47"/>
      <c r="CS284" s="47"/>
      <c r="CT284" s="47"/>
      <c r="CU284" s="47"/>
      <c r="CV284" s="47"/>
      <c r="CW284" s="47"/>
      <c r="CX284" s="47"/>
      <c r="CY284" s="47"/>
      <c r="CZ284" s="47"/>
      <c r="DA284" s="47"/>
      <c r="DB284" s="47"/>
      <c r="DC284" s="47"/>
      <c r="DD284" s="47"/>
      <c r="DE284" s="47"/>
      <c r="DF284" s="47"/>
      <c r="DG284" s="47"/>
      <c r="DH284" s="47"/>
      <c r="DI284" s="47"/>
      <c r="DJ284" s="47"/>
      <c r="DK284" s="47"/>
      <c r="DL284" s="47"/>
      <c r="DM284" s="47"/>
      <c r="DN284" s="47"/>
      <c r="DO284" s="47"/>
      <c r="DP284" s="47"/>
      <c r="DQ284" s="47"/>
      <c r="DR284" s="47"/>
      <c r="DS284" s="47"/>
      <c r="DT284" s="47"/>
      <c r="DU284" s="47"/>
      <c r="DV284" s="47"/>
      <c r="DW284" s="47"/>
      <c r="DX284" s="47"/>
      <c r="DY284" s="47"/>
      <c r="DZ284" s="47"/>
      <c r="EA284" s="47"/>
      <c r="EB284" s="47"/>
      <c r="EC284" s="47"/>
      <c r="ED284" s="47"/>
      <c r="EE284" s="47"/>
      <c r="EF284" s="47"/>
      <c r="EG284" s="47"/>
      <c r="EH284" s="47"/>
      <c r="EI284" s="47"/>
      <c r="EJ284" s="47"/>
      <c r="EK284" s="47"/>
      <c r="EL284" s="47"/>
      <c r="EM284" s="47"/>
      <c r="EN284" s="47"/>
      <c r="EO284" s="47"/>
      <c r="EP284" s="47"/>
      <c r="EQ284" s="47"/>
    </row>
    <row r="285" spans="58:147"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R285" s="47"/>
      <c r="CS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  <c r="DI285" s="47"/>
      <c r="DJ285" s="47"/>
      <c r="DK285" s="47"/>
      <c r="DL285" s="47"/>
      <c r="DM285" s="47"/>
      <c r="DN285" s="47"/>
      <c r="DO285" s="47"/>
      <c r="DP285" s="47"/>
      <c r="DQ285" s="47"/>
      <c r="DR285" s="47"/>
      <c r="DS285" s="47"/>
      <c r="DT285" s="47"/>
      <c r="DU285" s="47"/>
      <c r="DV285" s="47"/>
      <c r="DW285" s="47"/>
      <c r="DX285" s="47"/>
      <c r="DY285" s="47"/>
      <c r="DZ285" s="47"/>
      <c r="EA285" s="47"/>
      <c r="EB285" s="47"/>
      <c r="EC285" s="47"/>
      <c r="ED285" s="47"/>
      <c r="EE285" s="47"/>
      <c r="EF285" s="47"/>
      <c r="EG285" s="47"/>
      <c r="EH285" s="47"/>
      <c r="EI285" s="47"/>
      <c r="EJ285" s="47"/>
      <c r="EK285" s="47"/>
      <c r="EL285" s="47"/>
      <c r="EM285" s="47"/>
      <c r="EN285" s="47"/>
      <c r="EO285" s="47"/>
      <c r="EP285" s="47"/>
      <c r="EQ285" s="47"/>
    </row>
    <row r="286" spans="58:147"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R286" s="47"/>
      <c r="CS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  <c r="DI286" s="47"/>
      <c r="DJ286" s="47"/>
      <c r="DK286" s="47"/>
      <c r="DL286" s="47"/>
      <c r="DM286" s="47"/>
      <c r="DN286" s="47"/>
      <c r="DO286" s="47"/>
      <c r="DP286" s="47"/>
      <c r="DQ286" s="47"/>
      <c r="DR286" s="47"/>
      <c r="DS286" s="47"/>
      <c r="DT286" s="47"/>
      <c r="DU286" s="47"/>
      <c r="DV286" s="47"/>
      <c r="DW286" s="47"/>
      <c r="DX286" s="47"/>
      <c r="DY286" s="47"/>
      <c r="DZ286" s="47"/>
      <c r="EA286" s="47"/>
      <c r="EB286" s="47"/>
      <c r="EC286" s="47"/>
      <c r="ED286" s="47"/>
      <c r="EE286" s="47"/>
      <c r="EF286" s="47"/>
      <c r="EG286" s="47"/>
      <c r="EH286" s="47"/>
      <c r="EI286" s="47"/>
      <c r="EJ286" s="47"/>
      <c r="EK286" s="47"/>
      <c r="EL286" s="47"/>
      <c r="EM286" s="47"/>
      <c r="EN286" s="47"/>
      <c r="EO286" s="47"/>
      <c r="EP286" s="47"/>
      <c r="EQ286" s="47"/>
    </row>
    <row r="287" spans="58:147"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R287" s="47"/>
      <c r="CS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  <c r="DI287" s="47"/>
      <c r="DJ287" s="47"/>
      <c r="DK287" s="47"/>
      <c r="DL287" s="47"/>
      <c r="DM287" s="47"/>
      <c r="DN287" s="47"/>
      <c r="DO287" s="47"/>
      <c r="DP287" s="47"/>
      <c r="DQ287" s="47"/>
      <c r="DR287" s="47"/>
      <c r="DS287" s="47"/>
      <c r="DT287" s="47"/>
      <c r="DU287" s="47"/>
      <c r="DV287" s="47"/>
      <c r="DW287" s="47"/>
      <c r="DX287" s="47"/>
      <c r="DY287" s="47"/>
      <c r="DZ287" s="47"/>
      <c r="EA287" s="47"/>
      <c r="EB287" s="47"/>
      <c r="EC287" s="47"/>
      <c r="ED287" s="47"/>
      <c r="EE287" s="47"/>
      <c r="EF287" s="47"/>
      <c r="EG287" s="47"/>
      <c r="EH287" s="47"/>
      <c r="EI287" s="47"/>
      <c r="EJ287" s="47"/>
      <c r="EK287" s="47"/>
      <c r="EL287" s="47"/>
      <c r="EM287" s="47"/>
      <c r="EN287" s="47"/>
      <c r="EO287" s="47"/>
      <c r="EP287" s="47"/>
      <c r="EQ287" s="47"/>
    </row>
    <row r="288" spans="58:147"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R288" s="47"/>
      <c r="CS288" s="47"/>
      <c r="CT288" s="47"/>
      <c r="CU288" s="47"/>
      <c r="CV288" s="47"/>
      <c r="CW288" s="47"/>
      <c r="CX288" s="47"/>
      <c r="CY288" s="47"/>
      <c r="CZ288" s="47"/>
      <c r="DA288" s="47"/>
      <c r="DB288" s="47"/>
      <c r="DC288" s="47"/>
      <c r="DD288" s="47"/>
      <c r="DE288" s="47"/>
      <c r="DF288" s="47"/>
      <c r="DG288" s="47"/>
      <c r="DH288" s="47"/>
      <c r="DI288" s="47"/>
      <c r="DJ288" s="47"/>
      <c r="DK288" s="47"/>
      <c r="DL288" s="47"/>
      <c r="DM288" s="47"/>
      <c r="DN288" s="47"/>
      <c r="DO288" s="47"/>
      <c r="DP288" s="47"/>
      <c r="DQ288" s="47"/>
      <c r="DR288" s="47"/>
      <c r="DS288" s="47"/>
      <c r="DT288" s="47"/>
      <c r="DU288" s="47"/>
      <c r="DV288" s="47"/>
      <c r="DW288" s="47"/>
      <c r="DX288" s="47"/>
      <c r="DY288" s="47"/>
      <c r="DZ288" s="47"/>
      <c r="EA288" s="47"/>
      <c r="EB288" s="47"/>
      <c r="EC288" s="47"/>
      <c r="ED288" s="47"/>
      <c r="EE288" s="47"/>
      <c r="EF288" s="47"/>
      <c r="EG288" s="47"/>
      <c r="EH288" s="47"/>
      <c r="EI288" s="47"/>
      <c r="EJ288" s="47"/>
      <c r="EK288" s="47"/>
      <c r="EL288" s="47"/>
      <c r="EM288" s="47"/>
      <c r="EN288" s="47"/>
      <c r="EO288" s="47"/>
      <c r="EP288" s="47"/>
      <c r="EQ288" s="47"/>
    </row>
    <row r="289" spans="58:147"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R289" s="47"/>
      <c r="CS289" s="47"/>
      <c r="CT289" s="47"/>
      <c r="CU289" s="47"/>
      <c r="CV289" s="47"/>
      <c r="CW289" s="47"/>
      <c r="CX289" s="47"/>
      <c r="CY289" s="47"/>
      <c r="CZ289" s="47"/>
      <c r="DA289" s="47"/>
      <c r="DB289" s="47"/>
      <c r="DC289" s="47"/>
      <c r="DD289" s="47"/>
      <c r="DE289" s="47"/>
      <c r="DF289" s="47"/>
      <c r="DG289" s="47"/>
      <c r="DH289" s="47"/>
      <c r="DI289" s="47"/>
      <c r="DJ289" s="47"/>
      <c r="DK289" s="47"/>
      <c r="DL289" s="47"/>
      <c r="DM289" s="47"/>
      <c r="DN289" s="47"/>
      <c r="DO289" s="47"/>
      <c r="DP289" s="47"/>
      <c r="DQ289" s="47"/>
      <c r="DR289" s="47"/>
      <c r="DS289" s="47"/>
      <c r="DT289" s="47"/>
      <c r="DU289" s="47"/>
      <c r="DV289" s="47"/>
      <c r="DW289" s="47"/>
      <c r="DX289" s="47"/>
      <c r="DY289" s="47"/>
      <c r="DZ289" s="47"/>
      <c r="EA289" s="47"/>
      <c r="EB289" s="47"/>
      <c r="EC289" s="47"/>
      <c r="ED289" s="47"/>
      <c r="EE289" s="47"/>
      <c r="EF289" s="47"/>
      <c r="EG289" s="47"/>
      <c r="EH289" s="47"/>
      <c r="EI289" s="47"/>
      <c r="EJ289" s="47"/>
      <c r="EK289" s="47"/>
      <c r="EL289" s="47"/>
      <c r="EM289" s="47"/>
      <c r="EN289" s="47"/>
      <c r="EO289" s="47"/>
      <c r="EP289" s="47"/>
      <c r="EQ289" s="47"/>
    </row>
    <row r="290" spans="58:147"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R290" s="47"/>
      <c r="CS290" s="47"/>
      <c r="CT290" s="47"/>
      <c r="CU290" s="47"/>
      <c r="CV290" s="47"/>
      <c r="CW290" s="47"/>
      <c r="CX290" s="47"/>
      <c r="CY290" s="47"/>
      <c r="CZ290" s="47"/>
      <c r="DA290" s="47"/>
      <c r="DB290" s="47"/>
      <c r="DC290" s="47"/>
      <c r="DD290" s="47"/>
      <c r="DE290" s="47"/>
      <c r="DF290" s="47"/>
      <c r="DG290" s="47"/>
      <c r="DH290" s="47"/>
      <c r="DI290" s="47"/>
      <c r="DJ290" s="47"/>
      <c r="DK290" s="47"/>
      <c r="DL290" s="47"/>
      <c r="DM290" s="47"/>
      <c r="DN290" s="47"/>
      <c r="DO290" s="47"/>
      <c r="DP290" s="47"/>
      <c r="DQ290" s="47"/>
      <c r="DR290" s="47"/>
      <c r="DS290" s="47"/>
      <c r="DT290" s="47"/>
      <c r="DU290" s="47"/>
      <c r="DV290" s="47"/>
      <c r="DW290" s="47"/>
      <c r="DX290" s="47"/>
      <c r="DY290" s="47"/>
      <c r="DZ290" s="47"/>
      <c r="EA290" s="47"/>
      <c r="EB290" s="47"/>
      <c r="EC290" s="47"/>
      <c r="ED290" s="47"/>
      <c r="EE290" s="47"/>
      <c r="EF290" s="47"/>
      <c r="EG290" s="47"/>
      <c r="EH290" s="47"/>
      <c r="EI290" s="47"/>
      <c r="EJ290" s="47"/>
      <c r="EK290" s="47"/>
      <c r="EL290" s="47"/>
      <c r="EM290" s="47"/>
      <c r="EN290" s="47"/>
      <c r="EO290" s="47"/>
      <c r="EP290" s="47"/>
      <c r="EQ290" s="47"/>
    </row>
    <row r="291" spans="58:147"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R291" s="47"/>
      <c r="CS291" s="47"/>
      <c r="CT291" s="47"/>
      <c r="CU291" s="47"/>
      <c r="CV291" s="47"/>
      <c r="CW291" s="47"/>
      <c r="CX291" s="47"/>
      <c r="CY291" s="47"/>
      <c r="CZ291" s="47"/>
      <c r="DA291" s="47"/>
      <c r="DB291" s="47"/>
      <c r="DC291" s="47"/>
      <c r="DD291" s="47"/>
      <c r="DE291" s="47"/>
      <c r="DF291" s="47"/>
      <c r="DG291" s="47"/>
      <c r="DH291" s="47"/>
      <c r="DI291" s="47"/>
      <c r="DJ291" s="47"/>
      <c r="DK291" s="47"/>
      <c r="DL291" s="47"/>
      <c r="DM291" s="47"/>
      <c r="DN291" s="47"/>
      <c r="DO291" s="47"/>
      <c r="DP291" s="47"/>
      <c r="DQ291" s="47"/>
      <c r="DR291" s="47"/>
      <c r="DS291" s="47"/>
      <c r="DT291" s="47"/>
      <c r="DU291" s="47"/>
      <c r="DV291" s="47"/>
      <c r="DW291" s="47"/>
      <c r="DX291" s="47"/>
      <c r="DY291" s="47"/>
      <c r="DZ291" s="47"/>
      <c r="EA291" s="47"/>
      <c r="EB291" s="47"/>
      <c r="EC291" s="47"/>
      <c r="ED291" s="47"/>
      <c r="EE291" s="47"/>
      <c r="EF291" s="47"/>
      <c r="EG291" s="47"/>
      <c r="EH291" s="47"/>
      <c r="EI291" s="47"/>
      <c r="EJ291" s="47"/>
      <c r="EK291" s="47"/>
      <c r="EL291" s="47"/>
      <c r="EM291" s="47"/>
      <c r="EN291" s="47"/>
      <c r="EO291" s="47"/>
      <c r="EP291" s="47"/>
      <c r="EQ291" s="47"/>
    </row>
    <row r="292" spans="58:147"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R292" s="47"/>
      <c r="CS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  <c r="DI292" s="47"/>
      <c r="DJ292" s="47"/>
      <c r="DK292" s="47"/>
      <c r="DL292" s="47"/>
      <c r="DM292" s="47"/>
      <c r="DN292" s="47"/>
      <c r="DO292" s="47"/>
      <c r="DP292" s="47"/>
      <c r="DQ292" s="47"/>
      <c r="DR292" s="47"/>
      <c r="DS292" s="47"/>
      <c r="DT292" s="47"/>
      <c r="DU292" s="47"/>
      <c r="DV292" s="47"/>
      <c r="DW292" s="47"/>
      <c r="DX292" s="47"/>
      <c r="DY292" s="47"/>
      <c r="DZ292" s="47"/>
      <c r="EA292" s="47"/>
      <c r="EB292" s="47"/>
      <c r="EC292" s="47"/>
      <c r="ED292" s="47"/>
      <c r="EE292" s="47"/>
      <c r="EF292" s="47"/>
      <c r="EG292" s="47"/>
      <c r="EH292" s="47"/>
      <c r="EI292" s="47"/>
      <c r="EJ292" s="47"/>
      <c r="EK292" s="47"/>
      <c r="EL292" s="47"/>
      <c r="EM292" s="47"/>
      <c r="EN292" s="47"/>
      <c r="EO292" s="47"/>
      <c r="EP292" s="47"/>
      <c r="EQ292" s="47"/>
    </row>
    <row r="293" spans="58:147"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R293" s="47"/>
      <c r="CS293" s="47"/>
      <c r="CT293" s="47"/>
      <c r="CU293" s="47"/>
      <c r="CV293" s="47"/>
      <c r="CW293" s="47"/>
      <c r="CX293" s="47"/>
      <c r="CY293" s="47"/>
      <c r="CZ293" s="47"/>
      <c r="DA293" s="47"/>
      <c r="DB293" s="47"/>
      <c r="DC293" s="47"/>
      <c r="DD293" s="47"/>
      <c r="DE293" s="47"/>
      <c r="DF293" s="47"/>
      <c r="DG293" s="47"/>
      <c r="DH293" s="47"/>
      <c r="DI293" s="47"/>
      <c r="DJ293" s="47"/>
      <c r="DK293" s="47"/>
      <c r="DL293" s="47"/>
      <c r="DM293" s="47"/>
      <c r="DN293" s="47"/>
      <c r="DO293" s="47"/>
      <c r="DP293" s="47"/>
      <c r="DQ293" s="47"/>
      <c r="DR293" s="47"/>
      <c r="DS293" s="47"/>
      <c r="DT293" s="47"/>
      <c r="DU293" s="47"/>
      <c r="DV293" s="47"/>
      <c r="DW293" s="47"/>
      <c r="DX293" s="47"/>
      <c r="DY293" s="47"/>
      <c r="DZ293" s="47"/>
      <c r="EA293" s="47"/>
      <c r="EB293" s="47"/>
      <c r="EC293" s="47"/>
      <c r="ED293" s="47"/>
      <c r="EE293" s="47"/>
      <c r="EF293" s="47"/>
      <c r="EG293" s="47"/>
      <c r="EH293" s="47"/>
      <c r="EI293" s="47"/>
      <c r="EJ293" s="47"/>
      <c r="EK293" s="47"/>
      <c r="EL293" s="47"/>
      <c r="EM293" s="47"/>
      <c r="EN293" s="47"/>
      <c r="EO293" s="47"/>
      <c r="EP293" s="47"/>
      <c r="EQ293" s="47"/>
    </row>
    <row r="294" spans="58:147"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R294" s="47"/>
      <c r="CS294" s="47"/>
      <c r="CT294" s="47"/>
      <c r="CU294" s="47"/>
      <c r="CV294" s="47"/>
      <c r="CW294" s="47"/>
      <c r="CX294" s="47"/>
      <c r="CY294" s="47"/>
      <c r="CZ294" s="47"/>
      <c r="DA294" s="47"/>
      <c r="DB294" s="47"/>
      <c r="DC294" s="47"/>
      <c r="DD294" s="47"/>
      <c r="DE294" s="47"/>
      <c r="DF294" s="47"/>
      <c r="DG294" s="47"/>
      <c r="DH294" s="47"/>
      <c r="DI294" s="47"/>
      <c r="DJ294" s="47"/>
      <c r="DK294" s="47"/>
      <c r="DL294" s="47"/>
      <c r="DM294" s="47"/>
      <c r="DN294" s="47"/>
      <c r="DO294" s="47"/>
      <c r="DP294" s="47"/>
      <c r="DQ294" s="47"/>
      <c r="DR294" s="47"/>
      <c r="DS294" s="47"/>
      <c r="DT294" s="47"/>
      <c r="DU294" s="47"/>
      <c r="DV294" s="47"/>
      <c r="DW294" s="47"/>
      <c r="DX294" s="47"/>
      <c r="DY294" s="47"/>
      <c r="DZ294" s="47"/>
      <c r="EA294" s="47"/>
      <c r="EB294" s="47"/>
      <c r="EC294" s="47"/>
      <c r="ED294" s="47"/>
      <c r="EE294" s="47"/>
      <c r="EF294" s="47"/>
      <c r="EG294" s="47"/>
      <c r="EH294" s="47"/>
      <c r="EI294" s="47"/>
      <c r="EJ294" s="47"/>
      <c r="EK294" s="47"/>
      <c r="EL294" s="47"/>
      <c r="EM294" s="47"/>
      <c r="EN294" s="47"/>
      <c r="EO294" s="47"/>
      <c r="EP294" s="47"/>
      <c r="EQ294" s="47"/>
    </row>
    <row r="295" spans="58:147"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R295" s="47"/>
      <c r="CS295" s="47"/>
      <c r="CT295" s="47"/>
      <c r="CU295" s="47"/>
      <c r="CV295" s="47"/>
      <c r="CW295" s="47"/>
      <c r="CX295" s="47"/>
      <c r="CY295" s="47"/>
      <c r="CZ295" s="47"/>
      <c r="DA295" s="47"/>
      <c r="DB295" s="47"/>
      <c r="DC295" s="47"/>
      <c r="DD295" s="47"/>
      <c r="DE295" s="47"/>
      <c r="DF295" s="47"/>
      <c r="DG295" s="47"/>
      <c r="DH295" s="47"/>
      <c r="DI295" s="47"/>
      <c r="DJ295" s="47"/>
      <c r="DK295" s="47"/>
      <c r="DL295" s="47"/>
      <c r="DM295" s="47"/>
      <c r="DN295" s="47"/>
      <c r="DO295" s="47"/>
      <c r="DP295" s="47"/>
      <c r="DQ295" s="47"/>
      <c r="DR295" s="47"/>
      <c r="DS295" s="47"/>
      <c r="DT295" s="47"/>
      <c r="DU295" s="47"/>
      <c r="DV295" s="47"/>
      <c r="DW295" s="47"/>
      <c r="DX295" s="47"/>
      <c r="DY295" s="47"/>
      <c r="DZ295" s="47"/>
      <c r="EA295" s="47"/>
      <c r="EB295" s="47"/>
      <c r="EC295" s="47"/>
      <c r="ED295" s="47"/>
      <c r="EE295" s="47"/>
      <c r="EF295" s="47"/>
      <c r="EG295" s="47"/>
      <c r="EH295" s="47"/>
      <c r="EI295" s="47"/>
      <c r="EJ295" s="47"/>
      <c r="EK295" s="47"/>
      <c r="EL295" s="47"/>
      <c r="EM295" s="47"/>
      <c r="EN295" s="47"/>
      <c r="EO295" s="47"/>
      <c r="EP295" s="47"/>
      <c r="EQ295" s="47"/>
    </row>
    <row r="296" spans="58:147"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R296" s="47"/>
      <c r="CS296" s="47"/>
      <c r="CT296" s="47"/>
      <c r="CU296" s="47"/>
      <c r="CV296" s="47"/>
      <c r="CW296" s="47"/>
      <c r="CX296" s="47"/>
      <c r="CY296" s="47"/>
      <c r="CZ296" s="47"/>
      <c r="DA296" s="47"/>
      <c r="DB296" s="47"/>
      <c r="DC296" s="47"/>
      <c r="DD296" s="47"/>
      <c r="DE296" s="47"/>
      <c r="DF296" s="47"/>
      <c r="DG296" s="47"/>
      <c r="DH296" s="47"/>
      <c r="DI296" s="47"/>
      <c r="DJ296" s="47"/>
      <c r="DK296" s="47"/>
      <c r="DL296" s="47"/>
      <c r="DM296" s="47"/>
      <c r="DN296" s="47"/>
      <c r="DO296" s="47"/>
      <c r="DP296" s="47"/>
      <c r="DQ296" s="47"/>
      <c r="DR296" s="47"/>
      <c r="DS296" s="47"/>
      <c r="DT296" s="47"/>
      <c r="DU296" s="47"/>
      <c r="DV296" s="47"/>
      <c r="DW296" s="47"/>
      <c r="DX296" s="47"/>
      <c r="DY296" s="47"/>
      <c r="DZ296" s="47"/>
      <c r="EA296" s="47"/>
      <c r="EB296" s="47"/>
      <c r="EC296" s="47"/>
      <c r="ED296" s="47"/>
      <c r="EE296" s="47"/>
      <c r="EF296" s="47"/>
      <c r="EG296" s="47"/>
      <c r="EH296" s="47"/>
      <c r="EI296" s="47"/>
      <c r="EJ296" s="47"/>
      <c r="EK296" s="47"/>
      <c r="EL296" s="47"/>
      <c r="EM296" s="47"/>
      <c r="EN296" s="47"/>
      <c r="EO296" s="47"/>
      <c r="EP296" s="47"/>
      <c r="EQ296" s="47"/>
    </row>
    <row r="297" spans="58:147"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R297" s="47"/>
      <c r="CS297" s="47"/>
      <c r="CT297" s="47"/>
      <c r="CU297" s="47"/>
      <c r="CV297" s="47"/>
      <c r="CW297" s="47"/>
      <c r="CX297" s="47"/>
      <c r="CY297" s="47"/>
      <c r="CZ297" s="47"/>
      <c r="DA297" s="47"/>
      <c r="DB297" s="47"/>
      <c r="DC297" s="47"/>
      <c r="DD297" s="47"/>
      <c r="DE297" s="47"/>
      <c r="DF297" s="47"/>
      <c r="DG297" s="47"/>
      <c r="DH297" s="47"/>
      <c r="DI297" s="47"/>
      <c r="DJ297" s="47"/>
      <c r="DK297" s="47"/>
      <c r="DL297" s="47"/>
      <c r="DM297" s="47"/>
      <c r="DN297" s="47"/>
      <c r="DO297" s="47"/>
      <c r="DP297" s="47"/>
      <c r="DQ297" s="47"/>
      <c r="DR297" s="47"/>
      <c r="DS297" s="47"/>
      <c r="DT297" s="47"/>
      <c r="DU297" s="47"/>
      <c r="DV297" s="47"/>
      <c r="DW297" s="47"/>
      <c r="DX297" s="47"/>
      <c r="DY297" s="47"/>
      <c r="DZ297" s="47"/>
      <c r="EA297" s="47"/>
      <c r="EB297" s="47"/>
      <c r="EC297" s="47"/>
      <c r="ED297" s="47"/>
      <c r="EE297" s="47"/>
      <c r="EF297" s="47"/>
      <c r="EG297" s="47"/>
      <c r="EH297" s="47"/>
      <c r="EI297" s="47"/>
      <c r="EJ297" s="47"/>
      <c r="EK297" s="47"/>
      <c r="EL297" s="47"/>
      <c r="EM297" s="47"/>
      <c r="EN297" s="47"/>
      <c r="EO297" s="47"/>
      <c r="EP297" s="47"/>
      <c r="EQ297" s="47"/>
    </row>
    <row r="298" spans="58:147"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R298" s="47"/>
      <c r="CS298" s="47"/>
      <c r="CT298" s="47"/>
      <c r="CU298" s="47"/>
      <c r="CV298" s="47"/>
      <c r="CW298" s="47"/>
      <c r="CX298" s="47"/>
      <c r="CY298" s="47"/>
      <c r="CZ298" s="47"/>
      <c r="DA298" s="47"/>
      <c r="DB298" s="47"/>
      <c r="DC298" s="47"/>
      <c r="DD298" s="47"/>
      <c r="DE298" s="47"/>
      <c r="DF298" s="47"/>
      <c r="DG298" s="47"/>
      <c r="DH298" s="47"/>
      <c r="DI298" s="47"/>
      <c r="DJ298" s="47"/>
      <c r="DK298" s="47"/>
      <c r="DL298" s="47"/>
      <c r="DM298" s="47"/>
      <c r="DN298" s="47"/>
      <c r="DO298" s="47"/>
      <c r="DP298" s="47"/>
      <c r="DQ298" s="47"/>
      <c r="DR298" s="47"/>
      <c r="DS298" s="47"/>
      <c r="DT298" s="47"/>
      <c r="DU298" s="47"/>
      <c r="DV298" s="47"/>
      <c r="DW298" s="47"/>
      <c r="DX298" s="47"/>
      <c r="DY298" s="47"/>
      <c r="DZ298" s="47"/>
      <c r="EA298" s="47"/>
      <c r="EB298" s="47"/>
      <c r="EC298" s="47"/>
      <c r="ED298" s="47"/>
      <c r="EE298" s="47"/>
      <c r="EF298" s="47"/>
      <c r="EG298" s="47"/>
      <c r="EH298" s="47"/>
      <c r="EI298" s="47"/>
      <c r="EJ298" s="47"/>
      <c r="EK298" s="47"/>
      <c r="EL298" s="47"/>
      <c r="EM298" s="47"/>
      <c r="EN298" s="47"/>
      <c r="EO298" s="47"/>
      <c r="EP298" s="47"/>
      <c r="EQ298" s="47"/>
    </row>
    <row r="299" spans="58:147"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R299" s="47"/>
      <c r="CS299" s="47"/>
      <c r="CT299" s="47"/>
      <c r="CU299" s="47"/>
      <c r="CV299" s="47"/>
      <c r="CW299" s="47"/>
      <c r="CX299" s="47"/>
      <c r="CY299" s="47"/>
      <c r="CZ299" s="47"/>
      <c r="DA299" s="47"/>
      <c r="DB299" s="47"/>
      <c r="DC299" s="47"/>
      <c r="DD299" s="47"/>
      <c r="DE299" s="47"/>
      <c r="DF299" s="47"/>
      <c r="DG299" s="47"/>
      <c r="DH299" s="47"/>
      <c r="DI299" s="47"/>
      <c r="DJ299" s="47"/>
      <c r="DK299" s="47"/>
      <c r="DL299" s="47"/>
      <c r="DM299" s="47"/>
      <c r="DN299" s="47"/>
      <c r="DO299" s="47"/>
      <c r="DP299" s="47"/>
      <c r="DQ299" s="47"/>
      <c r="DR299" s="47"/>
      <c r="DS299" s="47"/>
      <c r="DT299" s="47"/>
      <c r="DU299" s="47"/>
      <c r="DV299" s="47"/>
      <c r="DW299" s="47"/>
      <c r="DX299" s="47"/>
      <c r="DY299" s="47"/>
      <c r="DZ299" s="47"/>
      <c r="EA299" s="47"/>
      <c r="EB299" s="47"/>
      <c r="EC299" s="47"/>
      <c r="ED299" s="47"/>
      <c r="EE299" s="47"/>
      <c r="EF299" s="47"/>
      <c r="EG299" s="47"/>
      <c r="EH299" s="47"/>
      <c r="EI299" s="47"/>
      <c r="EJ299" s="47"/>
      <c r="EK299" s="47"/>
      <c r="EL299" s="47"/>
      <c r="EM299" s="47"/>
      <c r="EN299" s="47"/>
      <c r="EO299" s="47"/>
      <c r="EP299" s="47"/>
      <c r="EQ299" s="47"/>
    </row>
    <row r="300" spans="58:147"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R300" s="47"/>
      <c r="CS300" s="47"/>
      <c r="CT300" s="47"/>
      <c r="CU300" s="47"/>
      <c r="CV300" s="47"/>
      <c r="CW300" s="47"/>
      <c r="CX300" s="47"/>
      <c r="CY300" s="47"/>
      <c r="CZ300" s="47"/>
      <c r="DA300" s="47"/>
      <c r="DB300" s="47"/>
      <c r="DC300" s="47"/>
      <c r="DD300" s="47"/>
      <c r="DE300" s="47"/>
      <c r="DF300" s="47"/>
      <c r="DG300" s="47"/>
      <c r="DH300" s="47"/>
      <c r="DI300" s="47"/>
      <c r="DJ300" s="47"/>
      <c r="DK300" s="47"/>
      <c r="DL300" s="47"/>
      <c r="DM300" s="47"/>
      <c r="DN300" s="47"/>
      <c r="DO300" s="47"/>
      <c r="DP300" s="47"/>
      <c r="DQ300" s="47"/>
      <c r="DR300" s="47"/>
      <c r="DS300" s="47"/>
      <c r="DT300" s="47"/>
      <c r="DU300" s="47"/>
      <c r="DV300" s="47"/>
      <c r="DW300" s="47"/>
      <c r="DX300" s="47"/>
      <c r="DY300" s="47"/>
      <c r="DZ300" s="47"/>
      <c r="EA300" s="47"/>
      <c r="EB300" s="47"/>
      <c r="EC300" s="47"/>
      <c r="ED300" s="47"/>
      <c r="EE300" s="47"/>
      <c r="EF300" s="47"/>
      <c r="EG300" s="47"/>
      <c r="EH300" s="47"/>
      <c r="EI300" s="47"/>
      <c r="EJ300" s="47"/>
      <c r="EK300" s="47"/>
      <c r="EL300" s="47"/>
      <c r="EM300" s="47"/>
      <c r="EN300" s="47"/>
      <c r="EO300" s="47"/>
      <c r="EP300" s="47"/>
      <c r="EQ300" s="47"/>
    </row>
    <row r="301" spans="58:147"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R301" s="47"/>
      <c r="CS301" s="47"/>
      <c r="CT301" s="47"/>
      <c r="CU301" s="47"/>
      <c r="CV301" s="47"/>
      <c r="CW301" s="47"/>
      <c r="CX301" s="47"/>
      <c r="CY301" s="47"/>
      <c r="CZ301" s="47"/>
      <c r="DA301" s="47"/>
      <c r="DB301" s="47"/>
      <c r="DC301" s="47"/>
      <c r="DD301" s="47"/>
      <c r="DE301" s="47"/>
      <c r="DF301" s="47"/>
      <c r="DG301" s="47"/>
      <c r="DH301" s="47"/>
      <c r="DI301" s="47"/>
      <c r="DJ301" s="47"/>
      <c r="DK301" s="47"/>
      <c r="DL301" s="47"/>
      <c r="DM301" s="47"/>
      <c r="DN301" s="47"/>
      <c r="DO301" s="47"/>
      <c r="DP301" s="47"/>
      <c r="DQ301" s="47"/>
      <c r="DR301" s="47"/>
      <c r="DS301" s="47"/>
      <c r="DT301" s="47"/>
      <c r="DU301" s="47"/>
      <c r="DV301" s="47"/>
      <c r="DW301" s="47"/>
      <c r="DX301" s="47"/>
      <c r="DY301" s="47"/>
      <c r="DZ301" s="47"/>
      <c r="EA301" s="47"/>
      <c r="EB301" s="47"/>
      <c r="EC301" s="47"/>
      <c r="ED301" s="47"/>
      <c r="EE301" s="47"/>
      <c r="EF301" s="47"/>
      <c r="EG301" s="47"/>
      <c r="EH301" s="47"/>
      <c r="EI301" s="47"/>
      <c r="EJ301" s="47"/>
      <c r="EK301" s="47"/>
      <c r="EL301" s="47"/>
      <c r="EM301" s="47"/>
      <c r="EN301" s="47"/>
      <c r="EO301" s="47"/>
      <c r="EP301" s="47"/>
      <c r="EQ301" s="47"/>
    </row>
    <row r="302" spans="58:147"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R302" s="47"/>
      <c r="CS302" s="47"/>
      <c r="CT302" s="47"/>
      <c r="CU302" s="47"/>
      <c r="CV302" s="47"/>
      <c r="CW302" s="47"/>
      <c r="CX302" s="47"/>
      <c r="CY302" s="47"/>
      <c r="CZ302" s="47"/>
      <c r="DA302" s="47"/>
      <c r="DB302" s="47"/>
      <c r="DC302" s="47"/>
      <c r="DD302" s="47"/>
      <c r="DE302" s="47"/>
      <c r="DF302" s="47"/>
      <c r="DG302" s="47"/>
      <c r="DH302" s="47"/>
      <c r="DI302" s="47"/>
      <c r="DJ302" s="47"/>
      <c r="DK302" s="47"/>
      <c r="DL302" s="47"/>
      <c r="DM302" s="47"/>
      <c r="DN302" s="47"/>
      <c r="DO302" s="47"/>
      <c r="DP302" s="47"/>
      <c r="DQ302" s="47"/>
      <c r="DR302" s="47"/>
      <c r="DS302" s="47"/>
      <c r="DT302" s="47"/>
      <c r="DU302" s="47"/>
      <c r="DV302" s="47"/>
      <c r="DW302" s="47"/>
      <c r="DX302" s="47"/>
      <c r="DY302" s="47"/>
      <c r="DZ302" s="47"/>
      <c r="EA302" s="47"/>
      <c r="EB302" s="47"/>
      <c r="EC302" s="47"/>
      <c r="ED302" s="47"/>
      <c r="EE302" s="47"/>
      <c r="EF302" s="47"/>
      <c r="EG302" s="47"/>
      <c r="EH302" s="47"/>
      <c r="EI302" s="47"/>
      <c r="EJ302" s="47"/>
      <c r="EK302" s="47"/>
      <c r="EL302" s="47"/>
      <c r="EM302" s="47"/>
      <c r="EN302" s="47"/>
      <c r="EO302" s="47"/>
      <c r="EP302" s="47"/>
      <c r="EQ302" s="47"/>
    </row>
    <row r="303" spans="58:147"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R303" s="47"/>
      <c r="CS303" s="47"/>
      <c r="CT303" s="47"/>
      <c r="CU303" s="47"/>
      <c r="CV303" s="47"/>
      <c r="CW303" s="47"/>
      <c r="CX303" s="47"/>
      <c r="CY303" s="47"/>
      <c r="CZ303" s="47"/>
      <c r="DA303" s="47"/>
      <c r="DB303" s="47"/>
      <c r="DC303" s="47"/>
      <c r="DD303" s="47"/>
      <c r="DE303" s="47"/>
      <c r="DF303" s="47"/>
      <c r="DG303" s="47"/>
      <c r="DH303" s="47"/>
      <c r="DI303" s="47"/>
      <c r="DJ303" s="47"/>
      <c r="DK303" s="47"/>
      <c r="DL303" s="47"/>
      <c r="DM303" s="47"/>
      <c r="DN303" s="47"/>
      <c r="DO303" s="47"/>
      <c r="DP303" s="47"/>
      <c r="DQ303" s="47"/>
      <c r="DR303" s="47"/>
      <c r="DS303" s="47"/>
      <c r="DT303" s="47"/>
      <c r="DU303" s="47"/>
      <c r="DV303" s="47"/>
      <c r="DW303" s="47"/>
      <c r="DX303" s="47"/>
      <c r="DY303" s="47"/>
      <c r="DZ303" s="47"/>
      <c r="EA303" s="47"/>
      <c r="EB303" s="47"/>
      <c r="EC303" s="47"/>
      <c r="ED303" s="47"/>
      <c r="EE303" s="47"/>
      <c r="EF303" s="47"/>
      <c r="EG303" s="47"/>
      <c r="EH303" s="47"/>
      <c r="EI303" s="47"/>
      <c r="EJ303" s="47"/>
      <c r="EK303" s="47"/>
      <c r="EL303" s="47"/>
      <c r="EM303" s="47"/>
      <c r="EN303" s="47"/>
      <c r="EO303" s="47"/>
      <c r="EP303" s="47"/>
      <c r="EQ303" s="47"/>
    </row>
    <row r="304" spans="58:147"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R304" s="47"/>
      <c r="CS304" s="47"/>
      <c r="CT304" s="47"/>
      <c r="CU304" s="47"/>
      <c r="CV304" s="47"/>
      <c r="CW304" s="47"/>
      <c r="CX304" s="47"/>
      <c r="CY304" s="47"/>
      <c r="CZ304" s="47"/>
      <c r="DA304" s="47"/>
      <c r="DB304" s="47"/>
      <c r="DC304" s="47"/>
      <c r="DD304" s="47"/>
      <c r="DE304" s="47"/>
      <c r="DF304" s="47"/>
      <c r="DG304" s="47"/>
      <c r="DH304" s="47"/>
      <c r="DI304" s="47"/>
      <c r="DJ304" s="47"/>
      <c r="DK304" s="47"/>
      <c r="DL304" s="47"/>
      <c r="DM304" s="47"/>
      <c r="DN304" s="47"/>
      <c r="DO304" s="47"/>
      <c r="DP304" s="47"/>
      <c r="DQ304" s="47"/>
      <c r="DR304" s="47"/>
      <c r="DS304" s="47"/>
      <c r="DT304" s="47"/>
      <c r="DU304" s="47"/>
      <c r="DV304" s="47"/>
      <c r="DW304" s="47"/>
      <c r="DX304" s="47"/>
      <c r="DY304" s="47"/>
      <c r="DZ304" s="47"/>
      <c r="EA304" s="47"/>
      <c r="EB304" s="47"/>
      <c r="EC304" s="47"/>
      <c r="ED304" s="47"/>
      <c r="EE304" s="47"/>
      <c r="EF304" s="47"/>
      <c r="EG304" s="47"/>
      <c r="EH304" s="47"/>
      <c r="EI304" s="47"/>
      <c r="EJ304" s="47"/>
      <c r="EK304" s="47"/>
      <c r="EL304" s="47"/>
      <c r="EM304" s="47"/>
      <c r="EN304" s="47"/>
      <c r="EO304" s="47"/>
      <c r="EP304" s="47"/>
      <c r="EQ304" s="47"/>
    </row>
    <row r="305" spans="58:147"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  <c r="CY305" s="47"/>
      <c r="CZ305" s="47"/>
      <c r="DA305" s="47"/>
      <c r="DB305" s="47"/>
      <c r="DC305" s="47"/>
      <c r="DD305" s="47"/>
      <c r="DE305" s="47"/>
      <c r="DF305" s="47"/>
      <c r="DG305" s="47"/>
      <c r="DH305" s="47"/>
      <c r="DI305" s="47"/>
      <c r="DJ305" s="47"/>
      <c r="DK305" s="47"/>
      <c r="DL305" s="47"/>
      <c r="DM305" s="47"/>
      <c r="DN305" s="47"/>
      <c r="DO305" s="47"/>
      <c r="DP305" s="47"/>
      <c r="DQ305" s="47"/>
      <c r="DR305" s="47"/>
      <c r="DS305" s="47"/>
      <c r="DT305" s="47"/>
      <c r="DU305" s="47"/>
      <c r="DV305" s="47"/>
      <c r="DW305" s="47"/>
      <c r="DX305" s="47"/>
      <c r="DY305" s="47"/>
      <c r="DZ305" s="47"/>
      <c r="EA305" s="47"/>
      <c r="EB305" s="47"/>
      <c r="EC305" s="47"/>
      <c r="ED305" s="47"/>
      <c r="EE305" s="47"/>
      <c r="EF305" s="47"/>
      <c r="EG305" s="47"/>
      <c r="EH305" s="47"/>
      <c r="EI305" s="47"/>
      <c r="EJ305" s="47"/>
      <c r="EK305" s="47"/>
      <c r="EL305" s="47"/>
      <c r="EM305" s="47"/>
      <c r="EN305" s="47"/>
      <c r="EO305" s="47"/>
      <c r="EP305" s="47"/>
      <c r="EQ305" s="47"/>
    </row>
    <row r="306" spans="58:147"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R306" s="47"/>
      <c r="CS306" s="47"/>
      <c r="CT306" s="47"/>
      <c r="CU306" s="47"/>
      <c r="CV306" s="47"/>
      <c r="CW306" s="47"/>
      <c r="CX306" s="47"/>
      <c r="CY306" s="47"/>
      <c r="CZ306" s="47"/>
      <c r="DA306" s="47"/>
      <c r="DB306" s="47"/>
      <c r="DC306" s="47"/>
      <c r="DD306" s="47"/>
      <c r="DE306" s="47"/>
      <c r="DF306" s="47"/>
      <c r="DG306" s="47"/>
      <c r="DH306" s="47"/>
      <c r="DI306" s="47"/>
      <c r="DJ306" s="47"/>
      <c r="DK306" s="47"/>
      <c r="DL306" s="47"/>
      <c r="DM306" s="47"/>
      <c r="DN306" s="47"/>
      <c r="DO306" s="47"/>
      <c r="DP306" s="47"/>
      <c r="DQ306" s="47"/>
      <c r="DR306" s="47"/>
      <c r="DS306" s="47"/>
      <c r="DT306" s="47"/>
      <c r="DU306" s="47"/>
      <c r="DV306" s="47"/>
      <c r="DW306" s="47"/>
      <c r="DX306" s="47"/>
      <c r="DY306" s="47"/>
      <c r="DZ306" s="47"/>
      <c r="EA306" s="47"/>
      <c r="EB306" s="47"/>
      <c r="EC306" s="47"/>
      <c r="ED306" s="47"/>
      <c r="EE306" s="47"/>
      <c r="EF306" s="47"/>
      <c r="EG306" s="47"/>
      <c r="EH306" s="47"/>
      <c r="EI306" s="47"/>
      <c r="EJ306" s="47"/>
      <c r="EK306" s="47"/>
      <c r="EL306" s="47"/>
      <c r="EM306" s="47"/>
      <c r="EN306" s="47"/>
      <c r="EO306" s="47"/>
      <c r="EP306" s="47"/>
      <c r="EQ306" s="47"/>
    </row>
    <row r="307" spans="58:147"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  <c r="CY307" s="47"/>
      <c r="CZ307" s="47"/>
      <c r="DA307" s="47"/>
      <c r="DB307" s="47"/>
      <c r="DC307" s="47"/>
      <c r="DD307" s="47"/>
      <c r="DE307" s="47"/>
      <c r="DF307" s="47"/>
      <c r="DG307" s="47"/>
      <c r="DH307" s="47"/>
      <c r="DI307" s="47"/>
      <c r="DJ307" s="47"/>
      <c r="DK307" s="47"/>
      <c r="DL307" s="47"/>
      <c r="DM307" s="47"/>
      <c r="DN307" s="47"/>
      <c r="DO307" s="47"/>
      <c r="DP307" s="47"/>
      <c r="DQ307" s="47"/>
      <c r="DR307" s="47"/>
      <c r="DS307" s="47"/>
      <c r="DT307" s="47"/>
      <c r="DU307" s="47"/>
      <c r="DV307" s="47"/>
      <c r="DW307" s="47"/>
      <c r="DX307" s="47"/>
      <c r="DY307" s="47"/>
      <c r="DZ307" s="47"/>
      <c r="EA307" s="47"/>
      <c r="EB307" s="47"/>
      <c r="EC307" s="47"/>
      <c r="ED307" s="47"/>
      <c r="EE307" s="47"/>
      <c r="EF307" s="47"/>
      <c r="EG307" s="47"/>
      <c r="EH307" s="47"/>
      <c r="EI307" s="47"/>
      <c r="EJ307" s="47"/>
      <c r="EK307" s="47"/>
      <c r="EL307" s="47"/>
      <c r="EM307" s="47"/>
      <c r="EN307" s="47"/>
      <c r="EO307" s="47"/>
      <c r="EP307" s="47"/>
      <c r="EQ307" s="47"/>
    </row>
    <row r="308" spans="58:147"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R308" s="47"/>
      <c r="CS308" s="47"/>
      <c r="CT308" s="47"/>
      <c r="CU308" s="47"/>
      <c r="CV308" s="47"/>
      <c r="CW308" s="47"/>
      <c r="CX308" s="47"/>
      <c r="CY308" s="47"/>
      <c r="CZ308" s="47"/>
      <c r="DA308" s="47"/>
      <c r="DB308" s="47"/>
      <c r="DC308" s="47"/>
      <c r="DD308" s="47"/>
      <c r="DE308" s="47"/>
      <c r="DF308" s="47"/>
      <c r="DG308" s="47"/>
      <c r="DH308" s="47"/>
      <c r="DI308" s="47"/>
      <c r="DJ308" s="47"/>
      <c r="DK308" s="47"/>
      <c r="DL308" s="47"/>
      <c r="DM308" s="47"/>
      <c r="DN308" s="47"/>
      <c r="DO308" s="47"/>
      <c r="DP308" s="47"/>
      <c r="DQ308" s="47"/>
      <c r="DR308" s="47"/>
      <c r="DS308" s="47"/>
      <c r="DT308" s="47"/>
      <c r="DU308" s="47"/>
      <c r="DV308" s="47"/>
      <c r="DW308" s="47"/>
      <c r="DX308" s="47"/>
      <c r="DY308" s="47"/>
      <c r="DZ308" s="47"/>
      <c r="EA308" s="47"/>
      <c r="EB308" s="47"/>
      <c r="EC308" s="47"/>
      <c r="ED308" s="47"/>
      <c r="EE308" s="47"/>
      <c r="EF308" s="47"/>
      <c r="EG308" s="47"/>
      <c r="EH308" s="47"/>
      <c r="EI308" s="47"/>
      <c r="EJ308" s="47"/>
      <c r="EK308" s="47"/>
      <c r="EL308" s="47"/>
      <c r="EM308" s="47"/>
      <c r="EN308" s="47"/>
      <c r="EO308" s="47"/>
      <c r="EP308" s="47"/>
      <c r="EQ308" s="47"/>
    </row>
    <row r="309" spans="58:147"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  <c r="CY309" s="47"/>
      <c r="CZ309" s="47"/>
      <c r="DA309" s="47"/>
      <c r="DB309" s="47"/>
      <c r="DC309" s="47"/>
      <c r="DD309" s="47"/>
      <c r="DE309" s="47"/>
      <c r="DF309" s="47"/>
      <c r="DG309" s="47"/>
      <c r="DH309" s="47"/>
      <c r="DI309" s="47"/>
      <c r="DJ309" s="47"/>
      <c r="DK309" s="47"/>
      <c r="DL309" s="47"/>
      <c r="DM309" s="47"/>
      <c r="DN309" s="47"/>
      <c r="DO309" s="47"/>
      <c r="DP309" s="47"/>
      <c r="DQ309" s="47"/>
      <c r="DR309" s="47"/>
      <c r="DS309" s="47"/>
      <c r="DT309" s="47"/>
      <c r="DU309" s="47"/>
      <c r="DV309" s="47"/>
      <c r="DW309" s="47"/>
      <c r="DX309" s="47"/>
      <c r="DY309" s="47"/>
      <c r="DZ309" s="47"/>
      <c r="EA309" s="47"/>
      <c r="EB309" s="47"/>
      <c r="EC309" s="47"/>
      <c r="ED309" s="47"/>
      <c r="EE309" s="47"/>
      <c r="EF309" s="47"/>
      <c r="EG309" s="47"/>
      <c r="EH309" s="47"/>
      <c r="EI309" s="47"/>
      <c r="EJ309" s="47"/>
      <c r="EK309" s="47"/>
      <c r="EL309" s="47"/>
      <c r="EM309" s="47"/>
      <c r="EN309" s="47"/>
      <c r="EO309" s="47"/>
      <c r="EP309" s="47"/>
      <c r="EQ309" s="47"/>
    </row>
    <row r="310" spans="58:147"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R310" s="47"/>
      <c r="CS310" s="47"/>
      <c r="CT310" s="47"/>
      <c r="CU310" s="47"/>
      <c r="CV310" s="47"/>
      <c r="CW310" s="47"/>
      <c r="CX310" s="47"/>
      <c r="CY310" s="47"/>
      <c r="CZ310" s="47"/>
      <c r="DA310" s="47"/>
      <c r="DB310" s="47"/>
      <c r="DC310" s="47"/>
      <c r="DD310" s="47"/>
      <c r="DE310" s="47"/>
      <c r="DF310" s="47"/>
      <c r="DG310" s="47"/>
      <c r="DH310" s="47"/>
      <c r="DI310" s="47"/>
      <c r="DJ310" s="47"/>
      <c r="DK310" s="47"/>
      <c r="DL310" s="47"/>
      <c r="DM310" s="47"/>
      <c r="DN310" s="47"/>
      <c r="DO310" s="47"/>
      <c r="DP310" s="47"/>
      <c r="DQ310" s="47"/>
      <c r="DR310" s="47"/>
      <c r="DS310" s="47"/>
      <c r="DT310" s="47"/>
      <c r="DU310" s="47"/>
      <c r="DV310" s="47"/>
      <c r="DW310" s="47"/>
      <c r="DX310" s="47"/>
      <c r="DY310" s="47"/>
      <c r="DZ310" s="47"/>
      <c r="EA310" s="47"/>
      <c r="EB310" s="47"/>
      <c r="EC310" s="47"/>
      <c r="ED310" s="47"/>
      <c r="EE310" s="47"/>
      <c r="EF310" s="47"/>
      <c r="EG310" s="47"/>
      <c r="EH310" s="47"/>
      <c r="EI310" s="47"/>
      <c r="EJ310" s="47"/>
      <c r="EK310" s="47"/>
      <c r="EL310" s="47"/>
      <c r="EM310" s="47"/>
      <c r="EN310" s="47"/>
      <c r="EO310" s="47"/>
      <c r="EP310" s="47"/>
      <c r="EQ310" s="47"/>
    </row>
    <row r="311" spans="58:147"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  <c r="CY311" s="47"/>
      <c r="CZ311" s="47"/>
      <c r="DA311" s="47"/>
      <c r="DB311" s="47"/>
      <c r="DC311" s="47"/>
      <c r="DD311" s="47"/>
      <c r="DE311" s="47"/>
      <c r="DF311" s="47"/>
      <c r="DG311" s="47"/>
      <c r="DH311" s="47"/>
      <c r="DI311" s="47"/>
      <c r="DJ311" s="47"/>
      <c r="DK311" s="47"/>
      <c r="DL311" s="47"/>
      <c r="DM311" s="47"/>
      <c r="DN311" s="47"/>
      <c r="DO311" s="47"/>
      <c r="DP311" s="47"/>
      <c r="DQ311" s="47"/>
      <c r="DR311" s="47"/>
      <c r="DS311" s="47"/>
      <c r="DT311" s="47"/>
      <c r="DU311" s="47"/>
      <c r="DV311" s="47"/>
      <c r="DW311" s="47"/>
      <c r="DX311" s="47"/>
      <c r="DY311" s="47"/>
      <c r="DZ311" s="47"/>
      <c r="EA311" s="47"/>
      <c r="EB311" s="47"/>
      <c r="EC311" s="47"/>
      <c r="ED311" s="47"/>
      <c r="EE311" s="47"/>
      <c r="EF311" s="47"/>
      <c r="EG311" s="47"/>
      <c r="EH311" s="47"/>
      <c r="EI311" s="47"/>
      <c r="EJ311" s="47"/>
      <c r="EK311" s="47"/>
      <c r="EL311" s="47"/>
      <c r="EM311" s="47"/>
      <c r="EN311" s="47"/>
      <c r="EO311" s="47"/>
      <c r="EP311" s="47"/>
      <c r="EQ311" s="47"/>
    </row>
    <row r="312" spans="58:147"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S312" s="47"/>
      <c r="CT312" s="47"/>
      <c r="CU312" s="47"/>
      <c r="CV312" s="47"/>
      <c r="CW312" s="47"/>
      <c r="CX312" s="47"/>
      <c r="CY312" s="47"/>
      <c r="CZ312" s="47"/>
      <c r="DA312" s="47"/>
      <c r="DB312" s="47"/>
      <c r="DC312" s="47"/>
      <c r="DD312" s="47"/>
      <c r="DE312" s="47"/>
      <c r="DF312" s="47"/>
      <c r="DG312" s="47"/>
      <c r="DH312" s="47"/>
      <c r="DI312" s="47"/>
      <c r="DJ312" s="47"/>
      <c r="DK312" s="47"/>
      <c r="DL312" s="47"/>
      <c r="DM312" s="47"/>
      <c r="DN312" s="47"/>
      <c r="DO312" s="47"/>
      <c r="DP312" s="47"/>
      <c r="DQ312" s="47"/>
      <c r="DR312" s="47"/>
      <c r="DS312" s="47"/>
      <c r="DT312" s="47"/>
      <c r="DU312" s="47"/>
      <c r="DV312" s="47"/>
      <c r="DW312" s="47"/>
      <c r="DX312" s="47"/>
      <c r="DY312" s="47"/>
      <c r="DZ312" s="47"/>
      <c r="EA312" s="47"/>
      <c r="EB312" s="47"/>
      <c r="EC312" s="47"/>
      <c r="ED312" s="47"/>
      <c r="EE312" s="47"/>
      <c r="EF312" s="47"/>
      <c r="EG312" s="47"/>
      <c r="EH312" s="47"/>
      <c r="EI312" s="47"/>
      <c r="EJ312" s="47"/>
      <c r="EK312" s="47"/>
      <c r="EL312" s="47"/>
      <c r="EM312" s="47"/>
      <c r="EN312" s="47"/>
      <c r="EO312" s="47"/>
      <c r="EP312" s="47"/>
      <c r="EQ312" s="47"/>
    </row>
    <row r="313" spans="58:147"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  <c r="DI313" s="47"/>
      <c r="DJ313" s="47"/>
      <c r="DK313" s="47"/>
      <c r="DL313" s="47"/>
      <c r="DM313" s="47"/>
      <c r="DN313" s="47"/>
      <c r="DO313" s="47"/>
      <c r="DP313" s="47"/>
      <c r="DQ313" s="47"/>
      <c r="DR313" s="47"/>
      <c r="DS313" s="47"/>
      <c r="DT313" s="47"/>
      <c r="DU313" s="47"/>
      <c r="DV313" s="47"/>
      <c r="DW313" s="47"/>
      <c r="DX313" s="47"/>
      <c r="DY313" s="47"/>
      <c r="DZ313" s="47"/>
      <c r="EA313" s="47"/>
      <c r="EB313" s="47"/>
      <c r="EC313" s="47"/>
      <c r="ED313" s="47"/>
      <c r="EE313" s="47"/>
      <c r="EF313" s="47"/>
      <c r="EG313" s="47"/>
      <c r="EH313" s="47"/>
      <c r="EI313" s="47"/>
      <c r="EJ313" s="47"/>
      <c r="EK313" s="47"/>
      <c r="EL313" s="47"/>
      <c r="EM313" s="47"/>
      <c r="EN313" s="47"/>
      <c r="EO313" s="47"/>
      <c r="EP313" s="47"/>
      <c r="EQ313" s="47"/>
    </row>
    <row r="314" spans="58:147"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R314" s="47"/>
      <c r="CS314" s="47"/>
      <c r="CT314" s="47"/>
      <c r="CU314" s="47"/>
      <c r="CV314" s="47"/>
      <c r="CW314" s="47"/>
      <c r="CX314" s="47"/>
      <c r="CY314" s="47"/>
      <c r="CZ314" s="47"/>
      <c r="DA314" s="47"/>
      <c r="DB314" s="47"/>
      <c r="DC314" s="47"/>
      <c r="DD314" s="47"/>
      <c r="DE314" s="47"/>
      <c r="DF314" s="47"/>
      <c r="DG314" s="47"/>
      <c r="DH314" s="47"/>
      <c r="DI314" s="47"/>
      <c r="DJ314" s="47"/>
      <c r="DK314" s="47"/>
      <c r="DL314" s="47"/>
      <c r="DM314" s="47"/>
      <c r="DN314" s="47"/>
      <c r="DO314" s="47"/>
      <c r="DP314" s="47"/>
      <c r="DQ314" s="47"/>
      <c r="DR314" s="47"/>
      <c r="DS314" s="47"/>
      <c r="DT314" s="47"/>
      <c r="DU314" s="47"/>
      <c r="DV314" s="47"/>
      <c r="DW314" s="47"/>
      <c r="DX314" s="47"/>
      <c r="DY314" s="47"/>
      <c r="DZ314" s="47"/>
      <c r="EA314" s="47"/>
      <c r="EB314" s="47"/>
      <c r="EC314" s="47"/>
      <c r="ED314" s="47"/>
      <c r="EE314" s="47"/>
      <c r="EF314" s="47"/>
      <c r="EG314" s="47"/>
      <c r="EH314" s="47"/>
      <c r="EI314" s="47"/>
      <c r="EJ314" s="47"/>
      <c r="EK314" s="47"/>
      <c r="EL314" s="47"/>
      <c r="EM314" s="47"/>
      <c r="EN314" s="47"/>
      <c r="EO314" s="47"/>
      <c r="EP314" s="47"/>
      <c r="EQ314" s="47"/>
    </row>
    <row r="315" spans="58:147"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R315" s="47"/>
      <c r="CS315" s="47"/>
      <c r="CT315" s="47"/>
      <c r="CU315" s="47"/>
      <c r="CV315" s="47"/>
      <c r="CW315" s="47"/>
      <c r="CX315" s="47"/>
      <c r="CY315" s="47"/>
      <c r="CZ315" s="47"/>
      <c r="DA315" s="47"/>
      <c r="DB315" s="47"/>
      <c r="DC315" s="47"/>
      <c r="DD315" s="47"/>
      <c r="DE315" s="47"/>
      <c r="DF315" s="47"/>
      <c r="DG315" s="47"/>
      <c r="DH315" s="47"/>
      <c r="DI315" s="47"/>
      <c r="DJ315" s="47"/>
      <c r="DK315" s="47"/>
      <c r="DL315" s="47"/>
      <c r="DM315" s="47"/>
      <c r="DN315" s="47"/>
      <c r="DO315" s="47"/>
      <c r="DP315" s="47"/>
      <c r="DQ315" s="47"/>
      <c r="DR315" s="47"/>
      <c r="DS315" s="47"/>
      <c r="DT315" s="47"/>
      <c r="DU315" s="47"/>
      <c r="DV315" s="47"/>
      <c r="DW315" s="47"/>
      <c r="DX315" s="47"/>
      <c r="DY315" s="47"/>
      <c r="DZ315" s="47"/>
      <c r="EA315" s="47"/>
      <c r="EB315" s="47"/>
      <c r="EC315" s="47"/>
      <c r="ED315" s="47"/>
      <c r="EE315" s="47"/>
      <c r="EF315" s="47"/>
      <c r="EG315" s="47"/>
      <c r="EH315" s="47"/>
      <c r="EI315" s="47"/>
      <c r="EJ315" s="47"/>
      <c r="EK315" s="47"/>
      <c r="EL315" s="47"/>
      <c r="EM315" s="47"/>
      <c r="EN315" s="47"/>
      <c r="EO315" s="47"/>
      <c r="EP315" s="47"/>
      <c r="EQ315" s="47"/>
    </row>
    <row r="316" spans="58:147"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R316" s="47"/>
      <c r="CS316" s="47"/>
      <c r="CT316" s="47"/>
      <c r="CU316" s="47"/>
      <c r="CV316" s="47"/>
      <c r="CW316" s="47"/>
      <c r="CX316" s="47"/>
      <c r="CY316" s="47"/>
      <c r="CZ316" s="47"/>
      <c r="DA316" s="47"/>
      <c r="DB316" s="47"/>
      <c r="DC316" s="47"/>
      <c r="DD316" s="47"/>
      <c r="DE316" s="47"/>
      <c r="DF316" s="47"/>
      <c r="DG316" s="47"/>
      <c r="DH316" s="47"/>
      <c r="DI316" s="47"/>
      <c r="DJ316" s="47"/>
      <c r="DK316" s="47"/>
      <c r="DL316" s="47"/>
      <c r="DM316" s="47"/>
      <c r="DN316" s="47"/>
      <c r="DO316" s="47"/>
      <c r="DP316" s="47"/>
      <c r="DQ316" s="47"/>
      <c r="DR316" s="47"/>
      <c r="DS316" s="47"/>
      <c r="DT316" s="47"/>
      <c r="DU316" s="47"/>
      <c r="DV316" s="47"/>
      <c r="DW316" s="47"/>
      <c r="DX316" s="47"/>
      <c r="DY316" s="47"/>
      <c r="DZ316" s="47"/>
      <c r="EA316" s="47"/>
      <c r="EB316" s="47"/>
      <c r="EC316" s="47"/>
      <c r="ED316" s="47"/>
      <c r="EE316" s="47"/>
      <c r="EF316" s="47"/>
      <c r="EG316" s="47"/>
      <c r="EH316" s="47"/>
      <c r="EI316" s="47"/>
      <c r="EJ316" s="47"/>
      <c r="EK316" s="47"/>
      <c r="EL316" s="47"/>
      <c r="EM316" s="47"/>
      <c r="EN316" s="47"/>
      <c r="EO316" s="47"/>
      <c r="EP316" s="47"/>
      <c r="EQ316" s="47"/>
    </row>
    <row r="317" spans="58:147"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R317" s="47"/>
      <c r="CS317" s="47"/>
      <c r="CT317" s="47"/>
      <c r="CU317" s="47"/>
      <c r="CV317" s="47"/>
      <c r="CW317" s="47"/>
      <c r="CX317" s="47"/>
      <c r="CY317" s="47"/>
      <c r="CZ317" s="47"/>
      <c r="DA317" s="47"/>
      <c r="DB317" s="47"/>
      <c r="DC317" s="47"/>
      <c r="DD317" s="47"/>
      <c r="DE317" s="47"/>
      <c r="DF317" s="47"/>
      <c r="DG317" s="47"/>
      <c r="DH317" s="47"/>
      <c r="DI317" s="47"/>
      <c r="DJ317" s="47"/>
      <c r="DK317" s="47"/>
      <c r="DL317" s="47"/>
      <c r="DM317" s="47"/>
      <c r="DN317" s="47"/>
      <c r="DO317" s="47"/>
      <c r="DP317" s="47"/>
      <c r="DQ317" s="47"/>
      <c r="DR317" s="47"/>
      <c r="DS317" s="47"/>
      <c r="DT317" s="47"/>
      <c r="DU317" s="47"/>
      <c r="DV317" s="47"/>
      <c r="DW317" s="47"/>
      <c r="DX317" s="47"/>
      <c r="DY317" s="47"/>
      <c r="DZ317" s="47"/>
      <c r="EA317" s="47"/>
      <c r="EB317" s="47"/>
      <c r="EC317" s="47"/>
      <c r="ED317" s="47"/>
      <c r="EE317" s="47"/>
      <c r="EF317" s="47"/>
      <c r="EG317" s="47"/>
      <c r="EH317" s="47"/>
      <c r="EI317" s="47"/>
      <c r="EJ317" s="47"/>
      <c r="EK317" s="47"/>
      <c r="EL317" s="47"/>
      <c r="EM317" s="47"/>
      <c r="EN317" s="47"/>
      <c r="EO317" s="47"/>
      <c r="EP317" s="47"/>
      <c r="EQ317" s="47"/>
    </row>
    <row r="318" spans="58:147"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R318" s="47"/>
      <c r="CS318" s="47"/>
      <c r="CT318" s="47"/>
      <c r="CU318" s="47"/>
      <c r="CV318" s="47"/>
      <c r="CW318" s="47"/>
      <c r="CX318" s="47"/>
      <c r="CY318" s="47"/>
      <c r="CZ318" s="47"/>
      <c r="DA318" s="47"/>
      <c r="DB318" s="47"/>
      <c r="DC318" s="47"/>
      <c r="DD318" s="47"/>
      <c r="DE318" s="47"/>
      <c r="DF318" s="47"/>
      <c r="DG318" s="47"/>
      <c r="DH318" s="47"/>
      <c r="DI318" s="47"/>
      <c r="DJ318" s="47"/>
      <c r="DK318" s="47"/>
      <c r="DL318" s="47"/>
      <c r="DM318" s="47"/>
      <c r="DN318" s="47"/>
      <c r="DO318" s="47"/>
      <c r="DP318" s="47"/>
      <c r="DQ318" s="47"/>
      <c r="DR318" s="47"/>
      <c r="DS318" s="47"/>
      <c r="DT318" s="47"/>
      <c r="DU318" s="47"/>
      <c r="DV318" s="47"/>
      <c r="DW318" s="47"/>
      <c r="DX318" s="47"/>
      <c r="DY318" s="47"/>
      <c r="DZ318" s="47"/>
      <c r="EA318" s="47"/>
      <c r="EB318" s="47"/>
      <c r="EC318" s="47"/>
      <c r="ED318" s="47"/>
      <c r="EE318" s="47"/>
      <c r="EF318" s="47"/>
      <c r="EG318" s="47"/>
      <c r="EH318" s="47"/>
      <c r="EI318" s="47"/>
      <c r="EJ318" s="47"/>
      <c r="EK318" s="47"/>
      <c r="EL318" s="47"/>
      <c r="EM318" s="47"/>
      <c r="EN318" s="47"/>
      <c r="EO318" s="47"/>
      <c r="EP318" s="47"/>
      <c r="EQ318" s="47"/>
    </row>
    <row r="319" spans="58:147"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R319" s="47"/>
      <c r="CS319" s="47"/>
      <c r="CT319" s="47"/>
      <c r="CU319" s="47"/>
      <c r="CV319" s="47"/>
      <c r="CW319" s="47"/>
      <c r="CX319" s="47"/>
      <c r="CY319" s="47"/>
      <c r="CZ319" s="47"/>
      <c r="DA319" s="47"/>
      <c r="DB319" s="47"/>
      <c r="DC319" s="47"/>
      <c r="DD319" s="47"/>
      <c r="DE319" s="47"/>
      <c r="DF319" s="47"/>
      <c r="DG319" s="47"/>
      <c r="DH319" s="47"/>
      <c r="DI319" s="47"/>
      <c r="DJ319" s="47"/>
      <c r="DK319" s="47"/>
      <c r="DL319" s="47"/>
      <c r="DM319" s="47"/>
      <c r="DN319" s="47"/>
      <c r="DO319" s="47"/>
      <c r="DP319" s="47"/>
      <c r="DQ319" s="47"/>
      <c r="DR319" s="47"/>
      <c r="DS319" s="47"/>
      <c r="DT319" s="47"/>
      <c r="DU319" s="47"/>
      <c r="DV319" s="47"/>
      <c r="DW319" s="47"/>
      <c r="DX319" s="47"/>
      <c r="DY319" s="47"/>
      <c r="DZ319" s="47"/>
      <c r="EA319" s="47"/>
      <c r="EB319" s="47"/>
      <c r="EC319" s="47"/>
      <c r="ED319" s="47"/>
      <c r="EE319" s="47"/>
      <c r="EF319" s="47"/>
      <c r="EG319" s="47"/>
      <c r="EH319" s="47"/>
      <c r="EI319" s="47"/>
      <c r="EJ319" s="47"/>
      <c r="EK319" s="47"/>
      <c r="EL319" s="47"/>
      <c r="EM319" s="47"/>
      <c r="EN319" s="47"/>
      <c r="EO319" s="47"/>
      <c r="EP319" s="47"/>
      <c r="EQ319" s="47"/>
    </row>
    <row r="320" spans="58:147"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R320" s="47"/>
      <c r="CS320" s="47"/>
      <c r="CT320" s="47"/>
      <c r="CU320" s="47"/>
      <c r="CV320" s="47"/>
      <c r="CW320" s="47"/>
      <c r="CX320" s="47"/>
      <c r="CY320" s="47"/>
      <c r="CZ320" s="47"/>
      <c r="DA320" s="47"/>
      <c r="DB320" s="47"/>
      <c r="DC320" s="47"/>
      <c r="DD320" s="47"/>
      <c r="DE320" s="47"/>
      <c r="DF320" s="47"/>
      <c r="DG320" s="47"/>
      <c r="DH320" s="47"/>
      <c r="DI320" s="47"/>
      <c r="DJ320" s="47"/>
      <c r="DK320" s="47"/>
      <c r="DL320" s="47"/>
      <c r="DM320" s="47"/>
      <c r="DN320" s="47"/>
      <c r="DO320" s="47"/>
      <c r="DP320" s="47"/>
      <c r="DQ320" s="47"/>
      <c r="DR320" s="47"/>
      <c r="DS320" s="47"/>
      <c r="DT320" s="47"/>
      <c r="DU320" s="47"/>
      <c r="DV320" s="47"/>
      <c r="DW320" s="47"/>
      <c r="DX320" s="47"/>
      <c r="DY320" s="47"/>
      <c r="DZ320" s="47"/>
      <c r="EA320" s="47"/>
      <c r="EB320" s="47"/>
      <c r="EC320" s="47"/>
      <c r="ED320" s="47"/>
      <c r="EE320" s="47"/>
      <c r="EF320" s="47"/>
      <c r="EG320" s="47"/>
      <c r="EH320" s="47"/>
      <c r="EI320" s="47"/>
      <c r="EJ320" s="47"/>
      <c r="EK320" s="47"/>
      <c r="EL320" s="47"/>
      <c r="EM320" s="47"/>
      <c r="EN320" s="47"/>
      <c r="EO320" s="47"/>
      <c r="EP320" s="47"/>
      <c r="EQ320" s="47"/>
    </row>
    <row r="321" spans="58:147"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  <c r="CY321" s="47"/>
      <c r="CZ321" s="47"/>
      <c r="DA321" s="47"/>
      <c r="DB321" s="47"/>
      <c r="DC321" s="47"/>
      <c r="DD321" s="47"/>
      <c r="DE321" s="47"/>
      <c r="DF321" s="47"/>
      <c r="DG321" s="47"/>
      <c r="DH321" s="47"/>
      <c r="DI321" s="47"/>
      <c r="DJ321" s="47"/>
      <c r="DK321" s="47"/>
      <c r="DL321" s="47"/>
      <c r="DM321" s="47"/>
      <c r="DN321" s="47"/>
      <c r="DO321" s="47"/>
      <c r="DP321" s="47"/>
      <c r="DQ321" s="47"/>
      <c r="DR321" s="47"/>
      <c r="DS321" s="47"/>
      <c r="DT321" s="47"/>
      <c r="DU321" s="47"/>
      <c r="DV321" s="47"/>
      <c r="DW321" s="47"/>
      <c r="DX321" s="47"/>
      <c r="DY321" s="47"/>
      <c r="DZ321" s="47"/>
      <c r="EA321" s="47"/>
      <c r="EB321" s="47"/>
      <c r="EC321" s="47"/>
      <c r="ED321" s="47"/>
      <c r="EE321" s="47"/>
      <c r="EF321" s="47"/>
      <c r="EG321" s="47"/>
      <c r="EH321" s="47"/>
      <c r="EI321" s="47"/>
      <c r="EJ321" s="47"/>
      <c r="EK321" s="47"/>
      <c r="EL321" s="47"/>
      <c r="EM321" s="47"/>
      <c r="EN321" s="47"/>
      <c r="EO321" s="47"/>
      <c r="EP321" s="47"/>
      <c r="EQ321" s="47"/>
    </row>
    <row r="322" spans="58:147"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R322" s="47"/>
      <c r="CS322" s="47"/>
      <c r="CT322" s="47"/>
      <c r="CU322" s="47"/>
      <c r="CV322" s="47"/>
      <c r="CW322" s="47"/>
      <c r="CX322" s="47"/>
      <c r="CY322" s="47"/>
      <c r="CZ322" s="47"/>
      <c r="DA322" s="47"/>
      <c r="DB322" s="47"/>
      <c r="DC322" s="47"/>
      <c r="DD322" s="47"/>
      <c r="DE322" s="47"/>
      <c r="DF322" s="47"/>
      <c r="DG322" s="47"/>
      <c r="DH322" s="47"/>
      <c r="DI322" s="47"/>
      <c r="DJ322" s="47"/>
      <c r="DK322" s="47"/>
      <c r="DL322" s="47"/>
      <c r="DM322" s="47"/>
      <c r="DN322" s="47"/>
      <c r="DO322" s="47"/>
      <c r="DP322" s="47"/>
      <c r="DQ322" s="47"/>
      <c r="DR322" s="47"/>
      <c r="DS322" s="47"/>
      <c r="DT322" s="47"/>
      <c r="DU322" s="47"/>
      <c r="DV322" s="47"/>
      <c r="DW322" s="47"/>
      <c r="DX322" s="47"/>
      <c r="DY322" s="47"/>
      <c r="DZ322" s="47"/>
      <c r="EA322" s="47"/>
      <c r="EB322" s="47"/>
      <c r="EC322" s="47"/>
      <c r="ED322" s="47"/>
      <c r="EE322" s="47"/>
      <c r="EF322" s="47"/>
      <c r="EG322" s="47"/>
      <c r="EH322" s="47"/>
      <c r="EI322" s="47"/>
      <c r="EJ322" s="47"/>
      <c r="EK322" s="47"/>
      <c r="EL322" s="47"/>
      <c r="EM322" s="47"/>
      <c r="EN322" s="47"/>
      <c r="EO322" s="47"/>
      <c r="EP322" s="47"/>
      <c r="EQ322" s="47"/>
    </row>
    <row r="323" spans="58:147"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  <c r="DI323" s="47"/>
      <c r="DJ323" s="47"/>
      <c r="DK323" s="47"/>
      <c r="DL323" s="47"/>
      <c r="DM323" s="47"/>
      <c r="DN323" s="47"/>
      <c r="DO323" s="47"/>
      <c r="DP323" s="47"/>
      <c r="DQ323" s="47"/>
      <c r="DR323" s="47"/>
      <c r="DS323" s="47"/>
      <c r="DT323" s="47"/>
      <c r="DU323" s="47"/>
      <c r="DV323" s="47"/>
      <c r="DW323" s="47"/>
      <c r="DX323" s="47"/>
      <c r="DY323" s="47"/>
      <c r="DZ323" s="47"/>
      <c r="EA323" s="47"/>
      <c r="EB323" s="47"/>
      <c r="EC323" s="47"/>
      <c r="ED323" s="47"/>
      <c r="EE323" s="47"/>
      <c r="EF323" s="47"/>
      <c r="EG323" s="47"/>
      <c r="EH323" s="47"/>
      <c r="EI323" s="47"/>
      <c r="EJ323" s="47"/>
      <c r="EK323" s="47"/>
      <c r="EL323" s="47"/>
      <c r="EM323" s="47"/>
      <c r="EN323" s="47"/>
      <c r="EO323" s="47"/>
      <c r="EP323" s="47"/>
      <c r="EQ323" s="47"/>
    </row>
    <row r="324" spans="58:147"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S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  <c r="DI324" s="47"/>
      <c r="DJ324" s="47"/>
      <c r="DK324" s="47"/>
      <c r="DL324" s="47"/>
      <c r="DM324" s="47"/>
      <c r="DN324" s="47"/>
      <c r="DO324" s="47"/>
      <c r="DP324" s="47"/>
      <c r="DQ324" s="47"/>
      <c r="DR324" s="47"/>
      <c r="DS324" s="47"/>
      <c r="DT324" s="47"/>
      <c r="DU324" s="47"/>
      <c r="DV324" s="47"/>
      <c r="DW324" s="47"/>
      <c r="DX324" s="47"/>
      <c r="DY324" s="47"/>
      <c r="DZ324" s="47"/>
      <c r="EA324" s="47"/>
      <c r="EB324" s="47"/>
      <c r="EC324" s="47"/>
      <c r="ED324" s="47"/>
      <c r="EE324" s="47"/>
      <c r="EF324" s="47"/>
      <c r="EG324" s="47"/>
      <c r="EH324" s="47"/>
      <c r="EI324" s="47"/>
      <c r="EJ324" s="47"/>
      <c r="EK324" s="47"/>
      <c r="EL324" s="47"/>
      <c r="EM324" s="47"/>
      <c r="EN324" s="47"/>
      <c r="EO324" s="47"/>
      <c r="EP324" s="47"/>
      <c r="EQ324" s="47"/>
    </row>
    <row r="325" spans="58:147"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  <c r="DI325" s="47"/>
      <c r="DJ325" s="47"/>
      <c r="DK325" s="47"/>
      <c r="DL325" s="47"/>
      <c r="DM325" s="47"/>
      <c r="DN325" s="47"/>
      <c r="DO325" s="47"/>
      <c r="DP325" s="47"/>
      <c r="DQ325" s="47"/>
      <c r="DR325" s="47"/>
      <c r="DS325" s="47"/>
      <c r="DT325" s="47"/>
      <c r="DU325" s="47"/>
      <c r="DV325" s="47"/>
      <c r="DW325" s="47"/>
      <c r="DX325" s="47"/>
      <c r="DY325" s="47"/>
      <c r="DZ325" s="47"/>
      <c r="EA325" s="47"/>
      <c r="EB325" s="47"/>
      <c r="EC325" s="47"/>
      <c r="ED325" s="47"/>
      <c r="EE325" s="47"/>
      <c r="EF325" s="47"/>
      <c r="EG325" s="47"/>
      <c r="EH325" s="47"/>
      <c r="EI325" s="47"/>
      <c r="EJ325" s="47"/>
      <c r="EK325" s="47"/>
      <c r="EL325" s="47"/>
      <c r="EM325" s="47"/>
      <c r="EN325" s="47"/>
      <c r="EO325" s="47"/>
      <c r="EP325" s="47"/>
      <c r="EQ325" s="47"/>
    </row>
    <row r="326" spans="58:147"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R326" s="47"/>
      <c r="CS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  <c r="DI326" s="47"/>
      <c r="DJ326" s="47"/>
      <c r="DK326" s="47"/>
      <c r="DL326" s="47"/>
      <c r="DM326" s="47"/>
      <c r="DN326" s="47"/>
      <c r="DO326" s="47"/>
      <c r="DP326" s="47"/>
      <c r="DQ326" s="47"/>
      <c r="DR326" s="47"/>
      <c r="DS326" s="47"/>
      <c r="DT326" s="47"/>
      <c r="DU326" s="47"/>
      <c r="DV326" s="47"/>
      <c r="DW326" s="47"/>
      <c r="DX326" s="47"/>
      <c r="DY326" s="47"/>
      <c r="DZ326" s="47"/>
      <c r="EA326" s="47"/>
      <c r="EB326" s="47"/>
      <c r="EC326" s="47"/>
      <c r="ED326" s="47"/>
      <c r="EE326" s="47"/>
      <c r="EF326" s="47"/>
      <c r="EG326" s="47"/>
      <c r="EH326" s="47"/>
      <c r="EI326" s="47"/>
      <c r="EJ326" s="47"/>
      <c r="EK326" s="47"/>
      <c r="EL326" s="47"/>
      <c r="EM326" s="47"/>
      <c r="EN326" s="47"/>
      <c r="EO326" s="47"/>
      <c r="EP326" s="47"/>
      <c r="EQ326" s="47"/>
    </row>
  </sheetData>
  <mergeCells count="51">
    <mergeCell ref="AT1:AV1"/>
    <mergeCell ref="J1:L1"/>
    <mergeCell ref="M1:O1"/>
    <mergeCell ref="P1:R1"/>
    <mergeCell ref="T1:V1"/>
    <mergeCell ref="W1:Y1"/>
    <mergeCell ref="Z1:AB1"/>
    <mergeCell ref="AZ2:BB2"/>
    <mergeCell ref="AW1:AY1"/>
    <mergeCell ref="AZ1:BB1"/>
    <mergeCell ref="BC1:BE1"/>
    <mergeCell ref="J2:L2"/>
    <mergeCell ref="M2:O2"/>
    <mergeCell ref="P2:R2"/>
    <mergeCell ref="T2:V2"/>
    <mergeCell ref="W2:Y2"/>
    <mergeCell ref="Z2:AB2"/>
    <mergeCell ref="AC2:AE2"/>
    <mergeCell ref="AC1:AE1"/>
    <mergeCell ref="AF1:AI1"/>
    <mergeCell ref="AJ1:AL1"/>
    <mergeCell ref="AM1:AO1"/>
    <mergeCell ref="AP1:AR1"/>
    <mergeCell ref="A4:B4"/>
    <mergeCell ref="BC2:BE2"/>
    <mergeCell ref="K3:L3"/>
    <mergeCell ref="N3:O3"/>
    <mergeCell ref="Q3:R3"/>
    <mergeCell ref="U3:V3"/>
    <mergeCell ref="X3:Y3"/>
    <mergeCell ref="AA3:AB3"/>
    <mergeCell ref="AD3:AE3"/>
    <mergeCell ref="AK3:AL3"/>
    <mergeCell ref="AN3:AO3"/>
    <mergeCell ref="AJ2:AL2"/>
    <mergeCell ref="AM2:AO2"/>
    <mergeCell ref="AP2:AR2"/>
    <mergeCell ref="AT2:AV2"/>
    <mergeCell ref="AW2:AY2"/>
    <mergeCell ref="AQ3:AR3"/>
    <mergeCell ref="AU3:AV3"/>
    <mergeCell ref="AX3:AY3"/>
    <mergeCell ref="BA3:BB3"/>
    <mergeCell ref="BD3:BE3"/>
    <mergeCell ref="A51:A52"/>
    <mergeCell ref="A5:A16"/>
    <mergeCell ref="A17:A21"/>
    <mergeCell ref="A22:A31"/>
    <mergeCell ref="A32:A44"/>
    <mergeCell ref="A45:A48"/>
    <mergeCell ref="A49:A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74D4-408C-4F7A-9EC0-2C750F7B9509}">
  <dimension ref="A1:AO56"/>
  <sheetViews>
    <sheetView zoomScaleNormal="100" workbookViewId="0">
      <pane xSplit="9" topLeftCell="J1" activePane="topRight" state="frozen"/>
      <selection activeCell="I1" sqref="I1"/>
      <selection pane="topRight" activeCell="B5" sqref="A5:XFD53"/>
    </sheetView>
  </sheetViews>
  <sheetFormatPr defaultRowHeight="16.5"/>
  <cols>
    <col min="1" max="1" width="9.625" customWidth="1"/>
    <col min="2" max="2" width="24.625" customWidth="1"/>
    <col min="3" max="3" width="4.125" customWidth="1"/>
    <col min="4" max="4" width="7.625" customWidth="1"/>
    <col min="5" max="5" width="4.125" customWidth="1"/>
    <col min="6" max="6" width="8.625" customWidth="1"/>
    <col min="7" max="7" width="19.125" customWidth="1"/>
    <col min="8" max="8" width="1.625" customWidth="1"/>
    <col min="9" max="9" width="25.625" customWidth="1"/>
    <col min="10" max="41" width="10.125" customWidth="1"/>
  </cols>
  <sheetData>
    <row r="1" spans="1:41" ht="17.25" thickBot="1">
      <c r="A1" s="2"/>
      <c r="B1" s="2"/>
      <c r="C1" s="2"/>
      <c r="D1" s="2"/>
      <c r="E1" s="7"/>
      <c r="F1" s="16"/>
      <c r="G1" s="14"/>
      <c r="H1" s="14"/>
      <c r="I1" s="67" t="s">
        <v>73</v>
      </c>
      <c r="J1" s="119" t="s">
        <v>94</v>
      </c>
      <c r="K1" s="120"/>
      <c r="L1" s="121"/>
      <c r="M1" s="119" t="s">
        <v>94</v>
      </c>
      <c r="N1" s="120"/>
      <c r="O1" s="121"/>
      <c r="P1" s="119" t="s">
        <v>94</v>
      </c>
      <c r="Q1" s="120"/>
      <c r="R1" s="121"/>
      <c r="S1" s="119" t="s">
        <v>94</v>
      </c>
      <c r="T1" s="120"/>
      <c r="U1" s="121"/>
      <c r="V1" s="119" t="s">
        <v>94</v>
      </c>
      <c r="W1" s="120"/>
      <c r="X1" s="121"/>
      <c r="Y1" s="119" t="s">
        <v>94</v>
      </c>
      <c r="Z1" s="120"/>
      <c r="AA1" s="121"/>
      <c r="AB1" s="119" t="s">
        <v>94</v>
      </c>
      <c r="AC1" s="120"/>
      <c r="AD1" s="121"/>
      <c r="AE1" s="119" t="s">
        <v>94</v>
      </c>
      <c r="AF1" s="120"/>
      <c r="AG1" s="121"/>
      <c r="AH1" s="120" t="s">
        <v>93</v>
      </c>
      <c r="AI1" s="121"/>
      <c r="AJ1" s="119" t="s">
        <v>94</v>
      </c>
      <c r="AK1" s="120"/>
      <c r="AL1" s="121"/>
      <c r="AM1" s="119" t="s">
        <v>94</v>
      </c>
      <c r="AN1" s="120"/>
      <c r="AO1" s="121"/>
    </row>
    <row r="2" spans="1:41" ht="17.25" thickBot="1">
      <c r="A2" s="2"/>
      <c r="B2" s="2"/>
      <c r="C2" s="2"/>
      <c r="D2" s="2"/>
      <c r="E2" s="7"/>
      <c r="F2" s="16"/>
      <c r="G2" s="14"/>
      <c r="H2" s="14"/>
      <c r="I2" s="74" t="s">
        <v>0</v>
      </c>
      <c r="J2" s="118" t="s">
        <v>95</v>
      </c>
      <c r="K2" s="118"/>
      <c r="L2" s="118"/>
      <c r="M2" s="118" t="s">
        <v>9</v>
      </c>
      <c r="N2" s="118"/>
      <c r="O2" s="118"/>
      <c r="P2" s="118" t="s">
        <v>96</v>
      </c>
      <c r="Q2" s="118"/>
      <c r="R2" s="118"/>
      <c r="S2" s="118" t="s">
        <v>8</v>
      </c>
      <c r="T2" s="118"/>
      <c r="U2" s="118"/>
      <c r="V2" s="118" t="s">
        <v>98</v>
      </c>
      <c r="W2" s="118"/>
      <c r="X2" s="118"/>
      <c r="Y2" s="118" t="s">
        <v>99</v>
      </c>
      <c r="Z2" s="118"/>
      <c r="AA2" s="118"/>
      <c r="AB2" s="118" t="s">
        <v>100</v>
      </c>
      <c r="AC2" s="118"/>
      <c r="AD2" s="118"/>
      <c r="AE2" s="118" t="s">
        <v>101</v>
      </c>
      <c r="AF2" s="118"/>
      <c r="AG2" s="118"/>
      <c r="AH2" s="118" t="s">
        <v>102</v>
      </c>
      <c r="AI2" s="118"/>
      <c r="AJ2" s="118" t="s">
        <v>103</v>
      </c>
      <c r="AK2" s="118"/>
      <c r="AL2" s="118"/>
      <c r="AM2" s="118" t="s">
        <v>104</v>
      </c>
      <c r="AN2" s="118"/>
      <c r="AO2" s="118"/>
    </row>
    <row r="3" spans="1:41" ht="17.25" thickBot="1">
      <c r="A3" s="2"/>
      <c r="B3" s="2"/>
      <c r="C3" s="2"/>
      <c r="D3" s="2"/>
      <c r="E3" s="7"/>
      <c r="F3" s="16"/>
      <c r="G3" s="14"/>
      <c r="H3" s="14"/>
      <c r="I3" s="25" t="s">
        <v>13</v>
      </c>
      <c r="J3" s="25" t="s">
        <v>1</v>
      </c>
      <c r="K3" s="115" t="s">
        <v>2</v>
      </c>
      <c r="L3" s="115"/>
      <c r="M3" s="25" t="s">
        <v>1</v>
      </c>
      <c r="N3" s="115" t="s">
        <v>2</v>
      </c>
      <c r="O3" s="115"/>
      <c r="P3" s="25" t="s">
        <v>1</v>
      </c>
      <c r="Q3" s="115" t="s">
        <v>2</v>
      </c>
      <c r="R3" s="115"/>
      <c r="S3" s="25" t="s">
        <v>1</v>
      </c>
      <c r="T3" s="115" t="s">
        <v>2</v>
      </c>
      <c r="U3" s="115"/>
      <c r="V3" s="25" t="s">
        <v>1</v>
      </c>
      <c r="W3" s="115" t="s">
        <v>2</v>
      </c>
      <c r="X3" s="115"/>
      <c r="Y3" s="25" t="s">
        <v>1</v>
      </c>
      <c r="Z3" s="115" t="s">
        <v>2</v>
      </c>
      <c r="AA3" s="115"/>
      <c r="AB3" s="25" t="s">
        <v>1</v>
      </c>
      <c r="AC3" s="115" t="s">
        <v>2</v>
      </c>
      <c r="AD3" s="115"/>
      <c r="AE3" s="25" t="s">
        <v>1</v>
      </c>
      <c r="AF3" s="115" t="s">
        <v>2</v>
      </c>
      <c r="AG3" s="115"/>
      <c r="AH3" s="115" t="s">
        <v>2</v>
      </c>
      <c r="AI3" s="115"/>
      <c r="AJ3" s="25" t="s">
        <v>1</v>
      </c>
      <c r="AK3" s="115" t="s">
        <v>2</v>
      </c>
      <c r="AL3" s="115"/>
      <c r="AM3" s="25" t="s">
        <v>1</v>
      </c>
      <c r="AN3" s="115" t="s">
        <v>2</v>
      </c>
      <c r="AO3" s="115"/>
    </row>
    <row r="4" spans="1:41" ht="17.25" thickBot="1">
      <c r="A4" s="116" t="s">
        <v>3</v>
      </c>
      <c r="B4" s="117"/>
      <c r="C4" s="8" t="s">
        <v>67</v>
      </c>
      <c r="D4" s="46" t="s">
        <v>77</v>
      </c>
      <c r="E4" s="45" t="s">
        <v>139</v>
      </c>
      <c r="F4" s="44" t="s">
        <v>78</v>
      </c>
      <c r="G4" s="28" t="s">
        <v>138</v>
      </c>
      <c r="H4" s="26"/>
      <c r="I4" s="75" t="s">
        <v>72</v>
      </c>
      <c r="J4" s="75" t="s">
        <v>74</v>
      </c>
      <c r="K4" s="75" t="s">
        <v>75</v>
      </c>
      <c r="L4" s="75" t="s">
        <v>76</v>
      </c>
      <c r="M4" s="75" t="s">
        <v>74</v>
      </c>
      <c r="N4" s="75" t="s">
        <v>75</v>
      </c>
      <c r="O4" s="75" t="s">
        <v>76</v>
      </c>
      <c r="P4" s="75" t="s">
        <v>74</v>
      </c>
      <c r="Q4" s="75" t="s">
        <v>75</v>
      </c>
      <c r="R4" s="75" t="s">
        <v>76</v>
      </c>
      <c r="S4" s="75" t="s">
        <v>74</v>
      </c>
      <c r="T4" s="75" t="s">
        <v>75</v>
      </c>
      <c r="U4" s="75" t="s">
        <v>76</v>
      </c>
      <c r="V4" s="75" t="s">
        <v>74</v>
      </c>
      <c r="W4" s="75" t="s">
        <v>75</v>
      </c>
      <c r="X4" s="75" t="s">
        <v>76</v>
      </c>
      <c r="Y4" s="75" t="s">
        <v>74</v>
      </c>
      <c r="Z4" s="75" t="s">
        <v>75</v>
      </c>
      <c r="AA4" s="75" t="s">
        <v>76</v>
      </c>
      <c r="AB4" s="75" t="s">
        <v>74</v>
      </c>
      <c r="AC4" s="75" t="s">
        <v>75</v>
      </c>
      <c r="AD4" s="75" t="s">
        <v>76</v>
      </c>
      <c r="AE4" s="75" t="s">
        <v>74</v>
      </c>
      <c r="AF4" s="75" t="s">
        <v>75</v>
      </c>
      <c r="AG4" s="75" t="s">
        <v>76</v>
      </c>
      <c r="AH4" s="75" t="s">
        <v>75</v>
      </c>
      <c r="AI4" s="75" t="s">
        <v>76</v>
      </c>
      <c r="AJ4" s="75" t="s">
        <v>74</v>
      </c>
      <c r="AK4" s="75" t="s">
        <v>75</v>
      </c>
      <c r="AL4" s="75" t="s">
        <v>76</v>
      </c>
      <c r="AM4" s="75" t="s">
        <v>74</v>
      </c>
      <c r="AN4" s="75" t="s">
        <v>75</v>
      </c>
      <c r="AO4" s="75" t="s">
        <v>76</v>
      </c>
    </row>
    <row r="5" spans="1:41">
      <c r="A5" s="112" t="s">
        <v>62</v>
      </c>
      <c r="B5" s="23" t="s">
        <v>30</v>
      </c>
      <c r="C5" s="36" t="s">
        <v>68</v>
      </c>
      <c r="D5" s="35">
        <v>1000</v>
      </c>
      <c r="E5" s="41">
        <v>1</v>
      </c>
      <c r="F5" s="30">
        <v>43000</v>
      </c>
      <c r="G5" s="29">
        <f>F5/(D5*E5)*1.1</f>
        <v>47.300000000000004</v>
      </c>
      <c r="H5" s="26"/>
      <c r="I5" s="24" t="s">
        <v>30</v>
      </c>
      <c r="J5" s="50">
        <v>1</v>
      </c>
      <c r="K5" s="10"/>
      <c r="L5" s="48"/>
      <c r="M5" s="50">
        <v>1</v>
      </c>
      <c r="N5" s="10"/>
      <c r="O5" s="48"/>
      <c r="P5" s="50">
        <v>1</v>
      </c>
      <c r="Q5" s="10"/>
      <c r="R5" s="48"/>
      <c r="S5" s="50">
        <v>1</v>
      </c>
      <c r="T5" s="10"/>
      <c r="U5" s="48"/>
      <c r="V5" s="50">
        <v>1</v>
      </c>
      <c r="W5" s="10"/>
      <c r="X5" s="48"/>
      <c r="Y5" s="50">
        <v>1</v>
      </c>
      <c r="Z5" s="10"/>
      <c r="AA5" s="48"/>
      <c r="AB5" s="50">
        <v>1</v>
      </c>
      <c r="AC5" s="10"/>
      <c r="AD5" s="48"/>
      <c r="AE5" s="50">
        <v>1</v>
      </c>
      <c r="AF5" s="10"/>
      <c r="AG5" s="48"/>
      <c r="AH5" s="10"/>
      <c r="AI5" s="48"/>
      <c r="AJ5" s="50">
        <v>1</v>
      </c>
      <c r="AK5" s="10"/>
      <c r="AL5" s="48"/>
      <c r="AM5" s="50">
        <v>1</v>
      </c>
      <c r="AN5" s="10"/>
      <c r="AO5" s="48"/>
    </row>
    <row r="6" spans="1:41">
      <c r="A6" s="114"/>
      <c r="B6" s="3" t="s">
        <v>31</v>
      </c>
      <c r="C6" s="37" t="s">
        <v>68</v>
      </c>
      <c r="D6" s="33">
        <v>1000</v>
      </c>
      <c r="E6" s="42">
        <v>1</v>
      </c>
      <c r="F6" s="31">
        <v>20000</v>
      </c>
      <c r="G6" s="56">
        <f>F6/(D6*E6)*1.1</f>
        <v>22</v>
      </c>
      <c r="H6" s="14"/>
      <c r="I6" s="18" t="s">
        <v>31</v>
      </c>
      <c r="J6" s="9">
        <v>1</v>
      </c>
      <c r="K6" s="2"/>
      <c r="L6" s="27"/>
      <c r="M6" s="9">
        <v>1</v>
      </c>
      <c r="N6" s="2"/>
      <c r="O6" s="27"/>
      <c r="P6" s="9">
        <v>1</v>
      </c>
      <c r="Q6" s="2"/>
      <c r="R6" s="27"/>
      <c r="S6" s="9">
        <v>1</v>
      </c>
      <c r="T6" s="2"/>
      <c r="U6" s="27"/>
      <c r="V6" s="9">
        <v>1</v>
      </c>
      <c r="W6" s="2"/>
      <c r="X6" s="27"/>
      <c r="Y6" s="9">
        <v>1</v>
      </c>
      <c r="Z6" s="2"/>
      <c r="AA6" s="27"/>
      <c r="AB6" s="9">
        <v>1</v>
      </c>
      <c r="AC6" s="2"/>
      <c r="AD6" s="27"/>
      <c r="AE6" s="9">
        <v>1</v>
      </c>
      <c r="AF6" s="2"/>
      <c r="AG6" s="27"/>
      <c r="AH6" s="2"/>
      <c r="AI6" s="27"/>
      <c r="AJ6" s="9">
        <v>1</v>
      </c>
      <c r="AK6" s="2"/>
      <c r="AL6" s="27"/>
      <c r="AM6" s="9">
        <v>1</v>
      </c>
      <c r="AN6" s="2"/>
      <c r="AO6" s="27"/>
    </row>
    <row r="7" spans="1:41">
      <c r="A7" s="114"/>
      <c r="B7" s="3" t="s">
        <v>32</v>
      </c>
      <c r="C7" s="37" t="s">
        <v>68</v>
      </c>
      <c r="D7" s="33">
        <v>1000</v>
      </c>
      <c r="E7" s="42">
        <v>1</v>
      </c>
      <c r="F7" s="31">
        <v>53000</v>
      </c>
      <c r="G7" s="26">
        <f t="shared" ref="G7:G52" si="0">F7/(D7*E7)*1.1</f>
        <v>58.300000000000004</v>
      </c>
      <c r="H7" s="22"/>
      <c r="I7" s="18" t="s">
        <v>32</v>
      </c>
      <c r="J7" s="9"/>
      <c r="K7" s="2">
        <v>1</v>
      </c>
      <c r="L7" s="27"/>
      <c r="M7" s="9"/>
      <c r="N7" s="2">
        <v>1</v>
      </c>
      <c r="O7" s="27"/>
      <c r="P7" s="9"/>
      <c r="Q7" s="2">
        <v>1</v>
      </c>
      <c r="R7" s="27"/>
      <c r="S7" s="9"/>
      <c r="T7" s="2">
        <v>1</v>
      </c>
      <c r="U7" s="27"/>
      <c r="V7" s="9"/>
      <c r="W7" s="2">
        <v>1</v>
      </c>
      <c r="X7" s="27"/>
      <c r="Y7" s="9"/>
      <c r="Z7" s="2">
        <v>1</v>
      </c>
      <c r="AA7" s="27"/>
      <c r="AB7" s="9"/>
      <c r="AC7" s="2">
        <v>1</v>
      </c>
      <c r="AD7" s="27"/>
      <c r="AE7" s="9"/>
      <c r="AF7" s="2">
        <v>1</v>
      </c>
      <c r="AG7" s="27"/>
      <c r="AH7" s="2">
        <v>1</v>
      </c>
      <c r="AI7" s="27"/>
      <c r="AJ7" s="9"/>
      <c r="AK7" s="2">
        <v>1</v>
      </c>
      <c r="AL7" s="27"/>
      <c r="AM7" s="9"/>
      <c r="AN7" s="2">
        <v>1</v>
      </c>
      <c r="AO7" s="27"/>
    </row>
    <row r="8" spans="1:41">
      <c r="A8" s="114"/>
      <c r="B8" s="3" t="s">
        <v>33</v>
      </c>
      <c r="C8" s="37" t="s">
        <v>68</v>
      </c>
      <c r="D8" s="33">
        <v>1000</v>
      </c>
      <c r="E8" s="42">
        <v>1</v>
      </c>
      <c r="F8" s="31">
        <v>65000</v>
      </c>
      <c r="G8" s="26">
        <f t="shared" si="0"/>
        <v>71.5</v>
      </c>
      <c r="H8" s="22"/>
      <c r="I8" s="18" t="s">
        <v>33</v>
      </c>
      <c r="J8" s="9"/>
      <c r="K8" s="2"/>
      <c r="L8" s="27">
        <v>1</v>
      </c>
      <c r="M8" s="9"/>
      <c r="N8" s="2"/>
      <c r="O8" s="27">
        <v>1</v>
      </c>
      <c r="P8" s="9"/>
      <c r="Q8" s="2"/>
      <c r="R8" s="27">
        <v>1</v>
      </c>
      <c r="S8" s="9"/>
      <c r="T8" s="2"/>
      <c r="U8" s="27">
        <v>1</v>
      </c>
      <c r="V8" s="9"/>
      <c r="W8" s="2"/>
      <c r="X8" s="27">
        <v>1</v>
      </c>
      <c r="Y8" s="9"/>
      <c r="Z8" s="2"/>
      <c r="AA8" s="27">
        <v>1</v>
      </c>
      <c r="AB8" s="9"/>
      <c r="AC8" s="2"/>
      <c r="AD8" s="27">
        <v>1</v>
      </c>
      <c r="AE8" s="9"/>
      <c r="AF8" s="2"/>
      <c r="AG8" s="27">
        <v>1</v>
      </c>
      <c r="AH8" s="2"/>
      <c r="AI8" s="27">
        <v>1</v>
      </c>
      <c r="AJ8" s="9"/>
      <c r="AK8" s="2"/>
      <c r="AL8" s="27">
        <v>1</v>
      </c>
      <c r="AM8" s="9"/>
      <c r="AN8" s="2"/>
      <c r="AO8" s="27">
        <v>1</v>
      </c>
    </row>
    <row r="9" spans="1:41">
      <c r="A9" s="114"/>
      <c r="B9" s="4" t="s">
        <v>34</v>
      </c>
      <c r="C9" s="38" t="s">
        <v>68</v>
      </c>
      <c r="D9" s="33">
        <v>1000</v>
      </c>
      <c r="E9" s="42">
        <v>1</v>
      </c>
      <c r="F9" s="31">
        <v>18500</v>
      </c>
      <c r="G9" s="56">
        <f t="shared" si="0"/>
        <v>20.350000000000001</v>
      </c>
      <c r="H9" s="22"/>
      <c r="I9" s="19" t="s">
        <v>34</v>
      </c>
      <c r="J9" s="9"/>
      <c r="K9" s="2">
        <v>1</v>
      </c>
      <c r="L9" s="27"/>
      <c r="M9" s="9"/>
      <c r="N9" s="2">
        <v>1</v>
      </c>
      <c r="O9" s="27"/>
      <c r="P9" s="9"/>
      <c r="Q9" s="2">
        <v>1</v>
      </c>
      <c r="R9" s="27"/>
      <c r="S9" s="9"/>
      <c r="T9" s="2">
        <v>1</v>
      </c>
      <c r="U9" s="27"/>
      <c r="V9" s="9"/>
      <c r="W9" s="2">
        <v>1</v>
      </c>
      <c r="X9" s="27"/>
      <c r="Y9" s="9"/>
      <c r="Z9" s="2">
        <v>1</v>
      </c>
      <c r="AA9" s="27"/>
      <c r="AB9" s="9"/>
      <c r="AC9" s="2">
        <v>1</v>
      </c>
      <c r="AD9" s="27"/>
      <c r="AE9" s="9"/>
      <c r="AF9" s="2">
        <v>1</v>
      </c>
      <c r="AG9" s="27"/>
      <c r="AH9" s="2">
        <v>1</v>
      </c>
      <c r="AI9" s="27"/>
      <c r="AJ9" s="9"/>
      <c r="AK9" s="2">
        <v>1</v>
      </c>
      <c r="AL9" s="27"/>
      <c r="AM9" s="9"/>
      <c r="AN9" s="2">
        <v>1</v>
      </c>
      <c r="AO9" s="27"/>
    </row>
    <row r="10" spans="1:41">
      <c r="A10" s="114"/>
      <c r="B10" s="3" t="s">
        <v>35</v>
      </c>
      <c r="C10" s="37" t="s">
        <v>68</v>
      </c>
      <c r="D10" s="33">
        <v>1000</v>
      </c>
      <c r="E10" s="42">
        <v>1</v>
      </c>
      <c r="F10" s="31">
        <v>20000</v>
      </c>
      <c r="G10" s="26">
        <f t="shared" si="0"/>
        <v>22</v>
      </c>
      <c r="H10" s="22"/>
      <c r="I10" s="18" t="s">
        <v>35</v>
      </c>
      <c r="J10" s="9"/>
      <c r="K10" s="2"/>
      <c r="L10" s="27">
        <v>1</v>
      </c>
      <c r="M10" s="9"/>
      <c r="N10" s="2"/>
      <c r="O10" s="27">
        <v>1</v>
      </c>
      <c r="P10" s="9"/>
      <c r="Q10" s="2"/>
      <c r="R10" s="27">
        <v>1</v>
      </c>
      <c r="S10" s="9"/>
      <c r="T10" s="2"/>
      <c r="U10" s="27">
        <v>1</v>
      </c>
      <c r="V10" s="9"/>
      <c r="W10" s="2"/>
      <c r="X10" s="27">
        <v>1</v>
      </c>
      <c r="Y10" s="9"/>
      <c r="Z10" s="2"/>
      <c r="AA10" s="27">
        <v>1</v>
      </c>
      <c r="AB10" s="9"/>
      <c r="AC10" s="2"/>
      <c r="AD10" s="27">
        <v>1</v>
      </c>
      <c r="AE10" s="9"/>
      <c r="AF10" s="2"/>
      <c r="AG10" s="27">
        <v>1</v>
      </c>
      <c r="AH10" s="2"/>
      <c r="AI10" s="27">
        <v>1</v>
      </c>
      <c r="AJ10" s="9"/>
      <c r="AK10" s="2"/>
      <c r="AL10" s="27">
        <v>1</v>
      </c>
      <c r="AM10" s="9"/>
      <c r="AN10" s="2"/>
      <c r="AO10" s="27">
        <v>1</v>
      </c>
    </row>
    <row r="11" spans="1:41">
      <c r="A11" s="114"/>
      <c r="B11" s="3" t="s">
        <v>14</v>
      </c>
      <c r="C11" s="37" t="s">
        <v>68</v>
      </c>
      <c r="D11" s="33">
        <v>1000</v>
      </c>
      <c r="E11" s="42">
        <v>1</v>
      </c>
      <c r="F11" s="31">
        <v>18000</v>
      </c>
      <c r="G11" s="56">
        <f t="shared" si="0"/>
        <v>19.8</v>
      </c>
      <c r="H11" s="22"/>
      <c r="I11" s="18" t="s">
        <v>14</v>
      </c>
      <c r="J11" s="9">
        <v>1</v>
      </c>
      <c r="K11" s="2">
        <v>1</v>
      </c>
      <c r="L11" s="27">
        <v>1</v>
      </c>
      <c r="M11" s="9">
        <v>1</v>
      </c>
      <c r="N11" s="2">
        <v>1</v>
      </c>
      <c r="O11" s="27">
        <v>1</v>
      </c>
      <c r="P11" s="9">
        <v>1</v>
      </c>
      <c r="Q11" s="2">
        <v>1</v>
      </c>
      <c r="R11" s="27">
        <v>1</v>
      </c>
      <c r="S11" s="9">
        <v>1</v>
      </c>
      <c r="T11" s="2">
        <v>1</v>
      </c>
      <c r="U11" s="27">
        <v>1</v>
      </c>
      <c r="V11" s="9">
        <v>1</v>
      </c>
      <c r="W11" s="2">
        <v>1</v>
      </c>
      <c r="X11" s="27">
        <v>1</v>
      </c>
      <c r="Y11" s="9">
        <v>1</v>
      </c>
      <c r="Z11" s="2">
        <v>1</v>
      </c>
      <c r="AA11" s="27">
        <v>1</v>
      </c>
      <c r="AB11" s="9">
        <v>1</v>
      </c>
      <c r="AC11" s="2">
        <v>1</v>
      </c>
      <c r="AD11" s="27">
        <v>1</v>
      </c>
      <c r="AE11" s="9">
        <v>1</v>
      </c>
      <c r="AF11" s="2">
        <v>1</v>
      </c>
      <c r="AG11" s="27">
        <v>1</v>
      </c>
      <c r="AH11" s="2">
        <v>1</v>
      </c>
      <c r="AI11" s="27">
        <v>1</v>
      </c>
      <c r="AJ11" s="9">
        <v>1</v>
      </c>
      <c r="AK11" s="2">
        <v>1</v>
      </c>
      <c r="AL11" s="27">
        <v>1</v>
      </c>
      <c r="AM11" s="9">
        <v>1</v>
      </c>
      <c r="AN11" s="2">
        <v>1</v>
      </c>
      <c r="AO11" s="27">
        <v>1</v>
      </c>
    </row>
    <row r="12" spans="1:41">
      <c r="A12" s="114"/>
      <c r="B12" s="3" t="s">
        <v>36</v>
      </c>
      <c r="C12" s="37" t="s">
        <v>68</v>
      </c>
      <c r="D12" s="33">
        <v>10000</v>
      </c>
      <c r="E12" s="42">
        <v>1</v>
      </c>
      <c r="F12" s="31">
        <v>69000</v>
      </c>
      <c r="G12" s="26">
        <f t="shared" si="0"/>
        <v>7.5900000000000007</v>
      </c>
      <c r="H12" s="22"/>
      <c r="I12" s="18" t="s">
        <v>36</v>
      </c>
      <c r="J12" s="9"/>
      <c r="K12" s="2">
        <v>1</v>
      </c>
      <c r="L12" s="27"/>
      <c r="M12" s="9"/>
      <c r="N12" s="2">
        <v>1</v>
      </c>
      <c r="O12" s="27"/>
      <c r="P12" s="9"/>
      <c r="Q12" s="2">
        <v>1</v>
      </c>
      <c r="R12" s="27"/>
      <c r="S12" s="9"/>
      <c r="T12" s="2">
        <v>1</v>
      </c>
      <c r="U12" s="27"/>
      <c r="V12" s="9"/>
      <c r="W12" s="2">
        <v>1</v>
      </c>
      <c r="X12" s="27"/>
      <c r="Y12" s="9"/>
      <c r="Z12" s="2">
        <v>1</v>
      </c>
      <c r="AA12" s="27"/>
      <c r="AB12" s="9"/>
      <c r="AC12" s="2">
        <v>1</v>
      </c>
      <c r="AD12" s="27"/>
      <c r="AE12" s="9"/>
      <c r="AF12" s="2">
        <v>1</v>
      </c>
      <c r="AG12" s="27"/>
      <c r="AH12" s="2">
        <v>1</v>
      </c>
      <c r="AI12" s="27"/>
      <c r="AJ12" s="9"/>
      <c r="AK12" s="2">
        <v>1</v>
      </c>
      <c r="AL12" s="27"/>
      <c r="AM12" s="9"/>
      <c r="AN12" s="2">
        <v>1</v>
      </c>
      <c r="AO12" s="27"/>
    </row>
    <row r="13" spans="1:41">
      <c r="A13" s="114"/>
      <c r="B13" s="3" t="s">
        <v>37</v>
      </c>
      <c r="C13" s="37" t="s">
        <v>68</v>
      </c>
      <c r="D13" s="33">
        <v>3200</v>
      </c>
      <c r="E13" s="42">
        <v>1</v>
      </c>
      <c r="F13" s="31">
        <v>71000</v>
      </c>
      <c r="G13" s="56">
        <f t="shared" si="0"/>
        <v>24.406250000000004</v>
      </c>
      <c r="H13" s="22"/>
      <c r="I13" s="18" t="s">
        <v>37</v>
      </c>
      <c r="J13" s="9"/>
      <c r="K13" s="2"/>
      <c r="L13" s="27"/>
      <c r="M13" s="9"/>
      <c r="N13" s="2"/>
      <c r="O13" s="27"/>
      <c r="P13" s="9"/>
      <c r="Q13" s="2"/>
      <c r="R13" s="27"/>
      <c r="S13" s="9"/>
      <c r="T13" s="2"/>
      <c r="U13" s="27"/>
      <c r="V13" s="9"/>
      <c r="W13" s="2"/>
      <c r="X13" s="27"/>
      <c r="Y13" s="9"/>
      <c r="Z13" s="2"/>
      <c r="AA13" s="27"/>
      <c r="AB13" s="9"/>
      <c r="AC13" s="2"/>
      <c r="AD13" s="27"/>
      <c r="AE13" s="9"/>
      <c r="AF13" s="2"/>
      <c r="AG13" s="27"/>
      <c r="AH13" s="2"/>
      <c r="AI13" s="27"/>
      <c r="AJ13" s="9"/>
      <c r="AK13" s="2"/>
      <c r="AL13" s="27"/>
      <c r="AM13" s="9"/>
      <c r="AN13" s="2"/>
      <c r="AO13" s="27"/>
    </row>
    <row r="14" spans="1:41">
      <c r="A14" s="114"/>
      <c r="B14" s="3" t="s">
        <v>38</v>
      </c>
      <c r="C14" s="37" t="s">
        <v>68</v>
      </c>
      <c r="D14" s="33">
        <v>10000</v>
      </c>
      <c r="E14" s="42">
        <v>1</v>
      </c>
      <c r="F14" s="31">
        <v>72000</v>
      </c>
      <c r="G14" s="26">
        <f t="shared" si="0"/>
        <v>7.9200000000000008</v>
      </c>
      <c r="H14" s="22"/>
      <c r="I14" s="18" t="s">
        <v>38</v>
      </c>
      <c r="J14" s="9"/>
      <c r="K14" s="2"/>
      <c r="L14" s="27">
        <v>1</v>
      </c>
      <c r="M14" s="9"/>
      <c r="N14" s="2"/>
      <c r="O14" s="27">
        <v>1</v>
      </c>
      <c r="P14" s="9"/>
      <c r="Q14" s="2"/>
      <c r="R14" s="27">
        <v>1</v>
      </c>
      <c r="S14" s="9"/>
      <c r="T14" s="2"/>
      <c r="U14" s="27">
        <v>1</v>
      </c>
      <c r="V14" s="9"/>
      <c r="W14" s="2"/>
      <c r="X14" s="27">
        <v>1</v>
      </c>
      <c r="Y14" s="9"/>
      <c r="Z14" s="2"/>
      <c r="AA14" s="27">
        <v>1</v>
      </c>
      <c r="AB14" s="9"/>
      <c r="AC14" s="2"/>
      <c r="AD14" s="27">
        <v>1</v>
      </c>
      <c r="AE14" s="9"/>
      <c r="AF14" s="2"/>
      <c r="AG14" s="27">
        <v>1</v>
      </c>
      <c r="AH14" s="2"/>
      <c r="AI14" s="27">
        <v>1</v>
      </c>
      <c r="AJ14" s="9"/>
      <c r="AK14" s="2"/>
      <c r="AL14" s="27">
        <v>1</v>
      </c>
      <c r="AM14" s="9"/>
      <c r="AN14" s="2"/>
      <c r="AO14" s="27">
        <v>1</v>
      </c>
    </row>
    <row r="15" spans="1:41">
      <c r="A15" s="114"/>
      <c r="B15" s="3" t="s">
        <v>39</v>
      </c>
      <c r="C15" s="37" t="s">
        <v>68</v>
      </c>
      <c r="D15" s="33">
        <v>3200</v>
      </c>
      <c r="E15" s="42">
        <v>1</v>
      </c>
      <c r="F15" s="31">
        <v>73000</v>
      </c>
      <c r="G15" s="56">
        <f t="shared" si="0"/>
        <v>25.093750000000004</v>
      </c>
      <c r="H15" s="22"/>
      <c r="I15" s="18" t="s">
        <v>39</v>
      </c>
      <c r="J15" s="9"/>
      <c r="K15" s="2"/>
      <c r="L15" s="27"/>
      <c r="M15" s="9"/>
      <c r="N15" s="2"/>
      <c r="O15" s="27"/>
      <c r="P15" s="9"/>
      <c r="Q15" s="2"/>
      <c r="R15" s="27"/>
      <c r="S15" s="9"/>
      <c r="T15" s="2"/>
      <c r="U15" s="27"/>
      <c r="V15" s="9"/>
      <c r="W15" s="2"/>
      <c r="X15" s="27"/>
      <c r="Y15" s="9"/>
      <c r="Z15" s="2"/>
      <c r="AA15" s="27"/>
      <c r="AB15" s="9"/>
      <c r="AC15" s="2"/>
      <c r="AD15" s="27"/>
      <c r="AE15" s="9"/>
      <c r="AF15" s="2"/>
      <c r="AG15" s="27"/>
      <c r="AH15" s="2"/>
      <c r="AI15" s="27"/>
      <c r="AJ15" s="9"/>
      <c r="AK15" s="2"/>
      <c r="AL15" s="27"/>
      <c r="AM15" s="9"/>
      <c r="AN15" s="2"/>
      <c r="AO15" s="27"/>
    </row>
    <row r="16" spans="1:41" ht="17.25" thickBot="1">
      <c r="A16" s="113"/>
      <c r="B16" s="5" t="s">
        <v>40</v>
      </c>
      <c r="C16" s="39" t="s">
        <v>68</v>
      </c>
      <c r="D16" s="34">
        <v>10000</v>
      </c>
      <c r="E16" s="43">
        <v>1</v>
      </c>
      <c r="F16" s="32">
        <v>68000</v>
      </c>
      <c r="G16" s="26">
        <f t="shared" si="0"/>
        <v>7.48</v>
      </c>
      <c r="H16" s="22"/>
      <c r="I16" s="21" t="s">
        <v>40</v>
      </c>
      <c r="J16" s="51">
        <v>1</v>
      </c>
      <c r="K16" s="11"/>
      <c r="L16" s="49"/>
      <c r="M16" s="51">
        <v>1</v>
      </c>
      <c r="N16" s="11"/>
      <c r="O16" s="49"/>
      <c r="P16" s="51">
        <v>1</v>
      </c>
      <c r="Q16" s="11"/>
      <c r="R16" s="49"/>
      <c r="S16" s="51">
        <v>1</v>
      </c>
      <c r="T16" s="11"/>
      <c r="U16" s="49"/>
      <c r="V16" s="51">
        <v>1</v>
      </c>
      <c r="W16" s="11"/>
      <c r="X16" s="49"/>
      <c r="Y16" s="51">
        <v>1</v>
      </c>
      <c r="Z16" s="11"/>
      <c r="AA16" s="49"/>
      <c r="AB16" s="51">
        <v>1</v>
      </c>
      <c r="AC16" s="11"/>
      <c r="AD16" s="49"/>
      <c r="AE16" s="51">
        <v>1</v>
      </c>
      <c r="AF16" s="11"/>
      <c r="AG16" s="49"/>
      <c r="AH16" s="11"/>
      <c r="AI16" s="49"/>
      <c r="AJ16" s="51">
        <v>1</v>
      </c>
      <c r="AK16" s="11"/>
      <c r="AL16" s="49"/>
      <c r="AM16" s="51">
        <v>1</v>
      </c>
      <c r="AN16" s="11"/>
      <c r="AO16" s="49"/>
    </row>
    <row r="17" spans="1:41">
      <c r="A17" s="112" t="s">
        <v>63</v>
      </c>
      <c r="B17" s="6" t="s">
        <v>15</v>
      </c>
      <c r="C17" s="40" t="s">
        <v>70</v>
      </c>
      <c r="D17" s="35">
        <v>1500</v>
      </c>
      <c r="E17" s="41">
        <v>6</v>
      </c>
      <c r="F17" s="30">
        <v>19200</v>
      </c>
      <c r="G17" s="29">
        <f t="shared" si="0"/>
        <v>2.3466666666666667</v>
      </c>
      <c r="H17" s="17"/>
      <c r="I17" s="20" t="s">
        <v>15</v>
      </c>
      <c r="J17" s="50"/>
      <c r="K17" s="10"/>
      <c r="L17" s="48"/>
      <c r="M17" s="50"/>
      <c r="N17" s="10"/>
      <c r="O17" s="48"/>
      <c r="P17" s="50"/>
      <c r="Q17" s="10"/>
      <c r="R17" s="48"/>
      <c r="S17" s="50"/>
      <c r="T17" s="10"/>
      <c r="U17" s="48"/>
      <c r="V17" s="50"/>
      <c r="W17" s="10"/>
      <c r="X17" s="48"/>
      <c r="Y17" s="50">
        <v>40</v>
      </c>
      <c r="Z17" s="10">
        <v>40</v>
      </c>
      <c r="AA17" s="48">
        <v>40</v>
      </c>
      <c r="AB17" s="50"/>
      <c r="AC17" s="10"/>
      <c r="AD17" s="48"/>
      <c r="AE17" s="50"/>
      <c r="AF17" s="10"/>
      <c r="AG17" s="48"/>
      <c r="AH17" s="10"/>
      <c r="AI17" s="48"/>
      <c r="AJ17" s="50"/>
      <c r="AK17" s="10"/>
      <c r="AL17" s="48"/>
      <c r="AM17" s="50"/>
      <c r="AN17" s="10"/>
      <c r="AO17" s="48"/>
    </row>
    <row r="18" spans="1:41" hidden="1">
      <c r="A18" s="114"/>
      <c r="B18" s="3" t="s">
        <v>16</v>
      </c>
      <c r="C18" s="37" t="s">
        <v>70</v>
      </c>
      <c r="D18" s="33">
        <v>750</v>
      </c>
      <c r="E18" s="42">
        <v>8</v>
      </c>
      <c r="F18" s="85">
        <v>58880</v>
      </c>
      <c r="G18" s="29">
        <f t="shared" si="0"/>
        <v>10.794666666666666</v>
      </c>
      <c r="H18" s="22"/>
      <c r="I18" s="18" t="s">
        <v>16</v>
      </c>
      <c r="J18" s="9"/>
      <c r="K18" s="2"/>
      <c r="L18" s="27"/>
      <c r="M18" s="9"/>
      <c r="N18" s="2"/>
      <c r="O18" s="27"/>
      <c r="P18" s="9"/>
      <c r="Q18" s="2"/>
      <c r="R18" s="27"/>
      <c r="S18" s="9"/>
      <c r="T18" s="2"/>
      <c r="U18" s="27"/>
      <c r="V18" s="9"/>
      <c r="W18" s="2"/>
      <c r="X18" s="27"/>
      <c r="Y18" s="9"/>
      <c r="Z18" s="2"/>
      <c r="AA18" s="27"/>
      <c r="AB18" s="9"/>
      <c r="AC18" s="2"/>
      <c r="AD18" s="27"/>
      <c r="AE18" s="9"/>
      <c r="AF18" s="2"/>
      <c r="AG18" s="27"/>
      <c r="AH18" s="2"/>
      <c r="AI18" s="27"/>
      <c r="AJ18" s="9"/>
      <c r="AK18" s="2"/>
      <c r="AL18" s="27"/>
      <c r="AM18" s="9"/>
      <c r="AN18" s="2"/>
      <c r="AO18" s="27"/>
    </row>
    <row r="19" spans="1:41" hidden="1">
      <c r="A19" s="114"/>
      <c r="B19" s="3" t="s">
        <v>52</v>
      </c>
      <c r="C19" s="37" t="s">
        <v>70</v>
      </c>
      <c r="D19" s="33">
        <v>750</v>
      </c>
      <c r="E19" s="42">
        <v>8</v>
      </c>
      <c r="F19" s="31">
        <v>58880</v>
      </c>
      <c r="G19" s="56">
        <f t="shared" si="0"/>
        <v>10.794666666666666</v>
      </c>
      <c r="H19" s="22"/>
      <c r="I19" s="18" t="s">
        <v>52</v>
      </c>
      <c r="J19" s="9"/>
      <c r="K19" s="2"/>
      <c r="L19" s="27"/>
      <c r="M19" s="9"/>
      <c r="N19" s="2"/>
      <c r="O19" s="27"/>
      <c r="P19" s="9"/>
      <c r="Q19" s="2"/>
      <c r="R19" s="27"/>
      <c r="S19" s="9"/>
      <c r="T19" s="2"/>
      <c r="U19" s="27"/>
      <c r="V19" s="9"/>
      <c r="W19" s="2"/>
      <c r="X19" s="27"/>
      <c r="Y19" s="9"/>
      <c r="Z19" s="2"/>
      <c r="AA19" s="27"/>
      <c r="AB19" s="9"/>
      <c r="AC19" s="2"/>
      <c r="AD19" s="27"/>
      <c r="AE19" s="9"/>
      <c r="AF19" s="2"/>
      <c r="AG19" s="27"/>
      <c r="AH19" s="2"/>
      <c r="AI19" s="27"/>
      <c r="AJ19" s="9"/>
      <c r="AK19" s="2"/>
      <c r="AL19" s="27"/>
      <c r="AM19" s="9"/>
      <c r="AN19" s="2"/>
      <c r="AO19" s="27"/>
    </row>
    <row r="20" spans="1:41">
      <c r="A20" s="114"/>
      <c r="B20" s="3" t="s">
        <v>21</v>
      </c>
      <c r="C20" s="37" t="s">
        <v>70</v>
      </c>
      <c r="D20" s="33">
        <v>1890</v>
      </c>
      <c r="E20" s="42">
        <v>4</v>
      </c>
      <c r="F20" s="31">
        <v>56400</v>
      </c>
      <c r="G20" s="26">
        <f t="shared" si="0"/>
        <v>8.2063492063492074</v>
      </c>
      <c r="H20" s="22"/>
      <c r="I20" s="18" t="s">
        <v>21</v>
      </c>
      <c r="J20" s="9"/>
      <c r="K20" s="2"/>
      <c r="L20" s="27"/>
      <c r="M20" s="9"/>
      <c r="N20" s="2"/>
      <c r="O20" s="27"/>
      <c r="P20" s="9"/>
      <c r="Q20" s="2"/>
      <c r="R20" s="27"/>
      <c r="S20" s="9"/>
      <c r="T20" s="2"/>
      <c r="U20" s="27"/>
      <c r="V20" s="9"/>
      <c r="W20" s="2"/>
      <c r="X20" s="27"/>
      <c r="Y20" s="9"/>
      <c r="Z20" s="2"/>
      <c r="AA20" s="27"/>
      <c r="AB20" s="9">
        <v>40</v>
      </c>
      <c r="AC20" s="2">
        <v>40</v>
      </c>
      <c r="AD20" s="27">
        <v>40</v>
      </c>
      <c r="AE20" s="9"/>
      <c r="AF20" s="2"/>
      <c r="AG20" s="27"/>
      <c r="AH20" s="2"/>
      <c r="AI20" s="27"/>
      <c r="AJ20" s="9"/>
      <c r="AK20" s="2"/>
      <c r="AL20" s="27"/>
      <c r="AM20" s="9"/>
      <c r="AN20" s="2"/>
      <c r="AO20" s="27"/>
    </row>
    <row r="21" spans="1:41" ht="17.25" thickBot="1">
      <c r="A21" s="113"/>
      <c r="B21" s="5" t="s">
        <v>22</v>
      </c>
      <c r="C21" s="39" t="s">
        <v>70</v>
      </c>
      <c r="D21" s="34">
        <v>1890</v>
      </c>
      <c r="E21" s="43">
        <v>4</v>
      </c>
      <c r="F21" s="32">
        <v>60400</v>
      </c>
      <c r="G21" s="56">
        <f t="shared" si="0"/>
        <v>8.7883597883597897</v>
      </c>
      <c r="H21" s="17"/>
      <c r="I21" s="21" t="s">
        <v>22</v>
      </c>
      <c r="J21" s="51"/>
      <c r="K21" s="11"/>
      <c r="L21" s="49"/>
      <c r="M21" s="51"/>
      <c r="N21" s="11"/>
      <c r="O21" s="49"/>
      <c r="P21" s="51"/>
      <c r="Q21" s="11"/>
      <c r="R21" s="49"/>
      <c r="S21" s="51"/>
      <c r="T21" s="11"/>
      <c r="U21" s="49"/>
      <c r="V21" s="51"/>
      <c r="W21" s="11"/>
      <c r="X21" s="49"/>
      <c r="Y21" s="51"/>
      <c r="Z21" s="11"/>
      <c r="AA21" s="49"/>
      <c r="AB21" s="51"/>
      <c r="AC21" s="11"/>
      <c r="AD21" s="49"/>
      <c r="AE21" s="51"/>
      <c r="AF21" s="11"/>
      <c r="AG21" s="49"/>
      <c r="AH21" s="11"/>
      <c r="AI21" s="49"/>
      <c r="AJ21" s="51"/>
      <c r="AK21" s="11"/>
      <c r="AL21" s="49"/>
      <c r="AM21" s="51"/>
      <c r="AN21" s="11"/>
      <c r="AO21" s="49"/>
    </row>
    <row r="22" spans="1:41" ht="17.25" hidden="1" thickBot="1">
      <c r="A22" s="112" t="s">
        <v>64</v>
      </c>
      <c r="B22" s="6" t="s">
        <v>53</v>
      </c>
      <c r="C22" s="40" t="s">
        <v>69</v>
      </c>
      <c r="D22" s="35">
        <v>907</v>
      </c>
      <c r="E22" s="41">
        <v>12</v>
      </c>
      <c r="F22" s="30">
        <v>92400</v>
      </c>
      <c r="G22" s="26">
        <f t="shared" si="0"/>
        <v>9.33847850055127</v>
      </c>
      <c r="H22" s="22"/>
      <c r="I22" s="20" t="s">
        <v>53</v>
      </c>
      <c r="J22" s="50"/>
      <c r="K22" s="10"/>
      <c r="L22" s="48"/>
      <c r="M22" s="50"/>
      <c r="N22" s="10"/>
      <c r="O22" s="48"/>
      <c r="P22" s="50"/>
      <c r="Q22" s="10"/>
      <c r="R22" s="48"/>
      <c r="S22" s="50"/>
      <c r="T22" s="10"/>
      <c r="U22" s="48"/>
      <c r="V22" s="50"/>
      <c r="W22" s="10"/>
      <c r="X22" s="48"/>
      <c r="Y22" s="50"/>
      <c r="Z22" s="10"/>
      <c r="AA22" s="48"/>
      <c r="AB22" s="50"/>
      <c r="AC22" s="10"/>
      <c r="AD22" s="48"/>
      <c r="AE22" s="50"/>
      <c r="AF22" s="10"/>
      <c r="AG22" s="48"/>
      <c r="AH22" s="10"/>
      <c r="AI22" s="48"/>
      <c r="AJ22" s="50"/>
      <c r="AK22" s="10"/>
      <c r="AL22" s="48"/>
      <c r="AM22" s="50"/>
      <c r="AN22" s="10"/>
      <c r="AO22" s="48"/>
    </row>
    <row r="23" spans="1:41">
      <c r="A23" s="114"/>
      <c r="B23" s="3" t="s">
        <v>56</v>
      </c>
      <c r="C23" s="37" t="s">
        <v>69</v>
      </c>
      <c r="D23" s="33">
        <v>800</v>
      </c>
      <c r="E23" s="42">
        <v>12</v>
      </c>
      <c r="F23" s="31">
        <v>92400</v>
      </c>
      <c r="G23" s="29">
        <f t="shared" si="0"/>
        <v>10.5875</v>
      </c>
      <c r="H23" s="22"/>
      <c r="I23" s="18" t="s">
        <v>56</v>
      </c>
      <c r="J23" s="9"/>
      <c r="K23" s="2"/>
      <c r="L23" s="27"/>
      <c r="M23" s="9"/>
      <c r="N23" s="2"/>
      <c r="O23" s="27"/>
      <c r="P23" s="9"/>
      <c r="Q23" s="2"/>
      <c r="R23" s="27"/>
      <c r="S23" s="9"/>
      <c r="T23" s="2"/>
      <c r="U23" s="27"/>
      <c r="V23" s="9"/>
      <c r="W23" s="2"/>
      <c r="X23" s="27"/>
      <c r="Y23" s="9"/>
      <c r="Z23" s="2"/>
      <c r="AA23" s="27"/>
      <c r="AB23" s="9">
        <v>40</v>
      </c>
      <c r="AC23" s="2">
        <v>40</v>
      </c>
      <c r="AD23" s="27">
        <v>40</v>
      </c>
      <c r="AE23" s="9"/>
      <c r="AF23" s="2"/>
      <c r="AG23" s="27"/>
      <c r="AH23" s="2"/>
      <c r="AI23" s="27"/>
      <c r="AJ23" s="9"/>
      <c r="AK23" s="2"/>
      <c r="AL23" s="27"/>
      <c r="AM23" s="9"/>
      <c r="AN23" s="2"/>
      <c r="AO23" s="27"/>
    </row>
    <row r="24" spans="1:41">
      <c r="A24" s="114"/>
      <c r="B24" s="3" t="s">
        <v>57</v>
      </c>
      <c r="C24" s="37" t="s">
        <v>69</v>
      </c>
      <c r="D24" s="33">
        <v>800</v>
      </c>
      <c r="E24" s="42">
        <v>12</v>
      </c>
      <c r="F24" s="31">
        <v>74400</v>
      </c>
      <c r="G24" s="26">
        <f t="shared" si="0"/>
        <v>8.5250000000000004</v>
      </c>
      <c r="H24" s="22"/>
      <c r="I24" s="18" t="s">
        <v>57</v>
      </c>
      <c r="J24" s="9"/>
      <c r="K24" s="2"/>
      <c r="L24" s="27"/>
      <c r="M24" s="9">
        <v>55</v>
      </c>
      <c r="N24" s="2">
        <v>55</v>
      </c>
      <c r="O24" s="27">
        <v>55</v>
      </c>
      <c r="P24" s="9">
        <v>80</v>
      </c>
      <c r="Q24" s="2">
        <v>80</v>
      </c>
      <c r="R24" s="27">
        <v>80</v>
      </c>
      <c r="S24" s="9"/>
      <c r="T24" s="2"/>
      <c r="U24" s="27"/>
      <c r="V24" s="9"/>
      <c r="W24" s="2"/>
      <c r="X24" s="27"/>
      <c r="Y24" s="9"/>
      <c r="Z24" s="2"/>
      <c r="AA24" s="27"/>
      <c r="AB24" s="9"/>
      <c r="AC24" s="2"/>
      <c r="AD24" s="27"/>
      <c r="AE24" s="9"/>
      <c r="AF24" s="2"/>
      <c r="AG24" s="27"/>
      <c r="AH24" s="2"/>
      <c r="AI24" s="27"/>
      <c r="AJ24" s="9"/>
      <c r="AK24" s="2"/>
      <c r="AL24" s="27"/>
      <c r="AM24" s="9"/>
      <c r="AN24" s="2"/>
      <c r="AO24" s="27"/>
    </row>
    <row r="25" spans="1:41" hidden="1">
      <c r="A25" s="114"/>
      <c r="B25" s="3" t="s">
        <v>55</v>
      </c>
      <c r="C25" s="37" t="s">
        <v>69</v>
      </c>
      <c r="D25" s="33">
        <v>1000</v>
      </c>
      <c r="E25" s="42">
        <v>12</v>
      </c>
      <c r="F25" s="31">
        <v>87000</v>
      </c>
      <c r="G25" s="29">
        <f t="shared" si="0"/>
        <v>7.9750000000000005</v>
      </c>
      <c r="H25" s="22"/>
      <c r="I25" s="18" t="s">
        <v>55</v>
      </c>
      <c r="J25" s="9"/>
      <c r="K25" s="2"/>
      <c r="L25" s="27"/>
      <c r="M25" s="9"/>
      <c r="N25" s="2"/>
      <c r="O25" s="27"/>
      <c r="P25" s="9"/>
      <c r="Q25" s="2"/>
      <c r="R25" s="27"/>
      <c r="S25" s="9"/>
      <c r="T25" s="2"/>
      <c r="U25" s="27"/>
      <c r="V25" s="9"/>
      <c r="W25" s="2"/>
      <c r="X25" s="27"/>
      <c r="Y25" s="9"/>
      <c r="Z25" s="2"/>
      <c r="AA25" s="27"/>
      <c r="AB25" s="9"/>
      <c r="AC25" s="2"/>
      <c r="AD25" s="27"/>
      <c r="AE25" s="9"/>
      <c r="AF25" s="2"/>
      <c r="AG25" s="27"/>
      <c r="AH25" s="2"/>
      <c r="AI25" s="27"/>
      <c r="AJ25" s="9"/>
      <c r="AK25" s="2"/>
      <c r="AL25" s="27"/>
      <c r="AM25" s="9"/>
      <c r="AN25" s="2"/>
      <c r="AO25" s="27"/>
    </row>
    <row r="26" spans="1:41" hidden="1">
      <c r="A26" s="114"/>
      <c r="B26" s="3" t="s">
        <v>41</v>
      </c>
      <c r="C26" s="37" t="s">
        <v>69</v>
      </c>
      <c r="D26" s="33">
        <v>1000</v>
      </c>
      <c r="E26" s="42">
        <v>12</v>
      </c>
      <c r="F26" s="31">
        <v>79200</v>
      </c>
      <c r="G26" s="26">
        <f t="shared" si="0"/>
        <v>7.26</v>
      </c>
      <c r="H26" s="22"/>
      <c r="I26" s="18" t="s">
        <v>41</v>
      </c>
      <c r="J26" s="9"/>
      <c r="K26" s="2"/>
      <c r="L26" s="27"/>
      <c r="M26" s="9"/>
      <c r="N26" s="2"/>
      <c r="O26" s="27"/>
      <c r="P26" s="9"/>
      <c r="Q26" s="2"/>
      <c r="R26" s="27"/>
      <c r="S26" s="9"/>
      <c r="T26" s="2"/>
      <c r="U26" s="27"/>
      <c r="V26" s="9"/>
      <c r="W26" s="2"/>
      <c r="X26" s="27"/>
      <c r="Y26" s="9"/>
      <c r="Z26" s="2"/>
      <c r="AA26" s="27"/>
      <c r="AB26" s="9"/>
      <c r="AC26" s="2"/>
      <c r="AD26" s="27"/>
      <c r="AE26" s="9"/>
      <c r="AF26" s="2"/>
      <c r="AG26" s="27"/>
      <c r="AH26" s="2"/>
      <c r="AI26" s="27"/>
      <c r="AJ26" s="9"/>
      <c r="AK26" s="2"/>
      <c r="AL26" s="27"/>
      <c r="AM26" s="9"/>
      <c r="AN26" s="2"/>
      <c r="AO26" s="27"/>
    </row>
    <row r="27" spans="1:41">
      <c r="A27" s="114"/>
      <c r="B27" s="3" t="s">
        <v>45</v>
      </c>
      <c r="C27" s="37" t="s">
        <v>69</v>
      </c>
      <c r="D27" s="33">
        <v>500</v>
      </c>
      <c r="E27" s="42">
        <v>12</v>
      </c>
      <c r="F27" s="31">
        <v>63600</v>
      </c>
      <c r="G27" s="56">
        <f t="shared" si="0"/>
        <v>11.66</v>
      </c>
      <c r="H27" s="22"/>
      <c r="I27" s="18" t="s">
        <v>45</v>
      </c>
      <c r="J27" s="9">
        <v>60</v>
      </c>
      <c r="K27" s="2">
        <v>60</v>
      </c>
      <c r="L27" s="27">
        <v>60</v>
      </c>
      <c r="M27" s="9"/>
      <c r="N27" s="2"/>
      <c r="O27" s="27"/>
      <c r="P27" s="9"/>
      <c r="Q27" s="2"/>
      <c r="R27" s="27"/>
      <c r="S27" s="9"/>
      <c r="T27" s="2"/>
      <c r="U27" s="27"/>
      <c r="V27" s="9"/>
      <c r="W27" s="2"/>
      <c r="X27" s="27"/>
      <c r="Y27" s="9"/>
      <c r="Z27" s="2"/>
      <c r="AA27" s="27"/>
      <c r="AB27" s="9"/>
      <c r="AC27" s="2"/>
      <c r="AD27" s="27"/>
      <c r="AE27" s="9"/>
      <c r="AF27" s="2"/>
      <c r="AG27" s="27"/>
      <c r="AH27" s="2"/>
      <c r="AI27" s="27"/>
      <c r="AJ27" s="9"/>
      <c r="AK27" s="2"/>
      <c r="AL27" s="27"/>
      <c r="AM27" s="9"/>
      <c r="AN27" s="2"/>
      <c r="AO27" s="27"/>
    </row>
    <row r="28" spans="1:41" hidden="1">
      <c r="A28" s="114"/>
      <c r="B28" s="3" t="s">
        <v>47</v>
      </c>
      <c r="C28" s="37" t="s">
        <v>69</v>
      </c>
      <c r="D28" s="33">
        <v>1000</v>
      </c>
      <c r="E28" s="42">
        <v>12</v>
      </c>
      <c r="F28" s="31">
        <v>100800</v>
      </c>
      <c r="G28" s="26">
        <f t="shared" si="0"/>
        <v>9.240000000000002</v>
      </c>
      <c r="H28" s="22"/>
      <c r="I28" s="18" t="s">
        <v>47</v>
      </c>
      <c r="J28" s="9"/>
      <c r="K28" s="2"/>
      <c r="L28" s="27"/>
      <c r="M28" s="9"/>
      <c r="N28" s="2"/>
      <c r="O28" s="27"/>
      <c r="P28" s="9"/>
      <c r="Q28" s="2"/>
      <c r="R28" s="27"/>
      <c r="S28" s="9"/>
      <c r="T28" s="2"/>
      <c r="U28" s="27"/>
      <c r="V28" s="9"/>
      <c r="W28" s="2"/>
      <c r="X28" s="27"/>
      <c r="Y28" s="9"/>
      <c r="Z28" s="2"/>
      <c r="AA28" s="27"/>
      <c r="AB28" s="9"/>
      <c r="AC28" s="2"/>
      <c r="AD28" s="27"/>
      <c r="AE28" s="9"/>
      <c r="AF28" s="2"/>
      <c r="AG28" s="27"/>
      <c r="AH28" s="2"/>
      <c r="AI28" s="27"/>
      <c r="AJ28" s="9"/>
      <c r="AK28" s="2"/>
      <c r="AL28" s="27"/>
      <c r="AM28" s="9"/>
      <c r="AN28" s="2"/>
      <c r="AO28" s="27"/>
    </row>
    <row r="29" spans="1:41">
      <c r="A29" s="114"/>
      <c r="B29" s="3" t="s">
        <v>48</v>
      </c>
      <c r="C29" s="37" t="s">
        <v>69</v>
      </c>
      <c r="D29" s="33">
        <v>800</v>
      </c>
      <c r="E29" s="42">
        <v>12</v>
      </c>
      <c r="F29" s="31">
        <v>54000</v>
      </c>
      <c r="G29" s="56">
        <f t="shared" si="0"/>
        <v>6.1875000000000009</v>
      </c>
      <c r="H29" s="22"/>
      <c r="I29" s="18" t="s">
        <v>48</v>
      </c>
      <c r="J29" s="9"/>
      <c r="K29" s="2"/>
      <c r="L29" s="27"/>
      <c r="M29" s="9"/>
      <c r="N29" s="2"/>
      <c r="O29" s="27"/>
      <c r="P29" s="9"/>
      <c r="Q29" s="2"/>
      <c r="R29" s="27"/>
      <c r="S29" s="9"/>
      <c r="T29" s="2"/>
      <c r="U29" s="27"/>
      <c r="V29" s="9"/>
      <c r="W29" s="2"/>
      <c r="X29" s="27"/>
      <c r="Y29" s="9">
        <v>50</v>
      </c>
      <c r="Z29" s="2">
        <v>50</v>
      </c>
      <c r="AA29" s="27">
        <v>50</v>
      </c>
      <c r="AB29" s="9"/>
      <c r="AC29" s="2"/>
      <c r="AD29" s="27"/>
      <c r="AE29" s="9"/>
      <c r="AF29" s="2"/>
      <c r="AG29" s="27"/>
      <c r="AH29" s="2"/>
      <c r="AI29" s="27"/>
      <c r="AJ29" s="9"/>
      <c r="AK29" s="2"/>
      <c r="AL29" s="27"/>
      <c r="AM29" s="9"/>
      <c r="AN29" s="2"/>
      <c r="AO29" s="27"/>
    </row>
    <row r="30" spans="1:41" hidden="1">
      <c r="A30" s="114"/>
      <c r="B30" s="3" t="s">
        <v>61</v>
      </c>
      <c r="C30" s="37" t="s">
        <v>69</v>
      </c>
      <c r="D30" s="33">
        <v>800</v>
      </c>
      <c r="E30" s="42">
        <v>12</v>
      </c>
      <c r="F30" s="31">
        <v>80400</v>
      </c>
      <c r="G30" s="26">
        <f t="shared" si="0"/>
        <v>9.2125000000000004</v>
      </c>
      <c r="H30" s="22"/>
      <c r="I30" s="18" t="s">
        <v>61</v>
      </c>
      <c r="J30" s="9"/>
      <c r="K30" s="2"/>
      <c r="L30" s="27"/>
      <c r="M30" s="9"/>
      <c r="N30" s="2"/>
      <c r="O30" s="27"/>
      <c r="P30" s="9"/>
      <c r="Q30" s="2"/>
      <c r="R30" s="27"/>
      <c r="S30" s="9"/>
      <c r="T30" s="2"/>
      <c r="U30" s="27"/>
      <c r="V30" s="9"/>
      <c r="W30" s="2"/>
      <c r="X30" s="27"/>
      <c r="Y30" s="9"/>
      <c r="Z30" s="2"/>
      <c r="AA30" s="27"/>
      <c r="AB30" s="9"/>
      <c r="AC30" s="2"/>
      <c r="AD30" s="27"/>
      <c r="AE30" s="9"/>
      <c r="AF30" s="2"/>
      <c r="AG30" s="27"/>
      <c r="AH30" s="2"/>
      <c r="AI30" s="27"/>
      <c r="AJ30" s="9"/>
      <c r="AK30" s="2"/>
      <c r="AL30" s="27"/>
      <c r="AM30" s="9"/>
      <c r="AN30" s="2"/>
      <c r="AO30" s="27"/>
    </row>
    <row r="31" spans="1:41" ht="17.25" thickBot="1">
      <c r="A31" s="113"/>
      <c r="B31" s="5" t="s">
        <v>20</v>
      </c>
      <c r="C31" s="39" t="s">
        <v>69</v>
      </c>
      <c r="D31" s="34">
        <v>500</v>
      </c>
      <c r="E31" s="43">
        <v>6</v>
      </c>
      <c r="F31" s="32">
        <v>39600</v>
      </c>
      <c r="G31" s="56">
        <f t="shared" si="0"/>
        <v>14.52</v>
      </c>
      <c r="H31" s="22"/>
      <c r="I31" s="21" t="s">
        <v>20</v>
      </c>
      <c r="J31" s="51"/>
      <c r="K31" s="11"/>
      <c r="L31" s="49"/>
      <c r="M31" s="51"/>
      <c r="N31" s="11"/>
      <c r="O31" s="49"/>
      <c r="P31" s="51"/>
      <c r="Q31" s="11"/>
      <c r="R31" s="49"/>
      <c r="S31" s="51"/>
      <c r="T31" s="11"/>
      <c r="U31" s="49"/>
      <c r="V31" s="51">
        <v>60</v>
      </c>
      <c r="W31" s="11">
        <v>60</v>
      </c>
      <c r="X31" s="49">
        <v>60</v>
      </c>
      <c r="Y31" s="51"/>
      <c r="Z31" s="11"/>
      <c r="AA31" s="49"/>
      <c r="AB31" s="51"/>
      <c r="AC31" s="11"/>
      <c r="AD31" s="49"/>
      <c r="AE31" s="51"/>
      <c r="AF31" s="11"/>
      <c r="AG31" s="49"/>
      <c r="AH31" s="11"/>
      <c r="AI31" s="49"/>
      <c r="AJ31" s="51"/>
      <c r="AK31" s="11"/>
      <c r="AL31" s="49"/>
      <c r="AM31" s="51"/>
      <c r="AN31" s="11"/>
      <c r="AO31" s="49"/>
    </row>
    <row r="32" spans="1:41" ht="17.25" hidden="1" thickBot="1">
      <c r="A32" s="112" t="s">
        <v>71</v>
      </c>
      <c r="B32" s="6" t="s">
        <v>42</v>
      </c>
      <c r="C32" s="40" t="s">
        <v>69</v>
      </c>
      <c r="D32" s="35">
        <v>1500</v>
      </c>
      <c r="E32" s="41">
        <v>6</v>
      </c>
      <c r="F32" s="30">
        <v>87000</v>
      </c>
      <c r="G32" s="26">
        <f t="shared" si="0"/>
        <v>10.633333333333333</v>
      </c>
      <c r="H32" s="17"/>
      <c r="I32" s="20" t="s">
        <v>42</v>
      </c>
      <c r="J32" s="50"/>
      <c r="K32" s="10"/>
      <c r="L32" s="48"/>
      <c r="M32" s="50"/>
      <c r="N32" s="10"/>
      <c r="O32" s="48"/>
      <c r="P32" s="50"/>
      <c r="Q32" s="10"/>
      <c r="R32" s="48"/>
      <c r="S32" s="50"/>
      <c r="T32" s="10"/>
      <c r="U32" s="48"/>
      <c r="V32" s="50"/>
      <c r="W32" s="10"/>
      <c r="X32" s="48"/>
      <c r="Y32" s="50"/>
      <c r="Z32" s="10"/>
      <c r="AA32" s="48"/>
      <c r="AB32" s="50"/>
      <c r="AC32" s="10"/>
      <c r="AD32" s="48"/>
      <c r="AE32" s="50"/>
      <c r="AF32" s="10"/>
      <c r="AG32" s="48"/>
      <c r="AH32" s="10"/>
      <c r="AI32" s="48"/>
      <c r="AJ32" s="50"/>
      <c r="AK32" s="10"/>
      <c r="AL32" s="48"/>
      <c r="AM32" s="50"/>
      <c r="AN32" s="10"/>
      <c r="AO32" s="48"/>
    </row>
    <row r="33" spans="1:41" hidden="1">
      <c r="A33" s="114"/>
      <c r="B33" s="3" t="s">
        <v>43</v>
      </c>
      <c r="C33" s="37" t="s">
        <v>69</v>
      </c>
      <c r="D33" s="33">
        <v>1500</v>
      </c>
      <c r="E33" s="42">
        <v>6</v>
      </c>
      <c r="F33" s="31">
        <v>66000</v>
      </c>
      <c r="G33" s="29">
        <f t="shared" si="0"/>
        <v>8.0666666666666664</v>
      </c>
      <c r="H33" s="22"/>
      <c r="I33" s="18" t="s">
        <v>43</v>
      </c>
      <c r="J33" s="9"/>
      <c r="K33" s="2"/>
      <c r="L33" s="27"/>
      <c r="M33" s="9"/>
      <c r="N33" s="2"/>
      <c r="O33" s="27"/>
      <c r="P33" s="9"/>
      <c r="Q33" s="2"/>
      <c r="R33" s="27"/>
      <c r="S33" s="9"/>
      <c r="T33" s="2"/>
      <c r="U33" s="27"/>
      <c r="V33" s="9"/>
      <c r="W33" s="2"/>
      <c r="X33" s="27"/>
      <c r="Y33" s="9"/>
      <c r="Z33" s="2"/>
      <c r="AA33" s="27"/>
      <c r="AB33" s="9"/>
      <c r="AC33" s="2"/>
      <c r="AD33" s="27"/>
      <c r="AE33" s="9"/>
      <c r="AF33" s="2"/>
      <c r="AG33" s="27"/>
      <c r="AH33" s="2"/>
      <c r="AI33" s="27"/>
      <c r="AJ33" s="9"/>
      <c r="AK33" s="2"/>
      <c r="AL33" s="27"/>
      <c r="AM33" s="9"/>
      <c r="AN33" s="2"/>
      <c r="AO33" s="27"/>
    </row>
    <row r="34" spans="1:41" ht="17.25" hidden="1" thickBot="1">
      <c r="A34" s="114"/>
      <c r="B34" s="3" t="s">
        <v>54</v>
      </c>
      <c r="C34" s="37" t="s">
        <v>69</v>
      </c>
      <c r="D34" s="33">
        <v>1800</v>
      </c>
      <c r="E34" s="42">
        <v>6</v>
      </c>
      <c r="F34" s="31">
        <v>42000</v>
      </c>
      <c r="G34" s="26">
        <f t="shared" si="0"/>
        <v>4.2777777777777777</v>
      </c>
      <c r="H34" s="22"/>
      <c r="I34" s="18" t="s">
        <v>54</v>
      </c>
      <c r="J34" s="9"/>
      <c r="K34" s="2"/>
      <c r="L34" s="27"/>
      <c r="M34" s="9"/>
      <c r="N34" s="2"/>
      <c r="O34" s="27"/>
      <c r="P34" s="9"/>
      <c r="Q34" s="2"/>
      <c r="R34" s="27"/>
      <c r="S34" s="9"/>
      <c r="T34" s="2"/>
      <c r="U34" s="27"/>
      <c r="V34" s="9"/>
      <c r="W34" s="2"/>
      <c r="X34" s="27"/>
      <c r="Y34" s="9"/>
      <c r="Z34" s="2"/>
      <c r="AA34" s="27"/>
      <c r="AB34" s="9"/>
      <c r="AC34" s="2"/>
      <c r="AD34" s="27"/>
      <c r="AE34" s="9"/>
      <c r="AF34" s="2"/>
      <c r="AG34" s="27"/>
      <c r="AH34" s="2"/>
      <c r="AI34" s="27"/>
      <c r="AJ34" s="9"/>
      <c r="AK34" s="2"/>
      <c r="AL34" s="27"/>
      <c r="AM34" s="9"/>
      <c r="AN34" s="2"/>
      <c r="AO34" s="27"/>
    </row>
    <row r="35" spans="1:41">
      <c r="A35" s="114"/>
      <c r="B35" s="3" t="s">
        <v>44</v>
      </c>
      <c r="C35" s="37" t="s">
        <v>69</v>
      </c>
      <c r="D35" s="33">
        <v>1800</v>
      </c>
      <c r="E35" s="42">
        <v>6</v>
      </c>
      <c r="F35" s="31">
        <v>54000</v>
      </c>
      <c r="G35" s="29">
        <f t="shared" si="0"/>
        <v>5.5</v>
      </c>
      <c r="H35" s="22"/>
      <c r="I35" s="18" t="s">
        <v>44</v>
      </c>
      <c r="J35" s="9"/>
      <c r="K35" s="2"/>
      <c r="L35" s="27"/>
      <c r="M35" s="9"/>
      <c r="N35" s="2"/>
      <c r="O35" s="27"/>
      <c r="P35" s="9"/>
      <c r="Q35" s="2"/>
      <c r="R35" s="27"/>
      <c r="S35" s="9"/>
      <c r="T35" s="2"/>
      <c r="U35" s="27"/>
      <c r="V35" s="9"/>
      <c r="W35" s="2"/>
      <c r="X35" s="27"/>
      <c r="Y35" s="9"/>
      <c r="Z35" s="2"/>
      <c r="AA35" s="27"/>
      <c r="AB35" s="9"/>
      <c r="AC35" s="2"/>
      <c r="AD35" s="27"/>
      <c r="AE35" s="9"/>
      <c r="AF35" s="2"/>
      <c r="AG35" s="27"/>
      <c r="AH35" s="2">
        <v>40</v>
      </c>
      <c r="AI35" s="27">
        <v>60</v>
      </c>
      <c r="AJ35" s="9"/>
      <c r="AK35" s="2"/>
      <c r="AL35" s="27"/>
      <c r="AM35" s="9"/>
      <c r="AN35" s="2"/>
      <c r="AO35" s="27"/>
    </row>
    <row r="36" spans="1:41">
      <c r="A36" s="114"/>
      <c r="B36" s="3" t="s">
        <v>59</v>
      </c>
      <c r="C36" s="37" t="s">
        <v>69</v>
      </c>
      <c r="D36" s="33">
        <v>1000</v>
      </c>
      <c r="E36" s="42">
        <v>12</v>
      </c>
      <c r="F36" s="31">
        <v>63600</v>
      </c>
      <c r="G36" s="26">
        <f t="shared" si="0"/>
        <v>5.83</v>
      </c>
      <c r="H36" s="22"/>
      <c r="I36" s="18" t="s">
        <v>59</v>
      </c>
      <c r="J36" s="9"/>
      <c r="K36" s="2"/>
      <c r="L36" s="27"/>
      <c r="M36" s="9"/>
      <c r="N36" s="2"/>
      <c r="O36" s="27"/>
      <c r="P36" s="9"/>
      <c r="Q36" s="2"/>
      <c r="R36" s="27"/>
      <c r="S36" s="9"/>
      <c r="T36" s="2"/>
      <c r="U36" s="27"/>
      <c r="V36" s="9"/>
      <c r="W36" s="2"/>
      <c r="X36" s="27"/>
      <c r="Y36" s="9"/>
      <c r="Z36" s="2"/>
      <c r="AA36" s="27"/>
      <c r="AB36" s="9"/>
      <c r="AC36" s="2"/>
      <c r="AD36" s="27"/>
      <c r="AE36" s="9">
        <v>55</v>
      </c>
      <c r="AF36" s="2">
        <v>55</v>
      </c>
      <c r="AG36" s="27">
        <v>55</v>
      </c>
      <c r="AH36" s="2"/>
      <c r="AI36" s="27"/>
      <c r="AJ36" s="9"/>
      <c r="AK36" s="2"/>
      <c r="AL36" s="27"/>
      <c r="AM36" s="9"/>
      <c r="AN36" s="2"/>
      <c r="AO36" s="27"/>
    </row>
    <row r="37" spans="1:41" hidden="1">
      <c r="A37" s="114"/>
      <c r="B37" s="3" t="s">
        <v>58</v>
      </c>
      <c r="C37" s="37" t="s">
        <v>69</v>
      </c>
      <c r="D37" s="33">
        <v>1000</v>
      </c>
      <c r="E37" s="42">
        <v>12</v>
      </c>
      <c r="F37" s="31">
        <v>80400</v>
      </c>
      <c r="G37" s="29">
        <f t="shared" si="0"/>
        <v>7.370000000000001</v>
      </c>
      <c r="H37" s="22"/>
      <c r="I37" s="18" t="s">
        <v>58</v>
      </c>
      <c r="J37" s="9"/>
      <c r="K37" s="2"/>
      <c r="L37" s="27"/>
      <c r="M37" s="9"/>
      <c r="N37" s="2"/>
      <c r="O37" s="27"/>
      <c r="P37" s="9"/>
      <c r="Q37" s="2"/>
      <c r="R37" s="27"/>
      <c r="S37" s="9"/>
      <c r="T37" s="2"/>
      <c r="U37" s="27"/>
      <c r="V37" s="9"/>
      <c r="W37" s="2"/>
      <c r="X37" s="27"/>
      <c r="Y37" s="9"/>
      <c r="Z37" s="2"/>
      <c r="AA37" s="27"/>
      <c r="AB37" s="9"/>
      <c r="AC37" s="2"/>
      <c r="AD37" s="27"/>
      <c r="AE37" s="9"/>
      <c r="AF37" s="2"/>
      <c r="AG37" s="27"/>
      <c r="AH37" s="2"/>
      <c r="AI37" s="27"/>
      <c r="AJ37" s="9"/>
      <c r="AK37" s="2"/>
      <c r="AL37" s="27"/>
      <c r="AM37" s="9"/>
      <c r="AN37" s="2"/>
      <c r="AO37" s="27"/>
    </row>
    <row r="38" spans="1:41" ht="17.25" hidden="1" thickBot="1">
      <c r="A38" s="114"/>
      <c r="B38" s="3" t="s">
        <v>18</v>
      </c>
      <c r="C38" s="37" t="s">
        <v>69</v>
      </c>
      <c r="D38" s="33">
        <v>1800</v>
      </c>
      <c r="E38" s="42">
        <v>6</v>
      </c>
      <c r="F38" s="31">
        <v>41400</v>
      </c>
      <c r="G38" s="26">
        <f t="shared" si="0"/>
        <v>4.2166666666666668</v>
      </c>
      <c r="H38" s="22"/>
      <c r="I38" s="18" t="s">
        <v>18</v>
      </c>
      <c r="J38" s="9"/>
      <c r="K38" s="2"/>
      <c r="L38" s="27"/>
      <c r="M38" s="9"/>
      <c r="N38" s="2"/>
      <c r="O38" s="27"/>
      <c r="P38" s="9"/>
      <c r="Q38" s="2"/>
      <c r="R38" s="27"/>
      <c r="S38" s="9"/>
      <c r="T38" s="2"/>
      <c r="U38" s="27"/>
      <c r="V38" s="9"/>
      <c r="W38" s="2"/>
      <c r="X38" s="27"/>
      <c r="Y38" s="9"/>
      <c r="Z38" s="2"/>
      <c r="AA38" s="27"/>
      <c r="AB38" s="9"/>
      <c r="AC38" s="2"/>
      <c r="AD38" s="27"/>
      <c r="AE38" s="9"/>
      <c r="AF38" s="2"/>
      <c r="AG38" s="27"/>
      <c r="AH38" s="2"/>
      <c r="AI38" s="27"/>
      <c r="AJ38" s="9"/>
      <c r="AK38" s="2"/>
      <c r="AL38" s="27"/>
      <c r="AM38" s="9"/>
      <c r="AN38" s="2"/>
      <c r="AO38" s="27"/>
    </row>
    <row r="39" spans="1:41" hidden="1">
      <c r="A39" s="114"/>
      <c r="B39" s="3" t="s">
        <v>17</v>
      </c>
      <c r="C39" s="37" t="s">
        <v>69</v>
      </c>
      <c r="D39" s="33">
        <v>1800</v>
      </c>
      <c r="E39" s="42">
        <v>6</v>
      </c>
      <c r="F39" s="31">
        <v>41400</v>
      </c>
      <c r="G39" s="29">
        <f t="shared" si="0"/>
        <v>4.2166666666666668</v>
      </c>
      <c r="H39" s="22"/>
      <c r="I39" s="18" t="s">
        <v>17</v>
      </c>
      <c r="J39" s="9"/>
      <c r="K39" s="2"/>
      <c r="L39" s="27"/>
      <c r="M39" s="9"/>
      <c r="N39" s="2"/>
      <c r="O39" s="27"/>
      <c r="P39" s="9"/>
      <c r="Q39" s="2"/>
      <c r="R39" s="27"/>
      <c r="S39" s="9"/>
      <c r="T39" s="2"/>
      <c r="U39" s="27"/>
      <c r="V39" s="9"/>
      <c r="W39" s="2"/>
      <c r="X39" s="27"/>
      <c r="Y39" s="9"/>
      <c r="Z39" s="2"/>
      <c r="AA39" s="27"/>
      <c r="AB39" s="9"/>
      <c r="AC39" s="2"/>
      <c r="AD39" s="27"/>
      <c r="AE39" s="9"/>
      <c r="AF39" s="2"/>
      <c r="AG39" s="27"/>
      <c r="AH39" s="2"/>
      <c r="AI39" s="27"/>
      <c r="AJ39" s="9"/>
      <c r="AK39" s="2"/>
      <c r="AL39" s="27"/>
      <c r="AM39" s="9"/>
      <c r="AN39" s="2"/>
      <c r="AO39" s="27"/>
    </row>
    <row r="40" spans="1:41" hidden="1">
      <c r="A40" s="114"/>
      <c r="B40" s="3" t="s">
        <v>19</v>
      </c>
      <c r="C40" s="37" t="s">
        <v>69</v>
      </c>
      <c r="D40" s="33">
        <v>1800</v>
      </c>
      <c r="E40" s="42">
        <v>6</v>
      </c>
      <c r="F40" s="31">
        <v>40800</v>
      </c>
      <c r="G40" s="26">
        <f t="shared" si="0"/>
        <v>4.1555555555555559</v>
      </c>
      <c r="H40" s="22"/>
      <c r="I40" s="18" t="s">
        <v>19</v>
      </c>
      <c r="J40" s="9"/>
      <c r="K40" s="2"/>
      <c r="L40" s="27"/>
      <c r="M40" s="9"/>
      <c r="N40" s="2"/>
      <c r="O40" s="27"/>
      <c r="P40" s="9"/>
      <c r="Q40" s="2"/>
      <c r="R40" s="27"/>
      <c r="S40" s="9"/>
      <c r="T40" s="2"/>
      <c r="U40" s="27"/>
      <c r="V40" s="9"/>
      <c r="W40" s="2"/>
      <c r="X40" s="27"/>
      <c r="Y40" s="9"/>
      <c r="Z40" s="2"/>
      <c r="AA40" s="27"/>
      <c r="AB40" s="9"/>
      <c r="AC40" s="2"/>
      <c r="AD40" s="27"/>
      <c r="AE40" s="9"/>
      <c r="AF40" s="2"/>
      <c r="AG40" s="27"/>
      <c r="AH40" s="2"/>
      <c r="AI40" s="27"/>
      <c r="AJ40" s="9"/>
      <c r="AK40" s="2"/>
      <c r="AL40" s="27"/>
      <c r="AM40" s="9"/>
      <c r="AN40" s="2"/>
      <c r="AO40" s="27"/>
    </row>
    <row r="41" spans="1:41">
      <c r="A41" s="114"/>
      <c r="B41" s="3" t="s">
        <v>46</v>
      </c>
      <c r="C41" s="37" t="s">
        <v>69</v>
      </c>
      <c r="D41" s="33">
        <v>1000</v>
      </c>
      <c r="E41" s="42">
        <v>12</v>
      </c>
      <c r="F41" s="31">
        <v>94800</v>
      </c>
      <c r="G41" s="56">
        <f t="shared" si="0"/>
        <v>8.6900000000000013</v>
      </c>
      <c r="H41" s="22"/>
      <c r="I41" s="18" t="s">
        <v>46</v>
      </c>
      <c r="J41" s="9"/>
      <c r="K41" s="2"/>
      <c r="L41" s="27"/>
      <c r="M41" s="9"/>
      <c r="N41" s="2"/>
      <c r="O41" s="27"/>
      <c r="P41" s="9"/>
      <c r="Q41" s="2"/>
      <c r="R41" s="27"/>
      <c r="S41" s="9"/>
      <c r="T41" s="2"/>
      <c r="U41" s="27"/>
      <c r="V41" s="9"/>
      <c r="W41" s="2"/>
      <c r="X41" s="27"/>
      <c r="Y41" s="9"/>
      <c r="Z41" s="2"/>
      <c r="AA41" s="27"/>
      <c r="AB41" s="9"/>
      <c r="AC41" s="2"/>
      <c r="AD41" s="27"/>
      <c r="AE41" s="9"/>
      <c r="AF41" s="2"/>
      <c r="AG41" s="27"/>
      <c r="AH41" s="2"/>
      <c r="AI41" s="27"/>
      <c r="AJ41" s="9">
        <v>60</v>
      </c>
      <c r="AK41" s="2">
        <v>60</v>
      </c>
      <c r="AL41" s="27">
        <v>70</v>
      </c>
      <c r="AM41" s="9">
        <v>60</v>
      </c>
      <c r="AN41" s="2">
        <v>60</v>
      </c>
      <c r="AO41" s="27">
        <v>70</v>
      </c>
    </row>
    <row r="42" spans="1:41" ht="17.25" thickBot="1">
      <c r="A42" s="114"/>
      <c r="B42" s="3" t="s">
        <v>49</v>
      </c>
      <c r="C42" s="37" t="s">
        <v>69</v>
      </c>
      <c r="D42" s="33">
        <v>1000</v>
      </c>
      <c r="E42" s="42">
        <v>6</v>
      </c>
      <c r="F42" s="31">
        <v>42000</v>
      </c>
      <c r="G42" s="26">
        <f t="shared" si="0"/>
        <v>7.7000000000000011</v>
      </c>
      <c r="H42" s="22"/>
      <c r="I42" s="18" t="s">
        <v>49</v>
      </c>
      <c r="J42" s="9"/>
      <c r="K42" s="2"/>
      <c r="L42" s="27"/>
      <c r="M42" s="9"/>
      <c r="N42" s="2"/>
      <c r="O42" s="27"/>
      <c r="P42" s="9"/>
      <c r="Q42" s="2"/>
      <c r="R42" s="27"/>
      <c r="S42" s="9">
        <v>70</v>
      </c>
      <c r="T42" s="2">
        <v>70</v>
      </c>
      <c r="U42" s="27">
        <v>80</v>
      </c>
      <c r="V42" s="9"/>
      <c r="W42" s="2"/>
      <c r="X42" s="27"/>
      <c r="Y42" s="9"/>
      <c r="Z42" s="2"/>
      <c r="AA42" s="27"/>
      <c r="AB42" s="9"/>
      <c r="AC42" s="2"/>
      <c r="AD42" s="27"/>
      <c r="AE42" s="9"/>
      <c r="AF42" s="2"/>
      <c r="AG42" s="27"/>
      <c r="AH42" s="2"/>
      <c r="AI42" s="27"/>
      <c r="AJ42" s="9"/>
      <c r="AK42" s="2"/>
      <c r="AL42" s="27"/>
      <c r="AM42" s="9"/>
      <c r="AN42" s="2"/>
      <c r="AO42" s="27"/>
    </row>
    <row r="43" spans="1:41" hidden="1">
      <c r="A43" s="114"/>
      <c r="B43" s="3" t="s">
        <v>24</v>
      </c>
      <c r="C43" s="37" t="s">
        <v>69</v>
      </c>
      <c r="D43" s="33">
        <v>1000</v>
      </c>
      <c r="E43" s="42">
        <v>4</v>
      </c>
      <c r="F43" s="31">
        <v>60000</v>
      </c>
      <c r="G43" s="29">
        <f t="shared" si="0"/>
        <v>16.5</v>
      </c>
      <c r="H43" s="22"/>
      <c r="I43" s="18" t="s">
        <v>24</v>
      </c>
      <c r="J43" s="9"/>
      <c r="K43" s="2"/>
      <c r="L43" s="27"/>
      <c r="M43" s="9"/>
      <c r="N43" s="2"/>
      <c r="O43" s="27"/>
      <c r="P43" s="9"/>
      <c r="Q43" s="2"/>
      <c r="R43" s="27"/>
      <c r="S43" s="9"/>
      <c r="T43" s="2"/>
      <c r="U43" s="27"/>
      <c r="V43" s="9"/>
      <c r="W43" s="2"/>
      <c r="X43" s="27"/>
      <c r="Y43" s="9"/>
      <c r="Z43" s="2"/>
      <c r="AA43" s="27"/>
      <c r="AB43" s="9"/>
      <c r="AC43" s="2"/>
      <c r="AD43" s="27"/>
      <c r="AE43" s="9"/>
      <c r="AF43" s="2"/>
      <c r="AG43" s="27"/>
      <c r="AH43" s="2"/>
      <c r="AI43" s="27"/>
      <c r="AJ43" s="9"/>
      <c r="AK43" s="2"/>
      <c r="AL43" s="27"/>
      <c r="AM43" s="9"/>
      <c r="AN43" s="2"/>
      <c r="AO43" s="27"/>
    </row>
    <row r="44" spans="1:41" ht="17.25" hidden="1" thickBot="1">
      <c r="A44" s="113"/>
      <c r="B44" s="5" t="s">
        <v>23</v>
      </c>
      <c r="C44" s="39" t="s">
        <v>69</v>
      </c>
      <c r="D44" s="34">
        <v>1000</v>
      </c>
      <c r="E44" s="43">
        <v>4</v>
      </c>
      <c r="F44" s="32">
        <v>61200</v>
      </c>
      <c r="G44" s="26">
        <f t="shared" si="0"/>
        <v>16.830000000000002</v>
      </c>
      <c r="H44" s="22"/>
      <c r="I44" s="21" t="s">
        <v>23</v>
      </c>
      <c r="J44" s="51"/>
      <c r="K44" s="11"/>
      <c r="L44" s="49"/>
      <c r="M44" s="51"/>
      <c r="N44" s="11"/>
      <c r="O44" s="49"/>
      <c r="P44" s="51"/>
      <c r="Q44" s="11"/>
      <c r="R44" s="49"/>
      <c r="S44" s="51"/>
      <c r="T44" s="11"/>
      <c r="U44" s="49"/>
      <c r="V44" s="51"/>
      <c r="W44" s="11"/>
      <c r="X44" s="49"/>
      <c r="Y44" s="51"/>
      <c r="Z44" s="11"/>
      <c r="AA44" s="49"/>
      <c r="AB44" s="51"/>
      <c r="AC44" s="11"/>
      <c r="AD44" s="49"/>
      <c r="AE44" s="51"/>
      <c r="AF44" s="11"/>
      <c r="AG44" s="49"/>
      <c r="AH44" s="11"/>
      <c r="AI44" s="49"/>
      <c r="AJ44" s="51"/>
      <c r="AK44" s="11"/>
      <c r="AL44" s="49"/>
      <c r="AM44" s="51"/>
      <c r="AN44" s="11"/>
      <c r="AO44" s="49"/>
    </row>
    <row r="45" spans="1:41" hidden="1">
      <c r="A45" s="112" t="s">
        <v>65</v>
      </c>
      <c r="B45" s="6" t="s">
        <v>26</v>
      </c>
      <c r="C45" s="40" t="s">
        <v>68</v>
      </c>
      <c r="D45" s="35">
        <v>200</v>
      </c>
      <c r="E45" s="41">
        <v>1</v>
      </c>
      <c r="F45" s="30">
        <v>4000</v>
      </c>
      <c r="G45" s="29">
        <f t="shared" si="0"/>
        <v>22</v>
      </c>
      <c r="H45" s="17"/>
      <c r="I45" s="20" t="s">
        <v>26</v>
      </c>
      <c r="J45" s="50"/>
      <c r="K45" s="10"/>
      <c r="L45" s="48"/>
      <c r="M45" s="50"/>
      <c r="N45" s="10"/>
      <c r="O45" s="48"/>
      <c r="P45" s="50"/>
      <c r="Q45" s="10"/>
      <c r="R45" s="48"/>
      <c r="S45" s="50"/>
      <c r="T45" s="10"/>
      <c r="U45" s="48"/>
      <c r="V45" s="50"/>
      <c r="W45" s="10"/>
      <c r="X45" s="48"/>
      <c r="Y45" s="50"/>
      <c r="Z45" s="10"/>
      <c r="AA45" s="48"/>
      <c r="AB45" s="50"/>
      <c r="AC45" s="10"/>
      <c r="AD45" s="48"/>
      <c r="AE45" s="50"/>
      <c r="AF45" s="10"/>
      <c r="AG45" s="48"/>
      <c r="AH45" s="10"/>
      <c r="AI45" s="48"/>
      <c r="AJ45" s="50"/>
      <c r="AK45" s="10"/>
      <c r="AL45" s="48"/>
      <c r="AM45" s="50"/>
      <c r="AN45" s="10"/>
      <c r="AO45" s="48"/>
    </row>
    <row r="46" spans="1:41" ht="17.25" hidden="1" thickBot="1">
      <c r="A46" s="114"/>
      <c r="B46" s="3" t="s">
        <v>27</v>
      </c>
      <c r="C46" s="37" t="s">
        <v>68</v>
      </c>
      <c r="D46" s="33">
        <v>200</v>
      </c>
      <c r="E46" s="42">
        <v>1</v>
      </c>
      <c r="F46" s="31">
        <v>4000</v>
      </c>
      <c r="G46" s="26">
        <f t="shared" si="0"/>
        <v>22</v>
      </c>
      <c r="H46" s="22"/>
      <c r="I46" s="18" t="s">
        <v>27</v>
      </c>
      <c r="J46" s="9"/>
      <c r="K46" s="2"/>
      <c r="L46" s="27"/>
      <c r="M46" s="9"/>
      <c r="N46" s="2"/>
      <c r="O46" s="27"/>
      <c r="P46" s="9"/>
      <c r="Q46" s="2"/>
      <c r="R46" s="27"/>
      <c r="S46" s="9"/>
      <c r="T46" s="2"/>
      <c r="U46" s="27"/>
      <c r="V46" s="9"/>
      <c r="W46" s="2"/>
      <c r="X46" s="27"/>
      <c r="Y46" s="9"/>
      <c r="Z46" s="2"/>
      <c r="AA46" s="27"/>
      <c r="AB46" s="9"/>
      <c r="AC46" s="2"/>
      <c r="AD46" s="27"/>
      <c r="AE46" s="9"/>
      <c r="AF46" s="2"/>
      <c r="AG46" s="27"/>
      <c r="AH46" s="2"/>
      <c r="AI46" s="27"/>
      <c r="AJ46" s="9"/>
      <c r="AK46" s="2"/>
      <c r="AL46" s="27"/>
      <c r="AM46" s="9"/>
      <c r="AN46" s="2"/>
      <c r="AO46" s="27"/>
    </row>
    <row r="47" spans="1:41" hidden="1">
      <c r="A47" s="114"/>
      <c r="B47" s="3" t="s">
        <v>28</v>
      </c>
      <c r="C47" s="37" t="s">
        <v>68</v>
      </c>
      <c r="D47" s="33">
        <v>200</v>
      </c>
      <c r="E47" s="42">
        <v>1</v>
      </c>
      <c r="F47" s="31">
        <v>4000</v>
      </c>
      <c r="G47" s="29">
        <f t="shared" si="0"/>
        <v>22</v>
      </c>
      <c r="H47" s="22"/>
      <c r="I47" s="18" t="s">
        <v>28</v>
      </c>
      <c r="J47" s="9"/>
      <c r="K47" s="2"/>
      <c r="L47" s="27"/>
      <c r="M47" s="9"/>
      <c r="N47" s="2"/>
      <c r="O47" s="27"/>
      <c r="P47" s="9"/>
      <c r="Q47" s="2"/>
      <c r="R47" s="27"/>
      <c r="S47" s="9"/>
      <c r="T47" s="2"/>
      <c r="U47" s="27"/>
      <c r="V47" s="9"/>
      <c r="W47" s="2"/>
      <c r="X47" s="27"/>
      <c r="Y47" s="9"/>
      <c r="Z47" s="2"/>
      <c r="AA47" s="27"/>
      <c r="AB47" s="9"/>
      <c r="AC47" s="2"/>
      <c r="AD47" s="27"/>
      <c r="AE47" s="9"/>
      <c r="AF47" s="2"/>
      <c r="AG47" s="27"/>
      <c r="AH47" s="2"/>
      <c r="AI47" s="27"/>
      <c r="AJ47" s="9"/>
      <c r="AK47" s="2"/>
      <c r="AL47" s="27"/>
      <c r="AM47" s="9"/>
      <c r="AN47" s="2"/>
      <c r="AO47" s="27"/>
    </row>
    <row r="48" spans="1:41" ht="17.25" hidden="1" thickBot="1">
      <c r="A48" s="113"/>
      <c r="B48" s="5" t="s">
        <v>29</v>
      </c>
      <c r="C48" s="39" t="s">
        <v>68</v>
      </c>
      <c r="D48" s="34">
        <v>200</v>
      </c>
      <c r="E48" s="43">
        <v>1</v>
      </c>
      <c r="F48" s="32">
        <v>4000</v>
      </c>
      <c r="G48" s="26">
        <f t="shared" si="0"/>
        <v>22</v>
      </c>
      <c r="H48" s="22"/>
      <c r="I48" s="21" t="s">
        <v>29</v>
      </c>
      <c r="J48" s="51"/>
      <c r="K48" s="11"/>
      <c r="L48" s="49"/>
      <c r="M48" s="51"/>
      <c r="N48" s="11"/>
      <c r="O48" s="49"/>
      <c r="P48" s="51"/>
      <c r="Q48" s="11"/>
      <c r="R48" s="49"/>
      <c r="S48" s="51"/>
      <c r="T48" s="11"/>
      <c r="U48" s="49"/>
      <c r="V48" s="51"/>
      <c r="W48" s="11"/>
      <c r="X48" s="49"/>
      <c r="Y48" s="51"/>
      <c r="Z48" s="11"/>
      <c r="AA48" s="49"/>
      <c r="AB48" s="51"/>
      <c r="AC48" s="11"/>
      <c r="AD48" s="49"/>
      <c r="AE48" s="51"/>
      <c r="AF48" s="11"/>
      <c r="AG48" s="49"/>
      <c r="AH48" s="11"/>
      <c r="AI48" s="49"/>
      <c r="AJ48" s="51"/>
      <c r="AK48" s="11"/>
      <c r="AL48" s="49"/>
      <c r="AM48" s="51"/>
      <c r="AN48" s="11"/>
      <c r="AO48" s="49"/>
    </row>
    <row r="49" spans="1:41" hidden="1">
      <c r="A49" s="112" t="s">
        <v>25</v>
      </c>
      <c r="B49" s="6" t="s">
        <v>25</v>
      </c>
      <c r="C49" s="40" t="s">
        <v>69</v>
      </c>
      <c r="D49" s="35">
        <v>1000</v>
      </c>
      <c r="E49" s="41">
        <v>10</v>
      </c>
      <c r="F49" s="30">
        <v>140000</v>
      </c>
      <c r="G49" s="29">
        <f t="shared" si="0"/>
        <v>15.400000000000002</v>
      </c>
      <c r="H49" s="17"/>
      <c r="I49" s="20" t="s">
        <v>25</v>
      </c>
      <c r="J49" s="50"/>
      <c r="K49" s="10"/>
      <c r="L49" s="48"/>
      <c r="M49" s="50"/>
      <c r="N49" s="10"/>
      <c r="O49" s="48"/>
      <c r="P49" s="50"/>
      <c r="Q49" s="10"/>
      <c r="R49" s="48"/>
      <c r="S49" s="50"/>
      <c r="T49" s="10"/>
      <c r="U49" s="48"/>
      <c r="V49" s="50"/>
      <c r="W49" s="10"/>
      <c r="X49" s="48"/>
      <c r="Y49" s="50"/>
      <c r="Z49" s="10"/>
      <c r="AA49" s="48"/>
      <c r="AB49" s="50"/>
      <c r="AC49" s="10"/>
      <c r="AD49" s="48"/>
      <c r="AE49" s="50"/>
      <c r="AF49" s="10"/>
      <c r="AG49" s="48"/>
      <c r="AH49" s="10"/>
      <c r="AI49" s="48"/>
      <c r="AJ49" s="50"/>
      <c r="AK49" s="10"/>
      <c r="AL49" s="48"/>
      <c r="AM49" s="50"/>
      <c r="AN49" s="10"/>
      <c r="AO49" s="48"/>
    </row>
    <row r="50" spans="1:41" ht="17.25" hidden="1" thickBot="1">
      <c r="A50" s="113"/>
      <c r="B50" s="5" t="s">
        <v>50</v>
      </c>
      <c r="C50" s="39" t="s">
        <v>69</v>
      </c>
      <c r="D50" s="34">
        <v>1000</v>
      </c>
      <c r="E50" s="43">
        <v>10</v>
      </c>
      <c r="F50" s="32">
        <v>190000</v>
      </c>
      <c r="G50" s="26">
        <f t="shared" si="0"/>
        <v>20.900000000000002</v>
      </c>
      <c r="H50" s="22"/>
      <c r="I50" s="21" t="s">
        <v>50</v>
      </c>
      <c r="J50" s="51"/>
      <c r="K50" s="11"/>
      <c r="L50" s="49"/>
      <c r="M50" s="51"/>
      <c r="N50" s="11"/>
      <c r="O50" s="49"/>
      <c r="P50" s="51"/>
      <c r="Q50" s="11"/>
      <c r="R50" s="49"/>
      <c r="S50" s="51"/>
      <c r="T50" s="11"/>
      <c r="U50" s="49"/>
      <c r="V50" s="51"/>
      <c r="W50" s="11"/>
      <c r="X50" s="49"/>
      <c r="Y50" s="51"/>
      <c r="Z50" s="11"/>
      <c r="AA50" s="49"/>
      <c r="AB50" s="51"/>
      <c r="AC50" s="11"/>
      <c r="AD50" s="49"/>
      <c r="AE50" s="51"/>
      <c r="AF50" s="11"/>
      <c r="AG50" s="49"/>
      <c r="AH50" s="11"/>
      <c r="AI50" s="49"/>
      <c r="AJ50" s="51"/>
      <c r="AK50" s="11"/>
      <c r="AL50" s="49"/>
      <c r="AM50" s="51"/>
      <c r="AN50" s="11"/>
      <c r="AO50" s="49"/>
    </row>
    <row r="51" spans="1:41" ht="21.75" customHeight="1" thickBot="1">
      <c r="A51" s="112" t="s">
        <v>66</v>
      </c>
      <c r="B51" s="82" t="s">
        <v>60</v>
      </c>
      <c r="C51" s="77" t="s">
        <v>70</v>
      </c>
      <c r="D51" s="78">
        <v>900</v>
      </c>
      <c r="E51" s="79">
        <v>1</v>
      </c>
      <c r="F51" s="80">
        <v>2100</v>
      </c>
      <c r="G51" s="29">
        <f>F51/(D51*E51)</f>
        <v>2.3333333333333335</v>
      </c>
      <c r="H51" s="17"/>
      <c r="I51" s="53" t="s">
        <v>60</v>
      </c>
      <c r="J51" s="50">
        <v>250</v>
      </c>
      <c r="K51" s="10">
        <v>220</v>
      </c>
      <c r="L51" s="48">
        <v>300</v>
      </c>
      <c r="M51" s="50">
        <v>250</v>
      </c>
      <c r="N51" s="10">
        <v>220</v>
      </c>
      <c r="O51" s="48">
        <v>300</v>
      </c>
      <c r="P51" s="50">
        <v>250</v>
      </c>
      <c r="Q51" s="10">
        <v>220</v>
      </c>
      <c r="R51" s="48">
        <v>300</v>
      </c>
      <c r="S51" s="50">
        <v>250</v>
      </c>
      <c r="T51" s="10">
        <v>220</v>
      </c>
      <c r="U51" s="48">
        <v>300</v>
      </c>
      <c r="V51" s="50">
        <v>250</v>
      </c>
      <c r="W51" s="10">
        <v>220</v>
      </c>
      <c r="X51" s="48">
        <v>300</v>
      </c>
      <c r="Y51" s="50">
        <v>250</v>
      </c>
      <c r="Z51" s="10">
        <v>220</v>
      </c>
      <c r="AA51" s="48">
        <v>300</v>
      </c>
      <c r="AB51" s="50">
        <v>250</v>
      </c>
      <c r="AC51" s="10">
        <v>220</v>
      </c>
      <c r="AD51" s="48">
        <v>300</v>
      </c>
      <c r="AE51" s="50">
        <v>250</v>
      </c>
      <c r="AF51" s="10">
        <v>220</v>
      </c>
      <c r="AG51" s="48">
        <v>300</v>
      </c>
      <c r="AH51" s="10">
        <v>260</v>
      </c>
      <c r="AI51" s="48">
        <v>290</v>
      </c>
      <c r="AJ51" s="50">
        <v>250</v>
      </c>
      <c r="AK51" s="10">
        <v>220</v>
      </c>
      <c r="AL51" s="48">
        <v>300</v>
      </c>
      <c r="AM51" s="50">
        <v>250</v>
      </c>
      <c r="AN51" s="10">
        <v>220</v>
      </c>
      <c r="AO51" s="48">
        <v>300</v>
      </c>
    </row>
    <row r="52" spans="1:41" ht="17.25" hidden="1" customHeight="1" thickBot="1">
      <c r="A52" s="113"/>
      <c r="B52" s="65" t="s">
        <v>51</v>
      </c>
      <c r="C52" s="66" t="s">
        <v>70</v>
      </c>
      <c r="D52" s="34">
        <v>1500</v>
      </c>
      <c r="E52" s="43">
        <v>12</v>
      </c>
      <c r="F52" s="32">
        <v>16200</v>
      </c>
      <c r="G52" s="26">
        <f t="shared" si="0"/>
        <v>0.9900000000000001</v>
      </c>
      <c r="H52" s="22"/>
      <c r="I52" s="52" t="s">
        <v>51</v>
      </c>
      <c r="J52" s="9"/>
      <c r="K52" s="2"/>
      <c r="L52" s="27"/>
      <c r="M52" s="9"/>
      <c r="N52" s="2"/>
      <c r="O52" s="27"/>
      <c r="P52" s="9"/>
      <c r="Q52" s="2"/>
      <c r="R52" s="27"/>
      <c r="S52" s="9"/>
      <c r="T52" s="2"/>
      <c r="U52" s="27"/>
      <c r="V52" s="9"/>
      <c r="W52" s="2"/>
      <c r="X52" s="27"/>
      <c r="Y52" s="9"/>
      <c r="Z52" s="2"/>
      <c r="AA52" s="27"/>
      <c r="AB52" s="9"/>
      <c r="AC52" s="2"/>
      <c r="AD52" s="27"/>
      <c r="AE52" s="9"/>
      <c r="AF52" s="2"/>
      <c r="AG52" s="27"/>
      <c r="AH52" s="2"/>
      <c r="AI52" s="27"/>
      <c r="AJ52" s="9"/>
      <c r="AK52" s="2"/>
      <c r="AL52" s="27"/>
      <c r="AM52" s="9"/>
      <c r="AN52" s="2"/>
      <c r="AO52" s="27"/>
    </row>
    <row r="53" spans="1:41" ht="17.25" thickBot="1">
      <c r="A53" s="61"/>
      <c r="B53" s="61"/>
      <c r="C53" s="61"/>
      <c r="D53" s="61"/>
      <c r="E53" s="61"/>
      <c r="F53" s="61"/>
      <c r="G53" s="61"/>
      <c r="H53" s="60"/>
      <c r="I53" s="76" t="s">
        <v>4</v>
      </c>
      <c r="J53" s="70">
        <f t="shared" ref="J53:AO53" si="1">SUMPRODUCT(J5:J52,$G5:$G52)</f>
        <v>1379.5133333333333</v>
      </c>
      <c r="K53" s="68">
        <f t="shared" si="1"/>
        <v>1318.9733333333334</v>
      </c>
      <c r="L53" s="71">
        <f t="shared" si="1"/>
        <v>1520.8200000000002</v>
      </c>
      <c r="M53" s="70">
        <f t="shared" si="1"/>
        <v>1148.7883333333334</v>
      </c>
      <c r="N53" s="68">
        <f t="shared" si="1"/>
        <v>1088.2483333333334</v>
      </c>
      <c r="O53" s="71">
        <f t="shared" si="1"/>
        <v>1290.095</v>
      </c>
      <c r="P53" s="70">
        <f t="shared" si="1"/>
        <v>1361.9133333333334</v>
      </c>
      <c r="Q53" s="68">
        <f t="shared" si="1"/>
        <v>1301.3733333333334</v>
      </c>
      <c r="R53" s="71">
        <f t="shared" si="1"/>
        <v>1503.22</v>
      </c>
      <c r="S53" s="70">
        <f t="shared" si="1"/>
        <v>1218.9133333333334</v>
      </c>
      <c r="T53" s="68">
        <f t="shared" si="1"/>
        <v>1158.3733333333334</v>
      </c>
      <c r="U53" s="71">
        <f t="shared" si="1"/>
        <v>1437.2200000000003</v>
      </c>
      <c r="V53" s="70">
        <f t="shared" si="1"/>
        <v>1551.1133333333332</v>
      </c>
      <c r="W53" s="68">
        <f t="shared" si="1"/>
        <v>1490.5733333333333</v>
      </c>
      <c r="X53" s="71">
        <f t="shared" si="1"/>
        <v>1692.42</v>
      </c>
      <c r="Y53" s="70">
        <f t="shared" si="1"/>
        <v>1083.1550000000002</v>
      </c>
      <c r="Z53" s="68">
        <f t="shared" si="1"/>
        <v>1022.6150000000001</v>
      </c>
      <c r="AA53" s="71">
        <f t="shared" si="1"/>
        <v>1224.4616666666666</v>
      </c>
      <c r="AB53" s="70">
        <f t="shared" si="1"/>
        <v>1431.6673015873016</v>
      </c>
      <c r="AC53" s="68">
        <f t="shared" si="1"/>
        <v>1371.1273015873016</v>
      </c>
      <c r="AD53" s="71">
        <f t="shared" si="1"/>
        <v>1572.9739682539685</v>
      </c>
      <c r="AE53" s="70">
        <f t="shared" si="1"/>
        <v>1000.5633333333334</v>
      </c>
      <c r="AF53" s="68">
        <f t="shared" si="1"/>
        <v>940.02333333333331</v>
      </c>
      <c r="AG53" s="71">
        <f t="shared" si="1"/>
        <v>1141.8699999999999</v>
      </c>
      <c r="AH53" s="68">
        <f t="shared" si="1"/>
        <v>932.70666666666671</v>
      </c>
      <c r="AI53" s="71">
        <f t="shared" si="1"/>
        <v>1127.8866666666668</v>
      </c>
      <c r="AJ53" s="70">
        <f t="shared" si="1"/>
        <v>1201.3133333333335</v>
      </c>
      <c r="AK53" s="68">
        <f t="shared" si="1"/>
        <v>1140.7733333333335</v>
      </c>
      <c r="AL53" s="71">
        <f t="shared" si="1"/>
        <v>1429.52</v>
      </c>
      <c r="AM53" s="70">
        <f t="shared" si="1"/>
        <v>1201.3133333333335</v>
      </c>
      <c r="AN53" s="68">
        <f t="shared" si="1"/>
        <v>1140.7733333333335</v>
      </c>
      <c r="AO53" s="71">
        <f t="shared" si="1"/>
        <v>1429.52</v>
      </c>
    </row>
    <row r="54" spans="1:41" ht="17.25" thickBot="1">
      <c r="A54" s="12"/>
      <c r="B54" s="16"/>
      <c r="C54" s="12"/>
      <c r="D54" s="12"/>
      <c r="E54" s="12"/>
      <c r="F54" s="12"/>
      <c r="G54" s="12"/>
      <c r="H54" s="12"/>
      <c r="I54" s="87" t="s">
        <v>12</v>
      </c>
      <c r="J54" s="88">
        <v>3500</v>
      </c>
      <c r="K54" s="95">
        <v>3500</v>
      </c>
      <c r="L54" s="89">
        <v>4200</v>
      </c>
      <c r="M54" s="88">
        <v>3500</v>
      </c>
      <c r="N54" s="95">
        <v>3500</v>
      </c>
      <c r="O54" s="89">
        <v>4200</v>
      </c>
      <c r="P54" s="88">
        <v>3500</v>
      </c>
      <c r="Q54" s="95">
        <v>3500</v>
      </c>
      <c r="R54" s="89">
        <v>4200</v>
      </c>
      <c r="S54" s="88">
        <v>3500</v>
      </c>
      <c r="T54" s="95">
        <v>3500</v>
      </c>
      <c r="U54" s="89">
        <v>4200</v>
      </c>
      <c r="V54" s="88">
        <v>3500</v>
      </c>
      <c r="W54" s="95">
        <v>3500</v>
      </c>
      <c r="X54" s="89">
        <v>4200</v>
      </c>
      <c r="Y54" s="88">
        <v>3500</v>
      </c>
      <c r="Z54" s="95">
        <v>3500</v>
      </c>
      <c r="AA54" s="89">
        <v>4200</v>
      </c>
      <c r="AB54" s="88">
        <v>3500</v>
      </c>
      <c r="AC54" s="95">
        <v>3500</v>
      </c>
      <c r="AD54" s="89">
        <v>4200</v>
      </c>
      <c r="AE54" s="88">
        <v>3500</v>
      </c>
      <c r="AF54" s="95">
        <v>3500</v>
      </c>
      <c r="AG54" s="89">
        <v>4200</v>
      </c>
      <c r="AH54" s="95">
        <v>3800</v>
      </c>
      <c r="AI54" s="89">
        <v>4300</v>
      </c>
      <c r="AJ54" s="88">
        <v>3500</v>
      </c>
      <c r="AK54" s="95">
        <v>3500</v>
      </c>
      <c r="AL54" s="89">
        <v>4200</v>
      </c>
      <c r="AM54" s="88">
        <v>3500</v>
      </c>
      <c r="AN54" s="95">
        <v>3500</v>
      </c>
      <c r="AO54" s="89">
        <v>4200</v>
      </c>
    </row>
    <row r="55" spans="1:41" ht="17.25" thickBot="1">
      <c r="A55" s="58"/>
      <c r="B55" s="58"/>
      <c r="C55" s="58"/>
      <c r="D55" s="58"/>
      <c r="E55" s="58"/>
      <c r="F55" s="58"/>
      <c r="G55" s="58"/>
      <c r="H55" s="58"/>
      <c r="I55" s="90" t="s">
        <v>5</v>
      </c>
      <c r="J55" s="91">
        <f>(J53)/J54</f>
        <v>0.39414666666666665</v>
      </c>
      <c r="K55" s="96">
        <f>(K53)/K54</f>
        <v>0.3768495238095238</v>
      </c>
      <c r="L55" s="91">
        <f t="shared" ref="L55:AO55" si="2">(L53)/L54</f>
        <v>0.36210000000000003</v>
      </c>
      <c r="M55" s="96">
        <f t="shared" si="2"/>
        <v>0.32822523809523813</v>
      </c>
      <c r="N55" s="91">
        <f t="shared" si="2"/>
        <v>0.31092809523809528</v>
      </c>
      <c r="O55" s="96">
        <f t="shared" si="2"/>
        <v>0.30716547619047618</v>
      </c>
      <c r="P55" s="91">
        <f t="shared" si="2"/>
        <v>0.38911809523809526</v>
      </c>
      <c r="Q55" s="96">
        <f t="shared" si="2"/>
        <v>0.37182095238095242</v>
      </c>
      <c r="R55" s="91">
        <f t="shared" si="2"/>
        <v>0.35790952380952379</v>
      </c>
      <c r="S55" s="96">
        <f t="shared" si="2"/>
        <v>0.34826095238095239</v>
      </c>
      <c r="T55" s="91">
        <f t="shared" si="2"/>
        <v>0.33096380952380955</v>
      </c>
      <c r="U55" s="96">
        <f t="shared" si="2"/>
        <v>0.34219523809523816</v>
      </c>
      <c r="V55" s="91">
        <f t="shared" si="2"/>
        <v>0.44317523809523807</v>
      </c>
      <c r="W55" s="96">
        <f t="shared" si="2"/>
        <v>0.42587809523809522</v>
      </c>
      <c r="X55" s="91">
        <f t="shared" si="2"/>
        <v>0.40295714285714285</v>
      </c>
      <c r="Y55" s="96">
        <f t="shared" si="2"/>
        <v>0.30947285714285722</v>
      </c>
      <c r="Z55" s="91">
        <f t="shared" si="2"/>
        <v>0.29217571428571432</v>
      </c>
      <c r="AA55" s="96">
        <f t="shared" si="2"/>
        <v>0.29153849206349203</v>
      </c>
      <c r="AB55" s="91">
        <f t="shared" si="2"/>
        <v>0.40904780045351474</v>
      </c>
      <c r="AC55" s="96">
        <f t="shared" si="2"/>
        <v>0.3917506575963719</v>
      </c>
      <c r="AD55" s="91">
        <f t="shared" si="2"/>
        <v>0.37451761148904011</v>
      </c>
      <c r="AE55" s="96">
        <f t="shared" si="2"/>
        <v>0.28587523809523813</v>
      </c>
      <c r="AF55" s="91">
        <f t="shared" si="2"/>
        <v>0.26857809523809523</v>
      </c>
      <c r="AG55" s="96">
        <f t="shared" si="2"/>
        <v>0.27187380952380952</v>
      </c>
      <c r="AH55" s="91">
        <f t="shared" si="2"/>
        <v>0.24544912280701756</v>
      </c>
      <c r="AI55" s="96">
        <f t="shared" si="2"/>
        <v>0.26229922480620155</v>
      </c>
      <c r="AJ55" s="91">
        <f t="shared" si="2"/>
        <v>0.34323238095238101</v>
      </c>
      <c r="AK55" s="96">
        <f t="shared" si="2"/>
        <v>0.32593523809523817</v>
      </c>
      <c r="AL55" s="91">
        <f t="shared" si="2"/>
        <v>0.34036190476190475</v>
      </c>
      <c r="AM55" s="96">
        <f t="shared" si="2"/>
        <v>0.34323238095238101</v>
      </c>
      <c r="AN55" s="91">
        <f t="shared" si="2"/>
        <v>0.32593523809523817</v>
      </c>
      <c r="AO55" s="96">
        <f t="shared" si="2"/>
        <v>0.34036190476190475</v>
      </c>
    </row>
    <row r="56" spans="1:41" ht="17.25" thickBot="1">
      <c r="A56" s="2"/>
      <c r="B56" s="2"/>
      <c r="C56" s="2"/>
      <c r="D56" s="2"/>
      <c r="E56" s="2"/>
      <c r="F56" s="12"/>
      <c r="G56" s="14"/>
      <c r="H56" s="14"/>
      <c r="I56" s="93" t="s">
        <v>105</v>
      </c>
      <c r="J56" s="81">
        <f>AVERAGE(J55:AO55)</f>
        <v>0.34104161621060775</v>
      </c>
    </row>
  </sheetData>
  <mergeCells count="41">
    <mergeCell ref="AJ1:AL1"/>
    <mergeCell ref="AJ2:AL2"/>
    <mergeCell ref="AK3:AL3"/>
    <mergeCell ref="AM1:AO1"/>
    <mergeCell ref="AM2:AO2"/>
    <mergeCell ref="AN3:AO3"/>
    <mergeCell ref="AE1:AG1"/>
    <mergeCell ref="AE2:AG2"/>
    <mergeCell ref="AF3:AG3"/>
    <mergeCell ref="AH1:AI1"/>
    <mergeCell ref="AH2:AI2"/>
    <mergeCell ref="AH3:AI3"/>
    <mergeCell ref="Y1:AA1"/>
    <mergeCell ref="Y2:AA2"/>
    <mergeCell ref="Z3:AA3"/>
    <mergeCell ref="AB1:AD1"/>
    <mergeCell ref="AB2:AD2"/>
    <mergeCell ref="AC3:AD3"/>
    <mergeCell ref="S1:U1"/>
    <mergeCell ref="S2:U2"/>
    <mergeCell ref="T3:U3"/>
    <mergeCell ref="V1:X1"/>
    <mergeCell ref="V2:X2"/>
    <mergeCell ref="W3:X3"/>
    <mergeCell ref="M1:O1"/>
    <mergeCell ref="M2:O2"/>
    <mergeCell ref="N3:O3"/>
    <mergeCell ref="P1:R1"/>
    <mergeCell ref="P2:R2"/>
    <mergeCell ref="Q3:R3"/>
    <mergeCell ref="A22:A31"/>
    <mergeCell ref="A32:A44"/>
    <mergeCell ref="A45:A48"/>
    <mergeCell ref="A49:A50"/>
    <mergeCell ref="A51:A52"/>
    <mergeCell ref="A17:A21"/>
    <mergeCell ref="J1:L1"/>
    <mergeCell ref="J2:L2"/>
    <mergeCell ref="K3:L3"/>
    <mergeCell ref="A4:B4"/>
    <mergeCell ref="A5:A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6FBF-2707-4945-9108-661595CB347C}">
  <dimension ref="A1:AQ56"/>
  <sheetViews>
    <sheetView zoomScaleNormal="100" workbookViewId="0">
      <pane xSplit="2" topLeftCell="J1" activePane="topRight" state="frozen"/>
      <selection activeCell="B1" sqref="B1"/>
      <selection pane="topRight" activeCell="B5" sqref="A5:XFD53"/>
    </sheetView>
  </sheetViews>
  <sheetFormatPr defaultRowHeight="16.5"/>
  <cols>
    <col min="1" max="1" width="9.625" customWidth="1"/>
    <col min="2" max="2" width="24.625" customWidth="1"/>
    <col min="3" max="3" width="4.125" customWidth="1"/>
    <col min="4" max="4" width="7.625" customWidth="1"/>
    <col min="5" max="5" width="4.125" customWidth="1"/>
    <col min="6" max="6" width="8.625" customWidth="1"/>
    <col min="7" max="7" width="19.125" customWidth="1"/>
    <col min="8" max="8" width="1.625" customWidth="1"/>
    <col min="9" max="9" width="25.625" customWidth="1"/>
    <col min="10" max="43" width="10.125" customWidth="1"/>
  </cols>
  <sheetData>
    <row r="1" spans="1:43" ht="17.25" thickBot="1">
      <c r="A1" s="2"/>
      <c r="B1" s="2"/>
      <c r="C1" s="2"/>
      <c r="D1" s="2"/>
      <c r="E1" s="7"/>
      <c r="F1" s="16"/>
      <c r="G1" s="14"/>
      <c r="H1" s="14"/>
      <c r="I1" s="67" t="s">
        <v>73</v>
      </c>
      <c r="J1" s="119" t="s">
        <v>111</v>
      </c>
      <c r="K1" s="121"/>
      <c r="L1" s="119" t="s">
        <v>111</v>
      </c>
      <c r="M1" s="121"/>
      <c r="N1" s="119" t="s">
        <v>111</v>
      </c>
      <c r="O1" s="121"/>
      <c r="P1" s="119" t="s">
        <v>111</v>
      </c>
      <c r="Q1" s="121"/>
      <c r="R1" s="119" t="s">
        <v>111</v>
      </c>
      <c r="S1" s="121"/>
      <c r="T1" s="119" t="s">
        <v>111</v>
      </c>
      <c r="U1" s="121"/>
      <c r="V1" s="119" t="s">
        <v>111</v>
      </c>
      <c r="W1" s="121"/>
      <c r="X1" s="119" t="s">
        <v>111</v>
      </c>
      <c r="Y1" s="121"/>
      <c r="Z1" s="119" t="s">
        <v>111</v>
      </c>
      <c r="AA1" s="121"/>
      <c r="AB1" s="119" t="s">
        <v>111</v>
      </c>
      <c r="AC1" s="121"/>
      <c r="AD1" s="119" t="s">
        <v>111</v>
      </c>
      <c r="AE1" s="121"/>
      <c r="AF1" s="119" t="s">
        <v>111</v>
      </c>
      <c r="AG1" s="121"/>
      <c r="AH1" s="119" t="s">
        <v>111</v>
      </c>
      <c r="AI1" s="121"/>
      <c r="AJ1" s="119" t="s">
        <v>111</v>
      </c>
      <c r="AK1" s="121"/>
      <c r="AL1" s="119" t="s">
        <v>111</v>
      </c>
      <c r="AM1" s="121"/>
      <c r="AN1" s="119" t="s">
        <v>111</v>
      </c>
      <c r="AO1" s="121"/>
      <c r="AP1" s="119" t="s">
        <v>111</v>
      </c>
      <c r="AQ1" s="121"/>
    </row>
    <row r="2" spans="1:43" ht="17.25" thickBot="1">
      <c r="A2" s="2"/>
      <c r="B2" s="2"/>
      <c r="C2" s="2"/>
      <c r="D2" s="2"/>
      <c r="E2" s="7"/>
      <c r="F2" s="16"/>
      <c r="G2" s="14"/>
      <c r="H2" s="14"/>
      <c r="I2" s="74" t="s">
        <v>0</v>
      </c>
      <c r="J2" s="118" t="s">
        <v>113</v>
      </c>
      <c r="K2" s="118"/>
      <c r="L2" s="118" t="s">
        <v>121</v>
      </c>
      <c r="M2" s="118"/>
      <c r="N2" s="118" t="s">
        <v>122</v>
      </c>
      <c r="O2" s="118"/>
      <c r="P2" s="118" t="s">
        <v>114</v>
      </c>
      <c r="Q2" s="118"/>
      <c r="R2" s="118" t="s">
        <v>123</v>
      </c>
      <c r="S2" s="118"/>
      <c r="T2" s="118" t="s">
        <v>124</v>
      </c>
      <c r="U2" s="118"/>
      <c r="V2" s="118" t="s">
        <v>115</v>
      </c>
      <c r="W2" s="118"/>
      <c r="X2" s="118" t="s">
        <v>125</v>
      </c>
      <c r="Y2" s="118"/>
      <c r="Z2" s="118" t="s">
        <v>126</v>
      </c>
      <c r="AA2" s="118"/>
      <c r="AB2" s="118" t="s">
        <v>127</v>
      </c>
      <c r="AC2" s="118"/>
      <c r="AD2" s="118" t="s">
        <v>128</v>
      </c>
      <c r="AE2" s="118"/>
      <c r="AF2" s="118" t="s">
        <v>116</v>
      </c>
      <c r="AG2" s="118"/>
      <c r="AH2" s="122" t="s">
        <v>129</v>
      </c>
      <c r="AI2" s="123"/>
      <c r="AJ2" s="122" t="s">
        <v>117</v>
      </c>
      <c r="AK2" s="123"/>
      <c r="AL2" s="118" t="s">
        <v>118</v>
      </c>
      <c r="AM2" s="118"/>
      <c r="AN2" s="118" t="s">
        <v>119</v>
      </c>
      <c r="AO2" s="118"/>
      <c r="AP2" s="118" t="s">
        <v>120</v>
      </c>
      <c r="AQ2" s="118"/>
    </row>
    <row r="3" spans="1:43" ht="17.25" thickBot="1">
      <c r="A3" s="2"/>
      <c r="B3" s="2"/>
      <c r="C3" s="2"/>
      <c r="D3" s="2"/>
      <c r="E3" s="7"/>
      <c r="F3" s="16"/>
      <c r="G3" s="14"/>
      <c r="H3" s="14"/>
      <c r="I3" s="25" t="s">
        <v>13</v>
      </c>
      <c r="J3" s="115" t="s">
        <v>2</v>
      </c>
      <c r="K3" s="115"/>
      <c r="L3" s="115" t="s">
        <v>2</v>
      </c>
      <c r="M3" s="115"/>
      <c r="N3" s="115" t="s">
        <v>2</v>
      </c>
      <c r="O3" s="115"/>
      <c r="P3" s="115" t="s">
        <v>2</v>
      </c>
      <c r="Q3" s="115"/>
      <c r="R3" s="115" t="s">
        <v>2</v>
      </c>
      <c r="S3" s="115"/>
      <c r="T3" s="115" t="s">
        <v>2</v>
      </c>
      <c r="U3" s="115"/>
      <c r="V3" s="115" t="s">
        <v>2</v>
      </c>
      <c r="W3" s="115"/>
      <c r="X3" s="115" t="s">
        <v>2</v>
      </c>
      <c r="Y3" s="115"/>
      <c r="Z3" s="115" t="s">
        <v>2</v>
      </c>
      <c r="AA3" s="115"/>
      <c r="AB3" s="115" t="s">
        <v>2</v>
      </c>
      <c r="AC3" s="115"/>
      <c r="AD3" s="115" t="s">
        <v>2</v>
      </c>
      <c r="AE3" s="115"/>
      <c r="AF3" s="115" t="s">
        <v>2</v>
      </c>
      <c r="AG3" s="115"/>
      <c r="AH3" s="115" t="s">
        <v>2</v>
      </c>
      <c r="AI3" s="115"/>
      <c r="AJ3" s="116" t="s">
        <v>2</v>
      </c>
      <c r="AK3" s="117"/>
      <c r="AL3" s="115" t="s">
        <v>2</v>
      </c>
      <c r="AM3" s="115"/>
      <c r="AN3" s="115" t="s">
        <v>2</v>
      </c>
      <c r="AO3" s="115"/>
      <c r="AP3" s="115" t="s">
        <v>2</v>
      </c>
      <c r="AQ3" s="115"/>
    </row>
    <row r="4" spans="1:43" ht="17.25" thickBot="1">
      <c r="A4" s="116" t="s">
        <v>3</v>
      </c>
      <c r="B4" s="117"/>
      <c r="C4" s="8" t="s">
        <v>67</v>
      </c>
      <c r="D4" s="46" t="s">
        <v>77</v>
      </c>
      <c r="E4" s="45" t="s">
        <v>139</v>
      </c>
      <c r="F4" s="44" t="s">
        <v>78</v>
      </c>
      <c r="G4" s="28" t="s">
        <v>138</v>
      </c>
      <c r="H4" s="26"/>
      <c r="I4" s="75" t="s">
        <v>72</v>
      </c>
      <c r="J4" s="75" t="s">
        <v>75</v>
      </c>
      <c r="K4" s="75" t="s">
        <v>76</v>
      </c>
      <c r="L4" s="75" t="s">
        <v>75</v>
      </c>
      <c r="M4" s="75" t="s">
        <v>76</v>
      </c>
      <c r="N4" s="75" t="s">
        <v>75</v>
      </c>
      <c r="O4" s="75" t="s">
        <v>76</v>
      </c>
      <c r="P4" s="75" t="s">
        <v>75</v>
      </c>
      <c r="Q4" s="75" t="s">
        <v>76</v>
      </c>
      <c r="R4" s="75" t="s">
        <v>75</v>
      </c>
      <c r="S4" s="75" t="s">
        <v>76</v>
      </c>
      <c r="T4" s="75" t="s">
        <v>75</v>
      </c>
      <c r="U4" s="75" t="s">
        <v>76</v>
      </c>
      <c r="V4" s="75" t="s">
        <v>75</v>
      </c>
      <c r="W4" s="75" t="s">
        <v>76</v>
      </c>
      <c r="X4" s="75" t="s">
        <v>75</v>
      </c>
      <c r="Y4" s="75" t="s">
        <v>76</v>
      </c>
      <c r="Z4" s="75" t="s">
        <v>75</v>
      </c>
      <c r="AA4" s="75" t="s">
        <v>76</v>
      </c>
      <c r="AB4" s="75" t="s">
        <v>75</v>
      </c>
      <c r="AC4" s="75" t="s">
        <v>76</v>
      </c>
      <c r="AD4" s="75" t="s">
        <v>75</v>
      </c>
      <c r="AE4" s="75" t="s">
        <v>76</v>
      </c>
      <c r="AF4" s="75" t="s">
        <v>75</v>
      </c>
      <c r="AG4" s="75" t="s">
        <v>76</v>
      </c>
      <c r="AH4" s="75"/>
      <c r="AI4" s="75"/>
      <c r="AJ4" s="75" t="s">
        <v>75</v>
      </c>
      <c r="AK4" s="75" t="s">
        <v>76</v>
      </c>
      <c r="AL4" s="75" t="s">
        <v>75</v>
      </c>
      <c r="AM4" s="75" t="s">
        <v>76</v>
      </c>
      <c r="AN4" s="75" t="s">
        <v>75</v>
      </c>
      <c r="AO4" s="75" t="s">
        <v>76</v>
      </c>
      <c r="AP4" s="75" t="s">
        <v>75</v>
      </c>
      <c r="AQ4" s="75" t="s">
        <v>76</v>
      </c>
    </row>
    <row r="5" spans="1:43">
      <c r="A5" s="112" t="s">
        <v>62</v>
      </c>
      <c r="B5" s="23" t="s">
        <v>30</v>
      </c>
      <c r="C5" s="36" t="s">
        <v>68</v>
      </c>
      <c r="D5" s="35">
        <v>1000</v>
      </c>
      <c r="E5" s="41">
        <v>1</v>
      </c>
      <c r="F5" s="30">
        <v>43000</v>
      </c>
      <c r="G5" s="29">
        <f>F5/(D5*E5)*1.1</f>
        <v>47.300000000000004</v>
      </c>
      <c r="H5" s="26"/>
      <c r="I5" s="24" t="s">
        <v>30</v>
      </c>
      <c r="J5" s="50"/>
      <c r="K5" s="48"/>
      <c r="L5" s="50"/>
      <c r="M5" s="48"/>
      <c r="N5" s="50"/>
      <c r="O5" s="48"/>
      <c r="P5" s="50"/>
      <c r="Q5" s="48"/>
      <c r="R5" s="50"/>
      <c r="S5" s="48"/>
      <c r="T5" s="50"/>
      <c r="U5" s="48"/>
      <c r="V5" s="50"/>
      <c r="W5" s="48"/>
      <c r="X5" s="50"/>
      <c r="Y5" s="48"/>
      <c r="Z5" s="50"/>
      <c r="AA5" s="48"/>
      <c r="AB5" s="50"/>
      <c r="AC5" s="48"/>
      <c r="AD5" s="50"/>
      <c r="AE5" s="48"/>
      <c r="AF5" s="50"/>
      <c r="AG5" s="48"/>
      <c r="AH5" s="50"/>
      <c r="AI5" s="48"/>
      <c r="AJ5" s="50"/>
      <c r="AK5" s="48"/>
      <c r="AL5" s="50"/>
      <c r="AM5" s="48"/>
      <c r="AN5" s="50"/>
      <c r="AO5" s="48"/>
      <c r="AP5" s="50"/>
      <c r="AQ5" s="48"/>
    </row>
    <row r="6" spans="1:43">
      <c r="A6" s="114"/>
      <c r="B6" s="3" t="s">
        <v>31</v>
      </c>
      <c r="C6" s="37" t="s">
        <v>68</v>
      </c>
      <c r="D6" s="33">
        <v>1000</v>
      </c>
      <c r="E6" s="42">
        <v>1</v>
      </c>
      <c r="F6" s="31">
        <v>20000</v>
      </c>
      <c r="G6" s="26">
        <f>F6/(D6*E6)*1.1</f>
        <v>22</v>
      </c>
      <c r="H6" s="14"/>
      <c r="I6" s="18" t="s">
        <v>31</v>
      </c>
      <c r="J6" s="9"/>
      <c r="K6" s="27"/>
      <c r="L6" s="9"/>
      <c r="M6" s="27"/>
      <c r="N6" s="9"/>
      <c r="O6" s="27"/>
      <c r="P6" s="9"/>
      <c r="Q6" s="27"/>
      <c r="R6" s="9"/>
      <c r="S6" s="27"/>
      <c r="T6" s="9"/>
      <c r="U6" s="27"/>
      <c r="V6" s="9"/>
      <c r="W6" s="27"/>
      <c r="X6" s="9"/>
      <c r="Y6" s="27"/>
      <c r="Z6" s="9"/>
      <c r="AA6" s="27"/>
      <c r="AB6" s="9"/>
      <c r="AC6" s="27"/>
      <c r="AD6" s="9"/>
      <c r="AE6" s="27"/>
      <c r="AF6" s="9"/>
      <c r="AG6" s="27"/>
      <c r="AH6" s="9"/>
      <c r="AI6" s="27"/>
      <c r="AJ6" s="9"/>
      <c r="AK6" s="27"/>
      <c r="AL6" s="9"/>
      <c r="AM6" s="27"/>
      <c r="AN6" s="9"/>
      <c r="AO6" s="27"/>
      <c r="AP6" s="9"/>
      <c r="AQ6" s="27"/>
    </row>
    <row r="7" spans="1:43">
      <c r="A7" s="114"/>
      <c r="B7" s="3" t="s">
        <v>32</v>
      </c>
      <c r="C7" s="37" t="s">
        <v>68</v>
      </c>
      <c r="D7" s="33">
        <v>1000</v>
      </c>
      <c r="E7" s="42">
        <v>1</v>
      </c>
      <c r="F7" s="31">
        <v>53000</v>
      </c>
      <c r="G7" s="56">
        <f t="shared" ref="G7:G52" si="0">F7/(D7*E7)*1.1</f>
        <v>58.300000000000004</v>
      </c>
      <c r="H7" s="22"/>
      <c r="I7" s="18" t="s">
        <v>32</v>
      </c>
      <c r="J7" s="9">
        <v>1</v>
      </c>
      <c r="K7" s="27"/>
      <c r="L7" s="9">
        <v>1</v>
      </c>
      <c r="M7" s="27"/>
      <c r="N7" s="9">
        <v>1</v>
      </c>
      <c r="O7" s="27"/>
      <c r="P7" s="9">
        <v>1</v>
      </c>
      <c r="Q7" s="27"/>
      <c r="R7" s="9">
        <v>1</v>
      </c>
      <c r="S7" s="27"/>
      <c r="T7" s="9">
        <v>1</v>
      </c>
      <c r="U7" s="27"/>
      <c r="V7" s="9">
        <v>1</v>
      </c>
      <c r="W7" s="27"/>
      <c r="X7" s="9">
        <v>1</v>
      </c>
      <c r="Y7" s="27"/>
      <c r="Z7" s="9">
        <v>1</v>
      </c>
      <c r="AA7" s="27"/>
      <c r="AB7" s="9">
        <v>1</v>
      </c>
      <c r="AC7" s="27"/>
      <c r="AD7" s="9">
        <v>1</v>
      </c>
      <c r="AE7" s="27"/>
      <c r="AF7" s="9">
        <v>1</v>
      </c>
      <c r="AG7" s="27"/>
      <c r="AH7" s="9">
        <v>1</v>
      </c>
      <c r="AI7" s="27"/>
      <c r="AJ7" s="9">
        <v>1</v>
      </c>
      <c r="AK7" s="27"/>
      <c r="AL7" s="9">
        <v>1</v>
      </c>
      <c r="AM7" s="27"/>
      <c r="AN7" s="9">
        <v>1</v>
      </c>
      <c r="AO7" s="27"/>
      <c r="AP7" s="9">
        <v>1</v>
      </c>
      <c r="AQ7" s="27"/>
    </row>
    <row r="8" spans="1:43">
      <c r="A8" s="114"/>
      <c r="B8" s="3" t="s">
        <v>33</v>
      </c>
      <c r="C8" s="37" t="s">
        <v>68</v>
      </c>
      <c r="D8" s="33">
        <v>1000</v>
      </c>
      <c r="E8" s="42">
        <v>1</v>
      </c>
      <c r="F8" s="31">
        <v>65000</v>
      </c>
      <c r="G8" s="26">
        <f t="shared" si="0"/>
        <v>71.5</v>
      </c>
      <c r="H8" s="22"/>
      <c r="I8" s="18" t="s">
        <v>33</v>
      </c>
      <c r="J8" s="9"/>
      <c r="K8" s="27">
        <v>1</v>
      </c>
      <c r="L8" s="9"/>
      <c r="M8" s="27">
        <v>1</v>
      </c>
      <c r="N8" s="9"/>
      <c r="O8" s="27">
        <v>1</v>
      </c>
      <c r="P8" s="9"/>
      <c r="Q8" s="27">
        <v>1</v>
      </c>
      <c r="R8" s="9"/>
      <c r="S8" s="27">
        <v>1</v>
      </c>
      <c r="T8" s="9"/>
      <c r="U8" s="27">
        <v>1</v>
      </c>
      <c r="V8" s="9"/>
      <c r="W8" s="27">
        <v>1</v>
      </c>
      <c r="X8" s="9"/>
      <c r="Y8" s="27">
        <v>1</v>
      </c>
      <c r="Z8" s="9"/>
      <c r="AA8" s="27">
        <v>1</v>
      </c>
      <c r="AB8" s="9"/>
      <c r="AC8" s="27">
        <v>1</v>
      </c>
      <c r="AD8" s="9"/>
      <c r="AE8" s="27">
        <v>1</v>
      </c>
      <c r="AF8" s="9"/>
      <c r="AG8" s="27">
        <v>1</v>
      </c>
      <c r="AH8" s="9"/>
      <c r="AI8" s="27">
        <v>1</v>
      </c>
      <c r="AJ8" s="9"/>
      <c r="AK8" s="27">
        <v>1</v>
      </c>
      <c r="AL8" s="9"/>
      <c r="AM8" s="27">
        <v>1</v>
      </c>
      <c r="AN8" s="9"/>
      <c r="AO8" s="27">
        <v>1</v>
      </c>
      <c r="AP8" s="9"/>
      <c r="AQ8" s="27">
        <v>1</v>
      </c>
    </row>
    <row r="9" spans="1:43">
      <c r="A9" s="114"/>
      <c r="B9" s="4" t="s">
        <v>34</v>
      </c>
      <c r="C9" s="38" t="s">
        <v>68</v>
      </c>
      <c r="D9" s="33">
        <v>1000</v>
      </c>
      <c r="E9" s="42">
        <v>1</v>
      </c>
      <c r="F9" s="31">
        <v>18500</v>
      </c>
      <c r="G9" s="56">
        <f t="shared" si="0"/>
        <v>20.350000000000001</v>
      </c>
      <c r="H9" s="22"/>
      <c r="I9" s="19" t="s">
        <v>34</v>
      </c>
      <c r="J9" s="9">
        <v>1</v>
      </c>
      <c r="K9" s="27"/>
      <c r="L9" s="9">
        <v>1</v>
      </c>
      <c r="M9" s="27"/>
      <c r="N9" s="9">
        <v>1</v>
      </c>
      <c r="O9" s="27"/>
      <c r="P9" s="9">
        <v>1</v>
      </c>
      <c r="Q9" s="27"/>
      <c r="R9" s="9">
        <v>1</v>
      </c>
      <c r="S9" s="27"/>
      <c r="T9" s="9">
        <v>1</v>
      </c>
      <c r="U9" s="27"/>
      <c r="V9" s="9">
        <v>1</v>
      </c>
      <c r="W9" s="27"/>
      <c r="X9" s="9">
        <v>1</v>
      </c>
      <c r="Y9" s="27"/>
      <c r="Z9" s="9">
        <v>1</v>
      </c>
      <c r="AA9" s="27"/>
      <c r="AB9" s="9">
        <v>1</v>
      </c>
      <c r="AC9" s="27"/>
      <c r="AD9" s="9">
        <v>1</v>
      </c>
      <c r="AE9" s="27"/>
      <c r="AF9" s="9">
        <v>1</v>
      </c>
      <c r="AG9" s="27"/>
      <c r="AH9" s="9">
        <v>1</v>
      </c>
      <c r="AI9" s="27"/>
      <c r="AJ9" s="9">
        <v>1</v>
      </c>
      <c r="AK9" s="27"/>
      <c r="AL9" s="9">
        <v>1</v>
      </c>
      <c r="AM9" s="27"/>
      <c r="AN9" s="9">
        <v>1</v>
      </c>
      <c r="AO9" s="27"/>
      <c r="AP9" s="9">
        <v>1</v>
      </c>
      <c r="AQ9" s="27"/>
    </row>
    <row r="10" spans="1:43">
      <c r="A10" s="114"/>
      <c r="B10" s="3" t="s">
        <v>35</v>
      </c>
      <c r="C10" s="37" t="s">
        <v>68</v>
      </c>
      <c r="D10" s="33">
        <v>1000</v>
      </c>
      <c r="E10" s="42">
        <v>1</v>
      </c>
      <c r="F10" s="31">
        <v>20000</v>
      </c>
      <c r="G10" s="26">
        <f t="shared" si="0"/>
        <v>22</v>
      </c>
      <c r="H10" s="22"/>
      <c r="I10" s="18" t="s">
        <v>35</v>
      </c>
      <c r="J10" s="9"/>
      <c r="K10" s="27">
        <v>1</v>
      </c>
      <c r="L10" s="9"/>
      <c r="M10" s="27">
        <v>1</v>
      </c>
      <c r="N10" s="9"/>
      <c r="O10" s="27">
        <v>1</v>
      </c>
      <c r="P10" s="9"/>
      <c r="Q10" s="27">
        <v>1</v>
      </c>
      <c r="R10" s="9"/>
      <c r="S10" s="27">
        <v>1</v>
      </c>
      <c r="T10" s="9"/>
      <c r="U10" s="27">
        <v>1</v>
      </c>
      <c r="V10" s="9"/>
      <c r="W10" s="27">
        <v>1</v>
      </c>
      <c r="X10" s="9"/>
      <c r="Y10" s="27">
        <v>1</v>
      </c>
      <c r="Z10" s="9"/>
      <c r="AA10" s="27">
        <v>1</v>
      </c>
      <c r="AB10" s="9"/>
      <c r="AC10" s="27">
        <v>1</v>
      </c>
      <c r="AD10" s="9"/>
      <c r="AE10" s="27">
        <v>1</v>
      </c>
      <c r="AF10" s="9"/>
      <c r="AG10" s="27">
        <v>1</v>
      </c>
      <c r="AH10" s="9"/>
      <c r="AI10" s="27">
        <v>1</v>
      </c>
      <c r="AJ10" s="9"/>
      <c r="AK10" s="27">
        <v>1</v>
      </c>
      <c r="AL10" s="9"/>
      <c r="AM10" s="27">
        <v>1</v>
      </c>
      <c r="AN10" s="9"/>
      <c r="AO10" s="27">
        <v>1</v>
      </c>
      <c r="AP10" s="9"/>
      <c r="AQ10" s="27">
        <v>1</v>
      </c>
    </row>
    <row r="11" spans="1:43">
      <c r="A11" s="114"/>
      <c r="B11" s="3" t="s">
        <v>14</v>
      </c>
      <c r="C11" s="37" t="s">
        <v>68</v>
      </c>
      <c r="D11" s="33">
        <v>1000</v>
      </c>
      <c r="E11" s="42">
        <v>1</v>
      </c>
      <c r="F11" s="31">
        <v>18000</v>
      </c>
      <c r="G11" s="56">
        <f t="shared" si="0"/>
        <v>19.8</v>
      </c>
      <c r="H11" s="22"/>
      <c r="I11" s="18" t="s">
        <v>14</v>
      </c>
      <c r="J11" s="9">
        <v>1</v>
      </c>
      <c r="K11" s="27">
        <v>1</v>
      </c>
      <c r="L11" s="9">
        <v>1</v>
      </c>
      <c r="M11" s="27">
        <v>1</v>
      </c>
      <c r="N11" s="9">
        <v>1</v>
      </c>
      <c r="O11" s="27">
        <v>1</v>
      </c>
      <c r="P11" s="9">
        <v>1</v>
      </c>
      <c r="Q11" s="27">
        <v>1</v>
      </c>
      <c r="R11" s="9">
        <v>1</v>
      </c>
      <c r="S11" s="27">
        <v>1</v>
      </c>
      <c r="T11" s="9">
        <v>1</v>
      </c>
      <c r="U11" s="27">
        <v>1</v>
      </c>
      <c r="V11" s="9">
        <v>1</v>
      </c>
      <c r="W11" s="27">
        <v>1</v>
      </c>
      <c r="X11" s="9">
        <v>1</v>
      </c>
      <c r="Y11" s="27">
        <v>1</v>
      </c>
      <c r="Z11" s="9">
        <v>1</v>
      </c>
      <c r="AA11" s="27">
        <v>1</v>
      </c>
      <c r="AB11" s="9">
        <v>1</v>
      </c>
      <c r="AC11" s="27">
        <v>1</v>
      </c>
      <c r="AD11" s="9">
        <v>1</v>
      </c>
      <c r="AE11" s="27">
        <v>1</v>
      </c>
      <c r="AF11" s="9">
        <v>1</v>
      </c>
      <c r="AG11" s="27">
        <v>1</v>
      </c>
      <c r="AH11" s="9">
        <v>1</v>
      </c>
      <c r="AI11" s="27">
        <v>1</v>
      </c>
      <c r="AJ11" s="9">
        <v>1</v>
      </c>
      <c r="AK11" s="27">
        <v>1</v>
      </c>
      <c r="AL11" s="9">
        <v>1</v>
      </c>
      <c r="AM11" s="27">
        <v>1</v>
      </c>
      <c r="AN11" s="9">
        <v>1</v>
      </c>
      <c r="AO11" s="27">
        <v>1</v>
      </c>
      <c r="AP11" s="9">
        <v>1</v>
      </c>
      <c r="AQ11" s="27">
        <v>1</v>
      </c>
    </row>
    <row r="12" spans="1:43">
      <c r="A12" s="114"/>
      <c r="B12" s="3" t="s">
        <v>36</v>
      </c>
      <c r="C12" s="37" t="s">
        <v>68</v>
      </c>
      <c r="D12" s="33">
        <v>10000</v>
      </c>
      <c r="E12" s="42">
        <v>1</v>
      </c>
      <c r="F12" s="31">
        <v>69000</v>
      </c>
      <c r="G12" s="26">
        <f t="shared" si="0"/>
        <v>7.5900000000000007</v>
      </c>
      <c r="H12" s="22"/>
      <c r="I12" s="18" t="s">
        <v>36</v>
      </c>
      <c r="J12" s="9"/>
      <c r="K12" s="27"/>
      <c r="L12" s="9"/>
      <c r="M12" s="27"/>
      <c r="N12" s="9"/>
      <c r="O12" s="27"/>
      <c r="P12" s="9"/>
      <c r="Q12" s="27"/>
      <c r="R12" s="9"/>
      <c r="S12" s="27"/>
      <c r="T12" s="9"/>
      <c r="U12" s="27"/>
      <c r="V12" s="9"/>
      <c r="W12" s="27"/>
      <c r="X12" s="9"/>
      <c r="Y12" s="27"/>
      <c r="Z12" s="9"/>
      <c r="AA12" s="27"/>
      <c r="AB12" s="9"/>
      <c r="AC12" s="27"/>
      <c r="AD12" s="9"/>
      <c r="AE12" s="27"/>
      <c r="AF12" s="9"/>
      <c r="AG12" s="27"/>
      <c r="AH12" s="9"/>
      <c r="AI12" s="27"/>
      <c r="AJ12" s="9"/>
      <c r="AK12" s="27"/>
      <c r="AL12" s="9"/>
      <c r="AM12" s="27"/>
      <c r="AN12" s="9"/>
      <c r="AO12" s="27"/>
      <c r="AP12" s="9"/>
      <c r="AQ12" s="27"/>
    </row>
    <row r="13" spans="1:43">
      <c r="A13" s="114"/>
      <c r="B13" s="3" t="s">
        <v>37</v>
      </c>
      <c r="C13" s="37" t="s">
        <v>68</v>
      </c>
      <c r="D13" s="33">
        <v>3200</v>
      </c>
      <c r="E13" s="42">
        <v>1</v>
      </c>
      <c r="F13" s="31">
        <v>71000</v>
      </c>
      <c r="G13" s="56">
        <f t="shared" si="0"/>
        <v>24.406250000000004</v>
      </c>
      <c r="H13" s="22"/>
      <c r="I13" s="18" t="s">
        <v>37</v>
      </c>
      <c r="J13" s="9">
        <v>1</v>
      </c>
      <c r="K13" s="27"/>
      <c r="L13" s="9">
        <v>1</v>
      </c>
      <c r="M13" s="27"/>
      <c r="N13" s="9">
        <v>1</v>
      </c>
      <c r="O13" s="27"/>
      <c r="P13" s="9">
        <v>1</v>
      </c>
      <c r="Q13" s="27"/>
      <c r="R13" s="9">
        <v>1</v>
      </c>
      <c r="S13" s="27"/>
      <c r="T13" s="9">
        <v>1</v>
      </c>
      <c r="U13" s="27"/>
      <c r="V13" s="9">
        <v>1</v>
      </c>
      <c r="W13" s="27"/>
      <c r="X13" s="9">
        <v>1</v>
      </c>
      <c r="Y13" s="27"/>
      <c r="Z13" s="9">
        <v>1</v>
      </c>
      <c r="AA13" s="27"/>
      <c r="AB13" s="9">
        <v>1</v>
      </c>
      <c r="AC13" s="27"/>
      <c r="AD13" s="9">
        <v>1</v>
      </c>
      <c r="AE13" s="27"/>
      <c r="AF13" s="9">
        <v>1</v>
      </c>
      <c r="AG13" s="27"/>
      <c r="AH13" s="9">
        <v>1</v>
      </c>
      <c r="AI13" s="27"/>
      <c r="AJ13" s="9">
        <v>1</v>
      </c>
      <c r="AK13" s="27"/>
      <c r="AL13" s="9">
        <v>1</v>
      </c>
      <c r="AM13" s="27"/>
      <c r="AN13" s="9">
        <v>1</v>
      </c>
      <c r="AO13" s="27"/>
      <c r="AP13" s="9">
        <v>1</v>
      </c>
      <c r="AQ13" s="27"/>
    </row>
    <row r="14" spans="1:43">
      <c r="A14" s="114"/>
      <c r="B14" s="3" t="s">
        <v>38</v>
      </c>
      <c r="C14" s="37" t="s">
        <v>68</v>
      </c>
      <c r="D14" s="33">
        <v>10000</v>
      </c>
      <c r="E14" s="42">
        <v>1</v>
      </c>
      <c r="F14" s="31">
        <v>72000</v>
      </c>
      <c r="G14" s="26">
        <f t="shared" si="0"/>
        <v>7.9200000000000008</v>
      </c>
      <c r="H14" s="22"/>
      <c r="I14" s="18" t="s">
        <v>38</v>
      </c>
      <c r="J14" s="9"/>
      <c r="K14" s="27"/>
      <c r="L14" s="9"/>
      <c r="M14" s="27"/>
      <c r="N14" s="9"/>
      <c r="O14" s="27"/>
      <c r="P14" s="9"/>
      <c r="Q14" s="27"/>
      <c r="R14" s="9"/>
      <c r="S14" s="27"/>
      <c r="T14" s="9"/>
      <c r="U14" s="27"/>
      <c r="V14" s="9"/>
      <c r="W14" s="27"/>
      <c r="X14" s="9"/>
      <c r="Y14" s="27"/>
      <c r="Z14" s="9"/>
      <c r="AA14" s="27"/>
      <c r="AB14" s="9"/>
      <c r="AC14" s="27"/>
      <c r="AD14" s="9"/>
      <c r="AE14" s="27"/>
      <c r="AF14" s="9"/>
      <c r="AG14" s="27"/>
      <c r="AH14" s="9"/>
      <c r="AI14" s="27"/>
      <c r="AJ14" s="9"/>
      <c r="AK14" s="27"/>
      <c r="AL14" s="9"/>
      <c r="AM14" s="27"/>
      <c r="AN14" s="9"/>
      <c r="AO14" s="27"/>
      <c r="AP14" s="9"/>
      <c r="AQ14" s="27"/>
    </row>
    <row r="15" spans="1:43">
      <c r="A15" s="114"/>
      <c r="B15" s="3" t="s">
        <v>39</v>
      </c>
      <c r="C15" s="37" t="s">
        <v>68</v>
      </c>
      <c r="D15" s="33">
        <v>3200</v>
      </c>
      <c r="E15" s="42">
        <v>1</v>
      </c>
      <c r="F15" s="31">
        <v>73000</v>
      </c>
      <c r="G15" s="56">
        <f t="shared" si="0"/>
        <v>25.093750000000004</v>
      </c>
      <c r="H15" s="22"/>
      <c r="I15" s="18" t="s">
        <v>39</v>
      </c>
      <c r="J15" s="9"/>
      <c r="K15" s="27">
        <v>1</v>
      </c>
      <c r="L15" s="9"/>
      <c r="M15" s="27">
        <v>1</v>
      </c>
      <c r="N15" s="9"/>
      <c r="O15" s="27">
        <v>1</v>
      </c>
      <c r="P15" s="9"/>
      <c r="Q15" s="27">
        <v>1</v>
      </c>
      <c r="R15" s="9"/>
      <c r="S15" s="27">
        <v>1</v>
      </c>
      <c r="T15" s="9"/>
      <c r="U15" s="27">
        <v>1</v>
      </c>
      <c r="V15" s="9"/>
      <c r="W15" s="27">
        <v>1</v>
      </c>
      <c r="X15" s="9"/>
      <c r="Y15" s="27">
        <v>1</v>
      </c>
      <c r="Z15" s="9"/>
      <c r="AA15" s="27">
        <v>1</v>
      </c>
      <c r="AB15" s="9"/>
      <c r="AC15" s="27">
        <v>1</v>
      </c>
      <c r="AD15" s="9"/>
      <c r="AE15" s="27">
        <v>1</v>
      </c>
      <c r="AF15" s="9"/>
      <c r="AG15" s="27">
        <v>1</v>
      </c>
      <c r="AH15" s="9"/>
      <c r="AI15" s="27">
        <v>1</v>
      </c>
      <c r="AJ15" s="9"/>
      <c r="AK15" s="27">
        <v>1</v>
      </c>
      <c r="AL15" s="9"/>
      <c r="AM15" s="27">
        <v>1</v>
      </c>
      <c r="AN15" s="9"/>
      <c r="AO15" s="27">
        <v>1</v>
      </c>
      <c r="AP15" s="9"/>
      <c r="AQ15" s="27">
        <v>1</v>
      </c>
    </row>
    <row r="16" spans="1:43" ht="17.25" thickBot="1">
      <c r="A16" s="113"/>
      <c r="B16" s="5" t="s">
        <v>40</v>
      </c>
      <c r="C16" s="39" t="s">
        <v>68</v>
      </c>
      <c r="D16" s="34">
        <v>10000</v>
      </c>
      <c r="E16" s="43">
        <v>1</v>
      </c>
      <c r="F16" s="32">
        <v>68000</v>
      </c>
      <c r="G16" s="26">
        <f t="shared" si="0"/>
        <v>7.48</v>
      </c>
      <c r="H16" s="22"/>
      <c r="I16" s="21" t="s">
        <v>40</v>
      </c>
      <c r="J16" s="51"/>
      <c r="K16" s="49"/>
      <c r="L16" s="51"/>
      <c r="M16" s="49"/>
      <c r="N16" s="51"/>
      <c r="O16" s="49"/>
      <c r="P16" s="51"/>
      <c r="Q16" s="49"/>
      <c r="R16" s="51"/>
      <c r="S16" s="49"/>
      <c r="T16" s="51"/>
      <c r="U16" s="49"/>
      <c r="V16" s="51"/>
      <c r="W16" s="49"/>
      <c r="X16" s="51"/>
      <c r="Y16" s="49"/>
      <c r="Z16" s="51"/>
      <c r="AA16" s="49"/>
      <c r="AB16" s="51"/>
      <c r="AC16" s="49"/>
      <c r="AD16" s="51"/>
      <c r="AE16" s="49"/>
      <c r="AF16" s="51"/>
      <c r="AG16" s="49"/>
      <c r="AH16" s="51"/>
      <c r="AI16" s="49"/>
      <c r="AJ16" s="51"/>
      <c r="AK16" s="49"/>
      <c r="AL16" s="51"/>
      <c r="AM16" s="49"/>
      <c r="AN16" s="51"/>
      <c r="AO16" s="49"/>
      <c r="AP16" s="51"/>
      <c r="AQ16" s="49"/>
    </row>
    <row r="17" spans="1:43">
      <c r="A17" s="112" t="s">
        <v>63</v>
      </c>
      <c r="B17" s="6" t="s">
        <v>15</v>
      </c>
      <c r="C17" s="40" t="s">
        <v>70</v>
      </c>
      <c r="D17" s="35">
        <v>1500</v>
      </c>
      <c r="E17" s="41">
        <v>6</v>
      </c>
      <c r="F17" s="30">
        <v>19200</v>
      </c>
      <c r="G17" s="29">
        <f t="shared" si="0"/>
        <v>2.3466666666666667</v>
      </c>
      <c r="H17" s="17"/>
      <c r="I17" s="20" t="s">
        <v>15</v>
      </c>
      <c r="J17" s="50"/>
      <c r="K17" s="48"/>
      <c r="L17" s="50"/>
      <c r="M17" s="48"/>
      <c r="N17" s="50"/>
      <c r="O17" s="48"/>
      <c r="P17" s="50">
        <v>40</v>
      </c>
      <c r="Q17" s="48">
        <v>50</v>
      </c>
      <c r="R17" s="50"/>
      <c r="S17" s="48"/>
      <c r="T17" s="50">
        <v>40</v>
      </c>
      <c r="U17" s="48">
        <v>50</v>
      </c>
      <c r="V17" s="50"/>
      <c r="W17" s="48"/>
      <c r="X17" s="50"/>
      <c r="Y17" s="48"/>
      <c r="Z17" s="50"/>
      <c r="AA17" s="48"/>
      <c r="AB17" s="50"/>
      <c r="AC17" s="48"/>
      <c r="AD17" s="50"/>
      <c r="AE17" s="48"/>
      <c r="AF17" s="50"/>
      <c r="AG17" s="48"/>
      <c r="AH17" s="10"/>
      <c r="AI17" s="10"/>
      <c r="AJ17" s="50"/>
      <c r="AK17" s="48"/>
      <c r="AL17" s="50"/>
      <c r="AM17" s="48"/>
      <c r="AN17" s="50"/>
      <c r="AO17" s="48"/>
      <c r="AP17" s="50"/>
      <c r="AQ17" s="48"/>
    </row>
    <row r="18" spans="1:43" hidden="1">
      <c r="A18" s="114"/>
      <c r="B18" s="3" t="s">
        <v>16</v>
      </c>
      <c r="C18" s="37" t="s">
        <v>70</v>
      </c>
      <c r="D18" s="33">
        <v>750</v>
      </c>
      <c r="E18" s="42">
        <v>8</v>
      </c>
      <c r="F18" s="85">
        <v>58880</v>
      </c>
      <c r="G18" s="26">
        <f t="shared" si="0"/>
        <v>10.794666666666666</v>
      </c>
      <c r="H18" s="22"/>
      <c r="I18" s="18" t="s">
        <v>16</v>
      </c>
      <c r="J18" s="9"/>
      <c r="K18" s="27"/>
      <c r="L18" s="9"/>
      <c r="M18" s="27"/>
      <c r="N18" s="9"/>
      <c r="O18" s="27"/>
      <c r="P18" s="9"/>
      <c r="Q18" s="27"/>
      <c r="R18" s="9"/>
      <c r="S18" s="27"/>
      <c r="T18" s="9"/>
      <c r="U18" s="27"/>
      <c r="V18" s="9"/>
      <c r="W18" s="27"/>
      <c r="X18" s="9"/>
      <c r="Y18" s="27"/>
      <c r="Z18" s="9"/>
      <c r="AA18" s="27"/>
      <c r="AB18" s="9"/>
      <c r="AC18" s="27"/>
      <c r="AD18" s="9"/>
      <c r="AE18" s="27"/>
      <c r="AF18" s="9"/>
      <c r="AG18" s="27"/>
      <c r="AH18" s="2"/>
      <c r="AI18" s="2"/>
      <c r="AJ18" s="9"/>
      <c r="AK18" s="27"/>
      <c r="AL18" s="9"/>
      <c r="AM18" s="27"/>
      <c r="AN18" s="9"/>
      <c r="AO18" s="27"/>
      <c r="AP18" s="9"/>
      <c r="AQ18" s="27"/>
    </row>
    <row r="19" spans="1:43" hidden="1">
      <c r="A19" s="114"/>
      <c r="B19" s="3" t="s">
        <v>52</v>
      </c>
      <c r="C19" s="37" t="s">
        <v>70</v>
      </c>
      <c r="D19" s="33">
        <v>750</v>
      </c>
      <c r="E19" s="42">
        <v>8</v>
      </c>
      <c r="F19" s="31">
        <v>58880</v>
      </c>
      <c r="G19" s="56">
        <f t="shared" si="0"/>
        <v>10.794666666666666</v>
      </c>
      <c r="H19" s="22"/>
      <c r="I19" s="18" t="s">
        <v>52</v>
      </c>
      <c r="J19" s="9"/>
      <c r="K19" s="27"/>
      <c r="L19" s="9"/>
      <c r="M19" s="27"/>
      <c r="N19" s="9"/>
      <c r="O19" s="27"/>
      <c r="P19" s="9"/>
      <c r="Q19" s="27"/>
      <c r="R19" s="9"/>
      <c r="S19" s="27"/>
      <c r="T19" s="9"/>
      <c r="U19" s="27"/>
      <c r="V19" s="9"/>
      <c r="W19" s="27"/>
      <c r="X19" s="9"/>
      <c r="Y19" s="27"/>
      <c r="Z19" s="9"/>
      <c r="AA19" s="27"/>
      <c r="AB19" s="9"/>
      <c r="AC19" s="27"/>
      <c r="AD19" s="9"/>
      <c r="AE19" s="27"/>
      <c r="AF19" s="9"/>
      <c r="AG19" s="27"/>
      <c r="AH19" s="2"/>
      <c r="AI19" s="2"/>
      <c r="AJ19" s="9"/>
      <c r="AK19" s="27"/>
      <c r="AL19" s="9"/>
      <c r="AM19" s="27"/>
      <c r="AN19" s="9"/>
      <c r="AO19" s="27"/>
      <c r="AP19" s="9"/>
      <c r="AQ19" s="27"/>
    </row>
    <row r="20" spans="1:43">
      <c r="A20" s="114"/>
      <c r="B20" s="3" t="s">
        <v>21</v>
      </c>
      <c r="C20" s="37" t="s">
        <v>70</v>
      </c>
      <c r="D20" s="33">
        <v>1890</v>
      </c>
      <c r="E20" s="42">
        <v>4</v>
      </c>
      <c r="F20" s="31">
        <v>56400</v>
      </c>
      <c r="G20" s="26">
        <f t="shared" si="0"/>
        <v>8.2063492063492074</v>
      </c>
      <c r="H20" s="22"/>
      <c r="I20" s="18" t="s">
        <v>21</v>
      </c>
      <c r="J20" s="9"/>
      <c r="K20" s="27"/>
      <c r="L20" s="9"/>
      <c r="M20" s="27"/>
      <c r="N20" s="9"/>
      <c r="O20" s="27"/>
      <c r="P20" s="9"/>
      <c r="Q20" s="27"/>
      <c r="R20" s="9"/>
      <c r="S20" s="27"/>
      <c r="T20" s="9"/>
      <c r="U20" s="27"/>
      <c r="V20" s="9"/>
      <c r="W20" s="27"/>
      <c r="X20" s="9"/>
      <c r="Y20" s="27"/>
      <c r="Z20" s="9"/>
      <c r="AA20" s="27"/>
      <c r="AB20" s="9"/>
      <c r="AC20" s="27"/>
      <c r="AD20" s="9"/>
      <c r="AE20" s="27"/>
      <c r="AF20" s="9"/>
      <c r="AG20" s="27"/>
      <c r="AH20" s="2"/>
      <c r="AI20" s="2"/>
      <c r="AJ20" s="9">
        <v>40</v>
      </c>
      <c r="AK20" s="27">
        <v>60</v>
      </c>
      <c r="AL20" s="9"/>
      <c r="AM20" s="27"/>
      <c r="AN20" s="9"/>
      <c r="AO20" s="27"/>
      <c r="AP20" s="9"/>
      <c r="AQ20" s="27"/>
    </row>
    <row r="21" spans="1:43" ht="17.25" hidden="1" thickBot="1">
      <c r="A21" s="113"/>
      <c r="B21" s="5" t="s">
        <v>22</v>
      </c>
      <c r="C21" s="39" t="s">
        <v>70</v>
      </c>
      <c r="D21" s="34">
        <v>1890</v>
      </c>
      <c r="E21" s="43">
        <v>4</v>
      </c>
      <c r="F21" s="32">
        <v>60400</v>
      </c>
      <c r="G21" s="56">
        <f t="shared" si="0"/>
        <v>8.7883597883597897</v>
      </c>
      <c r="H21" s="17"/>
      <c r="I21" s="21" t="s">
        <v>22</v>
      </c>
      <c r="J21" s="51"/>
      <c r="K21" s="49"/>
      <c r="L21" s="51"/>
      <c r="M21" s="49"/>
      <c r="N21" s="51"/>
      <c r="O21" s="49"/>
      <c r="P21" s="51"/>
      <c r="Q21" s="49"/>
      <c r="R21" s="51"/>
      <c r="S21" s="49"/>
      <c r="T21" s="51"/>
      <c r="U21" s="49"/>
      <c r="V21" s="51"/>
      <c r="W21" s="49"/>
      <c r="X21" s="51"/>
      <c r="Y21" s="49"/>
      <c r="Z21" s="51"/>
      <c r="AA21" s="49"/>
      <c r="AB21" s="51"/>
      <c r="AC21" s="49"/>
      <c r="AD21" s="51"/>
      <c r="AE21" s="49"/>
      <c r="AF21" s="51"/>
      <c r="AG21" s="49"/>
      <c r="AH21" s="11"/>
      <c r="AI21" s="11"/>
      <c r="AJ21" s="51"/>
      <c r="AK21" s="49"/>
      <c r="AL21" s="51"/>
      <c r="AM21" s="49"/>
      <c r="AN21" s="51"/>
      <c r="AO21" s="49"/>
      <c r="AP21" s="51"/>
      <c r="AQ21" s="49"/>
    </row>
    <row r="22" spans="1:43" hidden="1">
      <c r="A22" s="112" t="s">
        <v>64</v>
      </c>
      <c r="B22" s="6" t="s">
        <v>53</v>
      </c>
      <c r="C22" s="40" t="s">
        <v>69</v>
      </c>
      <c r="D22" s="35">
        <v>907</v>
      </c>
      <c r="E22" s="41">
        <v>12</v>
      </c>
      <c r="F22" s="30">
        <v>92400</v>
      </c>
      <c r="G22" s="57">
        <f t="shared" si="0"/>
        <v>9.33847850055127</v>
      </c>
      <c r="H22" s="22"/>
      <c r="I22" s="20" t="s">
        <v>53</v>
      </c>
      <c r="J22" s="50"/>
      <c r="K22" s="48"/>
      <c r="L22" s="50"/>
      <c r="M22" s="48"/>
      <c r="N22" s="50"/>
      <c r="O22" s="48"/>
      <c r="P22" s="50"/>
      <c r="Q22" s="48"/>
      <c r="R22" s="50"/>
      <c r="S22" s="48"/>
      <c r="T22" s="50"/>
      <c r="U22" s="48"/>
      <c r="V22" s="50"/>
      <c r="W22" s="48"/>
      <c r="X22" s="50"/>
      <c r="Y22" s="48"/>
      <c r="Z22" s="50"/>
      <c r="AA22" s="48"/>
      <c r="AB22" s="50"/>
      <c r="AC22" s="48"/>
      <c r="AD22" s="50"/>
      <c r="AE22" s="48"/>
      <c r="AF22" s="50"/>
      <c r="AG22" s="48"/>
      <c r="AH22" s="10"/>
      <c r="AI22" s="10"/>
      <c r="AJ22" s="50"/>
      <c r="AK22" s="48"/>
      <c r="AL22" s="50"/>
      <c r="AM22" s="48"/>
      <c r="AN22" s="50"/>
      <c r="AO22" s="48"/>
      <c r="AP22" s="50"/>
      <c r="AQ22" s="48"/>
    </row>
    <row r="23" spans="1:43" hidden="1">
      <c r="A23" s="114"/>
      <c r="B23" s="3" t="s">
        <v>56</v>
      </c>
      <c r="C23" s="37" t="s">
        <v>69</v>
      </c>
      <c r="D23" s="33">
        <v>800</v>
      </c>
      <c r="E23" s="42">
        <v>12</v>
      </c>
      <c r="F23" s="31">
        <v>92400</v>
      </c>
      <c r="G23" s="56">
        <f t="shared" si="0"/>
        <v>10.5875</v>
      </c>
      <c r="H23" s="22"/>
      <c r="I23" s="18" t="s">
        <v>56</v>
      </c>
      <c r="J23" s="9"/>
      <c r="K23" s="27"/>
      <c r="L23" s="9"/>
      <c r="M23" s="27"/>
      <c r="N23" s="9"/>
      <c r="O23" s="27"/>
      <c r="P23" s="9"/>
      <c r="Q23" s="27"/>
      <c r="R23" s="9"/>
      <c r="S23" s="27"/>
      <c r="T23" s="9"/>
      <c r="U23" s="27"/>
      <c r="V23" s="9"/>
      <c r="W23" s="27"/>
      <c r="X23" s="9"/>
      <c r="Y23" s="27"/>
      <c r="Z23" s="9"/>
      <c r="AA23" s="27"/>
      <c r="AB23" s="9"/>
      <c r="AC23" s="27"/>
      <c r="AD23" s="9"/>
      <c r="AE23" s="27"/>
      <c r="AF23" s="9"/>
      <c r="AG23" s="27"/>
      <c r="AH23" s="2"/>
      <c r="AI23" s="2"/>
      <c r="AJ23" s="9"/>
      <c r="AK23" s="27"/>
      <c r="AL23" s="9"/>
      <c r="AM23" s="27"/>
      <c r="AN23" s="9"/>
      <c r="AO23" s="27"/>
      <c r="AP23" s="9"/>
      <c r="AQ23" s="27"/>
    </row>
    <row r="24" spans="1:43">
      <c r="A24" s="114"/>
      <c r="B24" s="3" t="s">
        <v>57</v>
      </c>
      <c r="C24" s="37" t="s">
        <v>69</v>
      </c>
      <c r="D24" s="33">
        <v>800</v>
      </c>
      <c r="E24" s="42">
        <v>12</v>
      </c>
      <c r="F24" s="31">
        <v>74400</v>
      </c>
      <c r="G24" s="26">
        <f t="shared" si="0"/>
        <v>8.5250000000000004</v>
      </c>
      <c r="H24" s="22"/>
      <c r="I24" s="18" t="s">
        <v>57</v>
      </c>
      <c r="J24" s="9"/>
      <c r="K24" s="27"/>
      <c r="L24" s="9"/>
      <c r="M24" s="27"/>
      <c r="N24" s="9"/>
      <c r="O24" s="27"/>
      <c r="P24" s="9"/>
      <c r="Q24" s="27"/>
      <c r="R24" s="9"/>
      <c r="S24" s="27"/>
      <c r="T24" s="9"/>
      <c r="U24" s="27"/>
      <c r="V24" s="9"/>
      <c r="W24" s="27"/>
      <c r="X24" s="9"/>
      <c r="Y24" s="27"/>
      <c r="Z24" s="9"/>
      <c r="AA24" s="27"/>
      <c r="AB24" s="9"/>
      <c r="AC24" s="27"/>
      <c r="AD24" s="9"/>
      <c r="AE24" s="27"/>
      <c r="AF24" s="9"/>
      <c r="AG24" s="27"/>
      <c r="AH24" s="2"/>
      <c r="AI24" s="2"/>
      <c r="AJ24" s="9">
        <v>40</v>
      </c>
      <c r="AK24" s="27">
        <v>60</v>
      </c>
      <c r="AL24" s="9"/>
      <c r="AM24" s="27"/>
      <c r="AN24" s="9"/>
      <c r="AO24" s="27"/>
      <c r="AP24" s="9"/>
      <c r="AQ24" s="27"/>
    </row>
    <row r="25" spans="1:43">
      <c r="A25" s="114"/>
      <c r="B25" s="3" t="s">
        <v>55</v>
      </c>
      <c r="C25" s="37" t="s">
        <v>69</v>
      </c>
      <c r="D25" s="33">
        <v>1000</v>
      </c>
      <c r="E25" s="42">
        <v>12</v>
      </c>
      <c r="F25" s="31">
        <v>87000</v>
      </c>
      <c r="G25" s="56">
        <f t="shared" si="0"/>
        <v>7.9750000000000005</v>
      </c>
      <c r="H25" s="22"/>
      <c r="I25" s="18" t="s">
        <v>55</v>
      </c>
      <c r="J25" s="9"/>
      <c r="K25" s="27"/>
      <c r="L25" s="9"/>
      <c r="M25" s="27"/>
      <c r="N25" s="9"/>
      <c r="O25" s="27"/>
      <c r="P25" s="9"/>
      <c r="Q25" s="27"/>
      <c r="R25" s="9"/>
      <c r="S25" s="27"/>
      <c r="T25" s="9"/>
      <c r="U25" s="27"/>
      <c r="V25" s="9"/>
      <c r="W25" s="27"/>
      <c r="X25" s="9">
        <v>100</v>
      </c>
      <c r="Y25" s="27">
        <v>100</v>
      </c>
      <c r="Z25" s="9">
        <v>40</v>
      </c>
      <c r="AA25" s="27">
        <v>40</v>
      </c>
      <c r="AB25" s="9">
        <v>40</v>
      </c>
      <c r="AC25" s="27">
        <v>40</v>
      </c>
      <c r="AD25" s="9">
        <v>40</v>
      </c>
      <c r="AE25" s="27">
        <v>40</v>
      </c>
      <c r="AF25" s="9">
        <v>70</v>
      </c>
      <c r="AG25" s="27">
        <v>80</v>
      </c>
      <c r="AH25" s="2">
        <v>30</v>
      </c>
      <c r="AI25" s="2">
        <v>40</v>
      </c>
      <c r="AJ25" s="9"/>
      <c r="AK25" s="27"/>
      <c r="AL25" s="9"/>
      <c r="AM25" s="27"/>
      <c r="AN25" s="9"/>
      <c r="AO25" s="27"/>
      <c r="AP25" s="9"/>
      <c r="AQ25" s="27"/>
    </row>
    <row r="26" spans="1:43">
      <c r="A26" s="114"/>
      <c r="B26" s="3" t="s">
        <v>41</v>
      </c>
      <c r="C26" s="37" t="s">
        <v>69</v>
      </c>
      <c r="D26" s="33">
        <v>1000</v>
      </c>
      <c r="E26" s="42">
        <v>12</v>
      </c>
      <c r="F26" s="31">
        <v>79200</v>
      </c>
      <c r="G26" s="26">
        <f t="shared" si="0"/>
        <v>7.26</v>
      </c>
      <c r="H26" s="22"/>
      <c r="I26" s="18" t="s">
        <v>41</v>
      </c>
      <c r="J26" s="9"/>
      <c r="K26" s="27"/>
      <c r="L26" s="9"/>
      <c r="M26" s="27"/>
      <c r="N26" s="9"/>
      <c r="O26" s="27"/>
      <c r="P26" s="9"/>
      <c r="Q26" s="27"/>
      <c r="R26" s="9"/>
      <c r="S26" s="27"/>
      <c r="T26" s="9"/>
      <c r="U26" s="27"/>
      <c r="V26" s="9"/>
      <c r="W26" s="27"/>
      <c r="X26" s="9"/>
      <c r="Y26" s="27"/>
      <c r="Z26" s="9"/>
      <c r="AA26" s="27"/>
      <c r="AB26" s="9"/>
      <c r="AC26" s="27"/>
      <c r="AD26" s="9"/>
      <c r="AE26" s="27"/>
      <c r="AF26" s="9"/>
      <c r="AG26" s="27"/>
      <c r="AH26" s="2"/>
      <c r="AI26" s="2"/>
      <c r="AJ26" s="9"/>
      <c r="AK26" s="27"/>
      <c r="AL26" s="9"/>
      <c r="AM26" s="27"/>
      <c r="AN26" s="9">
        <v>100</v>
      </c>
      <c r="AO26" s="27">
        <v>150</v>
      </c>
      <c r="AP26" s="9"/>
      <c r="AQ26" s="27"/>
    </row>
    <row r="27" spans="1:43" hidden="1">
      <c r="A27" s="114"/>
      <c r="B27" s="3" t="s">
        <v>45</v>
      </c>
      <c r="C27" s="37" t="s">
        <v>69</v>
      </c>
      <c r="D27" s="33">
        <v>500</v>
      </c>
      <c r="E27" s="42">
        <v>12</v>
      </c>
      <c r="F27" s="31">
        <v>63600</v>
      </c>
      <c r="G27" s="56">
        <f t="shared" si="0"/>
        <v>11.66</v>
      </c>
      <c r="H27" s="22"/>
      <c r="I27" s="18" t="s">
        <v>45</v>
      </c>
      <c r="J27" s="9"/>
      <c r="K27" s="27"/>
      <c r="L27" s="9"/>
      <c r="M27" s="27"/>
      <c r="N27" s="9"/>
      <c r="O27" s="27"/>
      <c r="P27" s="9"/>
      <c r="Q27" s="27"/>
      <c r="R27" s="9"/>
      <c r="S27" s="27"/>
      <c r="T27" s="9"/>
      <c r="U27" s="27"/>
      <c r="V27" s="9"/>
      <c r="W27" s="27"/>
      <c r="X27" s="9"/>
      <c r="Y27" s="27"/>
      <c r="Z27" s="9"/>
      <c r="AA27" s="27"/>
      <c r="AB27" s="9"/>
      <c r="AC27" s="27"/>
      <c r="AD27" s="9"/>
      <c r="AE27" s="27"/>
      <c r="AF27" s="9"/>
      <c r="AG27" s="27"/>
      <c r="AH27" s="2"/>
      <c r="AI27" s="2"/>
      <c r="AJ27" s="9"/>
      <c r="AK27" s="27"/>
      <c r="AL27" s="9"/>
      <c r="AM27" s="27"/>
      <c r="AN27" s="9"/>
      <c r="AO27" s="27"/>
      <c r="AP27" s="9"/>
      <c r="AQ27" s="27"/>
    </row>
    <row r="28" spans="1:43" hidden="1">
      <c r="A28" s="114"/>
      <c r="B28" s="3" t="s">
        <v>47</v>
      </c>
      <c r="C28" s="37" t="s">
        <v>69</v>
      </c>
      <c r="D28" s="33">
        <v>1000</v>
      </c>
      <c r="E28" s="42">
        <v>12</v>
      </c>
      <c r="F28" s="31">
        <v>100800</v>
      </c>
      <c r="G28" s="56">
        <f t="shared" si="0"/>
        <v>9.240000000000002</v>
      </c>
      <c r="H28" s="22"/>
      <c r="I28" s="18" t="s">
        <v>47</v>
      </c>
      <c r="J28" s="9"/>
      <c r="K28" s="27"/>
      <c r="L28" s="9"/>
      <c r="M28" s="27"/>
      <c r="N28" s="9"/>
      <c r="O28" s="27"/>
      <c r="P28" s="9"/>
      <c r="Q28" s="27"/>
      <c r="R28" s="9"/>
      <c r="S28" s="27"/>
      <c r="T28" s="9"/>
      <c r="U28" s="27"/>
      <c r="V28" s="9"/>
      <c r="W28" s="27"/>
      <c r="X28" s="9"/>
      <c r="Y28" s="27"/>
      <c r="Z28" s="9"/>
      <c r="AA28" s="27"/>
      <c r="AB28" s="9"/>
      <c r="AC28" s="27"/>
      <c r="AD28" s="9"/>
      <c r="AE28" s="27"/>
      <c r="AF28" s="9"/>
      <c r="AG28" s="27"/>
      <c r="AH28" s="2"/>
      <c r="AI28" s="2"/>
      <c r="AJ28" s="9"/>
      <c r="AK28" s="27"/>
      <c r="AL28" s="9"/>
      <c r="AM28" s="27"/>
      <c r="AN28" s="9"/>
      <c r="AO28" s="27"/>
      <c r="AP28" s="9"/>
      <c r="AQ28" s="27"/>
    </row>
    <row r="29" spans="1:43" ht="17.25" thickBot="1">
      <c r="A29" s="114"/>
      <c r="B29" s="3" t="s">
        <v>48</v>
      </c>
      <c r="C29" s="37" t="s">
        <v>69</v>
      </c>
      <c r="D29" s="33">
        <v>800</v>
      </c>
      <c r="E29" s="42">
        <v>12</v>
      </c>
      <c r="F29" s="31">
        <v>54000</v>
      </c>
      <c r="G29" s="26">
        <f t="shared" si="0"/>
        <v>6.1875000000000009</v>
      </c>
      <c r="H29" s="22"/>
      <c r="I29" s="18" t="s">
        <v>48</v>
      </c>
      <c r="J29" s="9"/>
      <c r="K29" s="27"/>
      <c r="L29" s="9"/>
      <c r="M29" s="27"/>
      <c r="N29" s="9"/>
      <c r="O29" s="27"/>
      <c r="P29" s="9"/>
      <c r="Q29" s="27"/>
      <c r="R29" s="9"/>
      <c r="S29" s="27"/>
      <c r="T29" s="9"/>
      <c r="U29" s="27"/>
      <c r="V29" s="9"/>
      <c r="W29" s="27"/>
      <c r="X29" s="9"/>
      <c r="Y29" s="27"/>
      <c r="Z29" s="9"/>
      <c r="AA29" s="27"/>
      <c r="AB29" s="9"/>
      <c r="AC29" s="27"/>
      <c r="AD29" s="9"/>
      <c r="AE29" s="27"/>
      <c r="AF29" s="9"/>
      <c r="AG29" s="27"/>
      <c r="AH29" s="2"/>
      <c r="AI29" s="2"/>
      <c r="AJ29" s="9"/>
      <c r="AK29" s="27"/>
      <c r="AL29" s="9">
        <v>70</v>
      </c>
      <c r="AM29" s="27">
        <v>70</v>
      </c>
      <c r="AN29" s="9"/>
      <c r="AO29" s="27"/>
      <c r="AP29" s="9"/>
      <c r="AQ29" s="27"/>
    </row>
    <row r="30" spans="1:43" hidden="1">
      <c r="A30" s="114"/>
      <c r="B30" s="3" t="s">
        <v>61</v>
      </c>
      <c r="C30" s="37" t="s">
        <v>69</v>
      </c>
      <c r="D30" s="33">
        <v>800</v>
      </c>
      <c r="E30" s="42">
        <v>12</v>
      </c>
      <c r="F30" s="31">
        <v>80400</v>
      </c>
      <c r="G30" s="56">
        <f t="shared" si="0"/>
        <v>9.2125000000000004</v>
      </c>
      <c r="H30" s="22"/>
      <c r="I30" s="18" t="s">
        <v>61</v>
      </c>
      <c r="J30" s="9"/>
      <c r="K30" s="27"/>
      <c r="L30" s="9"/>
      <c r="M30" s="27"/>
      <c r="N30" s="9"/>
      <c r="O30" s="27"/>
      <c r="P30" s="9"/>
      <c r="Q30" s="27"/>
      <c r="R30" s="9"/>
      <c r="S30" s="27"/>
      <c r="T30" s="9"/>
      <c r="U30" s="27"/>
      <c r="V30" s="9"/>
      <c r="W30" s="27"/>
      <c r="X30" s="9"/>
      <c r="Y30" s="27"/>
      <c r="Z30" s="9"/>
      <c r="AA30" s="27"/>
      <c r="AB30" s="9"/>
      <c r="AC30" s="27"/>
      <c r="AD30" s="9"/>
      <c r="AE30" s="27"/>
      <c r="AF30" s="9"/>
      <c r="AG30" s="27"/>
      <c r="AH30" s="2"/>
      <c r="AI30" s="2"/>
      <c r="AJ30" s="9"/>
      <c r="AK30" s="27"/>
      <c r="AL30" s="9"/>
      <c r="AM30" s="27"/>
      <c r="AN30" s="9"/>
      <c r="AO30" s="27"/>
      <c r="AP30" s="9"/>
      <c r="AQ30" s="27"/>
    </row>
    <row r="31" spans="1:43" ht="17.25" hidden="1" thickBot="1">
      <c r="A31" s="113"/>
      <c r="B31" s="5" t="s">
        <v>20</v>
      </c>
      <c r="C31" s="39" t="s">
        <v>69</v>
      </c>
      <c r="D31" s="34">
        <v>500</v>
      </c>
      <c r="E31" s="43">
        <v>6</v>
      </c>
      <c r="F31" s="32">
        <v>39600</v>
      </c>
      <c r="G31" s="26">
        <f t="shared" si="0"/>
        <v>14.52</v>
      </c>
      <c r="H31" s="22"/>
      <c r="I31" s="21" t="s">
        <v>20</v>
      </c>
      <c r="J31" s="51"/>
      <c r="K31" s="49"/>
      <c r="L31" s="51"/>
      <c r="M31" s="49"/>
      <c r="N31" s="51"/>
      <c r="O31" s="49"/>
      <c r="P31" s="51"/>
      <c r="Q31" s="49"/>
      <c r="R31" s="51"/>
      <c r="S31" s="49"/>
      <c r="T31" s="51"/>
      <c r="U31" s="49"/>
      <c r="V31" s="51"/>
      <c r="W31" s="49"/>
      <c r="X31" s="51"/>
      <c r="Y31" s="49"/>
      <c r="Z31" s="51"/>
      <c r="AA31" s="49"/>
      <c r="AB31" s="51"/>
      <c r="AC31" s="49"/>
      <c r="AD31" s="51"/>
      <c r="AE31" s="49"/>
      <c r="AF31" s="51"/>
      <c r="AG31" s="49"/>
      <c r="AH31" s="11"/>
      <c r="AI31" s="11"/>
      <c r="AJ31" s="51"/>
      <c r="AK31" s="49"/>
      <c r="AL31" s="51"/>
      <c r="AM31" s="49"/>
      <c r="AN31" s="51"/>
      <c r="AO31" s="49"/>
      <c r="AP31" s="51"/>
      <c r="AQ31" s="49"/>
    </row>
    <row r="32" spans="1:43">
      <c r="A32" s="112" t="s">
        <v>71</v>
      </c>
      <c r="B32" s="6" t="s">
        <v>42</v>
      </c>
      <c r="C32" s="40" t="s">
        <v>69</v>
      </c>
      <c r="D32" s="35">
        <v>1500</v>
      </c>
      <c r="E32" s="41">
        <v>6</v>
      </c>
      <c r="F32" s="30">
        <v>87000</v>
      </c>
      <c r="G32" s="57">
        <f t="shared" si="0"/>
        <v>10.633333333333333</v>
      </c>
      <c r="H32" s="17"/>
      <c r="I32" s="20" t="s">
        <v>42</v>
      </c>
      <c r="J32" s="50"/>
      <c r="K32" s="48"/>
      <c r="L32" s="50"/>
      <c r="M32" s="48"/>
      <c r="N32" s="50"/>
      <c r="O32" s="48"/>
      <c r="P32" s="50"/>
      <c r="Q32" s="48"/>
      <c r="R32" s="50"/>
      <c r="S32" s="48"/>
      <c r="T32" s="50">
        <v>100</v>
      </c>
      <c r="U32" s="48">
        <v>110</v>
      </c>
      <c r="V32" s="50"/>
      <c r="W32" s="48"/>
      <c r="X32" s="50"/>
      <c r="Y32" s="48"/>
      <c r="Z32" s="50"/>
      <c r="AA32" s="48"/>
      <c r="AB32" s="50"/>
      <c r="AC32" s="48"/>
      <c r="AD32" s="50"/>
      <c r="AE32" s="48"/>
      <c r="AF32" s="50"/>
      <c r="AG32" s="48"/>
      <c r="AH32" s="10"/>
      <c r="AI32" s="10"/>
      <c r="AJ32" s="50"/>
      <c r="AK32" s="48"/>
      <c r="AL32" s="50"/>
      <c r="AM32" s="48"/>
      <c r="AN32" s="50"/>
      <c r="AO32" s="48"/>
      <c r="AP32" s="50"/>
      <c r="AQ32" s="48"/>
    </row>
    <row r="33" spans="1:43">
      <c r="A33" s="114"/>
      <c r="B33" s="3" t="s">
        <v>43</v>
      </c>
      <c r="C33" s="37" t="s">
        <v>69</v>
      </c>
      <c r="D33" s="33">
        <v>1500</v>
      </c>
      <c r="E33" s="42">
        <v>6</v>
      </c>
      <c r="F33" s="31">
        <v>66000</v>
      </c>
      <c r="G33" s="26">
        <f t="shared" si="0"/>
        <v>8.0666666666666664</v>
      </c>
      <c r="H33" s="22"/>
      <c r="I33" s="18" t="s">
        <v>43</v>
      </c>
      <c r="J33" s="9"/>
      <c r="K33" s="27"/>
      <c r="L33" s="9"/>
      <c r="M33" s="27"/>
      <c r="N33" s="9"/>
      <c r="O33" s="27"/>
      <c r="P33" s="9"/>
      <c r="Q33" s="27"/>
      <c r="R33" s="9">
        <v>100</v>
      </c>
      <c r="S33" s="27">
        <v>110</v>
      </c>
      <c r="T33" s="9"/>
      <c r="U33" s="27"/>
      <c r="V33" s="9"/>
      <c r="W33" s="27"/>
      <c r="X33" s="9"/>
      <c r="Y33" s="27"/>
      <c r="Z33" s="9"/>
      <c r="AA33" s="27"/>
      <c r="AB33" s="9"/>
      <c r="AC33" s="27"/>
      <c r="AD33" s="9"/>
      <c r="AE33" s="27"/>
      <c r="AF33" s="9"/>
      <c r="AG33" s="27"/>
      <c r="AH33" s="2"/>
      <c r="AI33" s="2"/>
      <c r="AJ33" s="9"/>
      <c r="AK33" s="27"/>
      <c r="AL33" s="9"/>
      <c r="AM33" s="27"/>
      <c r="AN33" s="9"/>
      <c r="AO33" s="27"/>
      <c r="AP33" s="9"/>
      <c r="AQ33" s="27"/>
    </row>
    <row r="34" spans="1:43">
      <c r="A34" s="114"/>
      <c r="B34" s="3" t="s">
        <v>54</v>
      </c>
      <c r="C34" s="37" t="s">
        <v>69</v>
      </c>
      <c r="D34" s="33">
        <v>1800</v>
      </c>
      <c r="E34" s="42">
        <v>6</v>
      </c>
      <c r="F34" s="31">
        <v>42000</v>
      </c>
      <c r="G34" s="26">
        <f t="shared" si="0"/>
        <v>4.2777777777777777</v>
      </c>
      <c r="H34" s="22"/>
      <c r="I34" s="18" t="s">
        <v>54</v>
      </c>
      <c r="J34" s="9"/>
      <c r="K34" s="27"/>
      <c r="L34" s="9"/>
      <c r="M34" s="27"/>
      <c r="N34" s="9"/>
      <c r="O34" s="27"/>
      <c r="P34" s="9"/>
      <c r="Q34" s="27"/>
      <c r="R34" s="9"/>
      <c r="S34" s="27"/>
      <c r="T34" s="9"/>
      <c r="U34" s="27"/>
      <c r="V34" s="9"/>
      <c r="W34" s="27"/>
      <c r="X34" s="9"/>
      <c r="Y34" s="27"/>
      <c r="Z34" s="9"/>
      <c r="AA34" s="27"/>
      <c r="AB34" s="9"/>
      <c r="AC34" s="27"/>
      <c r="AD34" s="9"/>
      <c r="AE34" s="27"/>
      <c r="AF34" s="9"/>
      <c r="AG34" s="27"/>
      <c r="AH34" s="2">
        <v>110</v>
      </c>
      <c r="AI34" s="2">
        <v>130</v>
      </c>
      <c r="AJ34" s="9"/>
      <c r="AK34" s="27"/>
      <c r="AL34" s="9"/>
      <c r="AM34" s="27"/>
      <c r="AN34" s="9"/>
      <c r="AO34" s="27"/>
      <c r="AP34" s="9"/>
      <c r="AQ34" s="27"/>
    </row>
    <row r="35" spans="1:43">
      <c r="A35" s="114"/>
      <c r="B35" s="3" t="s">
        <v>44</v>
      </c>
      <c r="C35" s="37" t="s">
        <v>69</v>
      </c>
      <c r="D35" s="33">
        <v>1800</v>
      </c>
      <c r="E35" s="42">
        <v>6</v>
      </c>
      <c r="F35" s="31">
        <v>54000</v>
      </c>
      <c r="G35" s="56">
        <f t="shared" si="0"/>
        <v>5.5</v>
      </c>
      <c r="H35" s="22"/>
      <c r="I35" s="18" t="s">
        <v>44</v>
      </c>
      <c r="J35" s="9"/>
      <c r="K35" s="27"/>
      <c r="L35" s="9"/>
      <c r="M35" s="27"/>
      <c r="N35" s="9"/>
      <c r="O35" s="27"/>
      <c r="P35" s="9"/>
      <c r="Q35" s="27"/>
      <c r="R35" s="9"/>
      <c r="S35" s="27"/>
      <c r="T35" s="9"/>
      <c r="U35" s="27"/>
      <c r="V35" s="9"/>
      <c r="W35" s="27"/>
      <c r="X35" s="9"/>
      <c r="Y35" s="27"/>
      <c r="Z35" s="9"/>
      <c r="AA35" s="27"/>
      <c r="AB35" s="9"/>
      <c r="AC35" s="27"/>
      <c r="AD35" s="9"/>
      <c r="AE35" s="27"/>
      <c r="AF35" s="9"/>
      <c r="AG35" s="27"/>
      <c r="AH35" s="2"/>
      <c r="AI35" s="2"/>
      <c r="AJ35" s="9"/>
      <c r="AK35" s="27"/>
      <c r="AL35" s="9"/>
      <c r="AM35" s="27"/>
      <c r="AN35" s="9"/>
      <c r="AO35" s="27"/>
      <c r="AP35" s="9">
        <v>110</v>
      </c>
      <c r="AQ35" s="27">
        <v>130</v>
      </c>
    </row>
    <row r="36" spans="1:43" hidden="1">
      <c r="A36" s="114"/>
      <c r="B36" s="3" t="s">
        <v>59</v>
      </c>
      <c r="C36" s="37" t="s">
        <v>69</v>
      </c>
      <c r="D36" s="33">
        <v>1000</v>
      </c>
      <c r="E36" s="42">
        <v>12</v>
      </c>
      <c r="F36" s="31">
        <v>63600</v>
      </c>
      <c r="G36" s="56">
        <f t="shared" si="0"/>
        <v>5.83</v>
      </c>
      <c r="H36" s="22"/>
      <c r="I36" s="18" t="s">
        <v>59</v>
      </c>
      <c r="J36" s="9"/>
      <c r="K36" s="27"/>
      <c r="L36" s="9"/>
      <c r="M36" s="27"/>
      <c r="N36" s="9"/>
      <c r="O36" s="27"/>
      <c r="P36" s="9"/>
      <c r="Q36" s="27"/>
      <c r="R36" s="9"/>
      <c r="S36" s="27"/>
      <c r="T36" s="9"/>
      <c r="U36" s="27"/>
      <c r="V36" s="9"/>
      <c r="W36" s="27"/>
      <c r="X36" s="9"/>
      <c r="Y36" s="27"/>
      <c r="Z36" s="9"/>
      <c r="AA36" s="27"/>
      <c r="AB36" s="9"/>
      <c r="AC36" s="27"/>
      <c r="AD36" s="9"/>
      <c r="AE36" s="27"/>
      <c r="AF36" s="9"/>
      <c r="AG36" s="27"/>
      <c r="AH36" s="2"/>
      <c r="AI36" s="2"/>
      <c r="AJ36" s="9"/>
      <c r="AK36" s="27"/>
      <c r="AL36" s="9"/>
      <c r="AM36" s="27"/>
      <c r="AN36" s="9"/>
      <c r="AO36" s="27"/>
      <c r="AP36" s="9"/>
      <c r="AQ36" s="27"/>
    </row>
    <row r="37" spans="1:43">
      <c r="A37" s="114"/>
      <c r="B37" s="3" t="s">
        <v>58</v>
      </c>
      <c r="C37" s="37" t="s">
        <v>69</v>
      </c>
      <c r="D37" s="33">
        <v>1000</v>
      </c>
      <c r="E37" s="42">
        <v>12</v>
      </c>
      <c r="F37" s="31">
        <v>80400</v>
      </c>
      <c r="G37" s="26">
        <f t="shared" si="0"/>
        <v>7.370000000000001</v>
      </c>
      <c r="H37" s="22"/>
      <c r="I37" s="18" t="s">
        <v>58</v>
      </c>
      <c r="J37" s="9"/>
      <c r="K37" s="27"/>
      <c r="L37" s="9"/>
      <c r="M37" s="27"/>
      <c r="N37" s="9"/>
      <c r="O37" s="27"/>
      <c r="P37" s="9"/>
      <c r="Q37" s="27"/>
      <c r="R37" s="9"/>
      <c r="S37" s="27"/>
      <c r="T37" s="9"/>
      <c r="U37" s="27"/>
      <c r="V37" s="9">
        <v>120</v>
      </c>
      <c r="W37" s="27">
        <v>150</v>
      </c>
      <c r="X37" s="9"/>
      <c r="Y37" s="27"/>
      <c r="Z37" s="9"/>
      <c r="AA37" s="27"/>
      <c r="AB37" s="9"/>
      <c r="AC37" s="27"/>
      <c r="AD37" s="9"/>
      <c r="AE37" s="27"/>
      <c r="AF37" s="9"/>
      <c r="AG37" s="27"/>
      <c r="AH37" s="2"/>
      <c r="AI37" s="2"/>
      <c r="AJ37" s="9"/>
      <c r="AK37" s="27"/>
      <c r="AL37" s="9"/>
      <c r="AM37" s="27"/>
      <c r="AN37" s="9"/>
      <c r="AO37" s="27"/>
      <c r="AP37" s="9"/>
      <c r="AQ37" s="27"/>
    </row>
    <row r="38" spans="1:43">
      <c r="A38" s="114"/>
      <c r="B38" s="3" t="s">
        <v>18</v>
      </c>
      <c r="C38" s="37" t="s">
        <v>69</v>
      </c>
      <c r="D38" s="33">
        <v>1800</v>
      </c>
      <c r="E38" s="42">
        <v>6</v>
      </c>
      <c r="F38" s="31">
        <v>41400</v>
      </c>
      <c r="G38" s="26">
        <f t="shared" si="0"/>
        <v>4.2166666666666668</v>
      </c>
      <c r="H38" s="22"/>
      <c r="I38" s="18" t="s">
        <v>18</v>
      </c>
      <c r="J38" s="9"/>
      <c r="K38" s="27"/>
      <c r="L38" s="9"/>
      <c r="M38" s="27"/>
      <c r="N38" s="9"/>
      <c r="O38" s="27"/>
      <c r="P38" s="9"/>
      <c r="Q38" s="27"/>
      <c r="R38" s="9"/>
      <c r="S38" s="27"/>
      <c r="T38" s="9"/>
      <c r="U38" s="27"/>
      <c r="V38" s="9"/>
      <c r="W38" s="27"/>
      <c r="X38" s="9"/>
      <c r="Y38" s="27"/>
      <c r="Z38" s="9"/>
      <c r="AA38" s="27"/>
      <c r="AB38" s="9">
        <v>130</v>
      </c>
      <c r="AC38" s="27">
        <v>150</v>
      </c>
      <c r="AD38" s="9"/>
      <c r="AE38" s="27"/>
      <c r="AF38" s="9"/>
      <c r="AG38" s="27"/>
      <c r="AH38" s="2"/>
      <c r="AI38" s="2"/>
      <c r="AJ38" s="9"/>
      <c r="AK38" s="27"/>
      <c r="AL38" s="9"/>
      <c r="AM38" s="27"/>
      <c r="AN38" s="9"/>
      <c r="AO38" s="27"/>
      <c r="AP38" s="9"/>
      <c r="AQ38" s="27"/>
    </row>
    <row r="39" spans="1:43">
      <c r="A39" s="114"/>
      <c r="B39" s="3" t="s">
        <v>17</v>
      </c>
      <c r="C39" s="37" t="s">
        <v>69</v>
      </c>
      <c r="D39" s="33">
        <v>1800</v>
      </c>
      <c r="E39" s="42">
        <v>6</v>
      </c>
      <c r="F39" s="31">
        <v>41400</v>
      </c>
      <c r="G39" s="56">
        <f t="shared" si="0"/>
        <v>4.2166666666666668</v>
      </c>
      <c r="H39" s="22"/>
      <c r="I39" s="18" t="s">
        <v>17</v>
      </c>
      <c r="J39" s="9">
        <v>130</v>
      </c>
      <c r="K39" s="27">
        <v>130</v>
      </c>
      <c r="L39" s="9">
        <v>130</v>
      </c>
      <c r="M39" s="27">
        <v>130</v>
      </c>
      <c r="N39" s="9">
        <v>130</v>
      </c>
      <c r="O39" s="27">
        <v>130</v>
      </c>
      <c r="P39" s="9"/>
      <c r="Q39" s="27"/>
      <c r="R39" s="9"/>
      <c r="S39" s="27"/>
      <c r="T39" s="9"/>
      <c r="U39" s="27"/>
      <c r="V39" s="9"/>
      <c r="W39" s="27"/>
      <c r="X39" s="9"/>
      <c r="Y39" s="27"/>
      <c r="Z39" s="9">
        <v>130</v>
      </c>
      <c r="AA39" s="27">
        <v>150</v>
      </c>
      <c r="AB39" s="9"/>
      <c r="AC39" s="27"/>
      <c r="AD39" s="9"/>
      <c r="AE39" s="27"/>
      <c r="AF39" s="9"/>
      <c r="AG39" s="27"/>
      <c r="AH39" s="2"/>
      <c r="AI39" s="2"/>
      <c r="AJ39" s="9"/>
      <c r="AK39" s="27"/>
      <c r="AL39" s="9"/>
      <c r="AM39" s="27"/>
      <c r="AN39" s="9"/>
      <c r="AO39" s="27"/>
      <c r="AP39" s="9"/>
      <c r="AQ39" s="27"/>
    </row>
    <row r="40" spans="1:43">
      <c r="A40" s="114"/>
      <c r="B40" s="3" t="s">
        <v>19</v>
      </c>
      <c r="C40" s="37" t="s">
        <v>69</v>
      </c>
      <c r="D40" s="33">
        <v>1800</v>
      </c>
      <c r="E40" s="42">
        <v>6</v>
      </c>
      <c r="F40" s="31">
        <v>40800</v>
      </c>
      <c r="G40" s="26">
        <f t="shared" si="0"/>
        <v>4.1555555555555559</v>
      </c>
      <c r="H40" s="22"/>
      <c r="I40" s="18" t="s">
        <v>19</v>
      </c>
      <c r="J40" s="9"/>
      <c r="K40" s="27"/>
      <c r="L40" s="9"/>
      <c r="M40" s="27"/>
      <c r="N40" s="9"/>
      <c r="O40" s="27"/>
      <c r="P40" s="9"/>
      <c r="Q40" s="27"/>
      <c r="R40" s="9"/>
      <c r="S40" s="27"/>
      <c r="T40" s="9"/>
      <c r="U40" s="27"/>
      <c r="V40" s="9"/>
      <c r="W40" s="27"/>
      <c r="X40" s="9"/>
      <c r="Y40" s="27"/>
      <c r="Z40" s="9"/>
      <c r="AA40" s="27"/>
      <c r="AB40" s="9"/>
      <c r="AC40" s="27"/>
      <c r="AD40" s="9">
        <v>130</v>
      </c>
      <c r="AE40" s="27">
        <v>150</v>
      </c>
      <c r="AF40" s="9"/>
      <c r="AG40" s="27"/>
      <c r="AH40" s="2"/>
      <c r="AI40" s="2"/>
      <c r="AJ40" s="9"/>
      <c r="AK40" s="27"/>
      <c r="AL40" s="9"/>
      <c r="AM40" s="27"/>
      <c r="AN40" s="9"/>
      <c r="AO40" s="27"/>
      <c r="AP40" s="9"/>
      <c r="AQ40" s="27"/>
    </row>
    <row r="41" spans="1:43" hidden="1">
      <c r="A41" s="114"/>
      <c r="B41" s="3" t="s">
        <v>46</v>
      </c>
      <c r="C41" s="37" t="s">
        <v>69</v>
      </c>
      <c r="D41" s="33">
        <v>1000</v>
      </c>
      <c r="E41" s="42">
        <v>12</v>
      </c>
      <c r="F41" s="31">
        <v>94800</v>
      </c>
      <c r="G41" s="56">
        <f t="shared" si="0"/>
        <v>8.6900000000000013</v>
      </c>
      <c r="H41" s="22"/>
      <c r="I41" s="18" t="s">
        <v>46</v>
      </c>
      <c r="J41" s="9"/>
      <c r="K41" s="27"/>
      <c r="L41" s="9"/>
      <c r="M41" s="27"/>
      <c r="N41" s="9"/>
      <c r="O41" s="27"/>
      <c r="P41" s="9"/>
      <c r="Q41" s="27"/>
      <c r="R41" s="9"/>
      <c r="S41" s="27"/>
      <c r="T41" s="9"/>
      <c r="U41" s="27"/>
      <c r="V41" s="9"/>
      <c r="W41" s="27"/>
      <c r="X41" s="9"/>
      <c r="Y41" s="27"/>
      <c r="Z41" s="9"/>
      <c r="AA41" s="27"/>
      <c r="AB41" s="9"/>
      <c r="AC41" s="27"/>
      <c r="AD41" s="9"/>
      <c r="AE41" s="27"/>
      <c r="AF41" s="9"/>
      <c r="AG41" s="27"/>
      <c r="AH41" s="2"/>
      <c r="AI41" s="2"/>
      <c r="AJ41" s="9"/>
      <c r="AK41" s="27"/>
      <c r="AL41" s="9"/>
      <c r="AM41" s="27"/>
      <c r="AN41" s="9"/>
      <c r="AO41" s="27"/>
      <c r="AP41" s="9"/>
      <c r="AQ41" s="27"/>
    </row>
    <row r="42" spans="1:43" hidden="1">
      <c r="A42" s="114"/>
      <c r="B42" s="3" t="s">
        <v>49</v>
      </c>
      <c r="C42" s="37" t="s">
        <v>69</v>
      </c>
      <c r="D42" s="33">
        <v>1000</v>
      </c>
      <c r="E42" s="42">
        <v>6</v>
      </c>
      <c r="F42" s="31">
        <v>42000</v>
      </c>
      <c r="G42" s="26">
        <f t="shared" si="0"/>
        <v>7.7000000000000011</v>
      </c>
      <c r="H42" s="22"/>
      <c r="I42" s="18" t="s">
        <v>49</v>
      </c>
      <c r="J42" s="9"/>
      <c r="K42" s="27"/>
      <c r="L42" s="9"/>
      <c r="M42" s="27"/>
      <c r="N42" s="9"/>
      <c r="O42" s="27"/>
      <c r="P42" s="9"/>
      <c r="Q42" s="27"/>
      <c r="R42" s="9"/>
      <c r="S42" s="27"/>
      <c r="T42" s="9"/>
      <c r="U42" s="27"/>
      <c r="V42" s="9"/>
      <c r="W42" s="27"/>
      <c r="X42" s="9"/>
      <c r="Y42" s="27"/>
      <c r="Z42" s="9"/>
      <c r="AA42" s="27"/>
      <c r="AB42" s="9"/>
      <c r="AC42" s="27"/>
      <c r="AD42" s="9"/>
      <c r="AE42" s="27"/>
      <c r="AF42" s="9"/>
      <c r="AG42" s="27"/>
      <c r="AH42" s="2"/>
      <c r="AI42" s="2"/>
      <c r="AJ42" s="9"/>
      <c r="AK42" s="27"/>
      <c r="AL42" s="9"/>
      <c r="AM42" s="27"/>
      <c r="AN42" s="9"/>
      <c r="AO42" s="27"/>
      <c r="AP42" s="9"/>
      <c r="AQ42" s="27"/>
    </row>
    <row r="43" spans="1:43">
      <c r="A43" s="114"/>
      <c r="B43" s="3" t="s">
        <v>24</v>
      </c>
      <c r="C43" s="37" t="s">
        <v>69</v>
      </c>
      <c r="D43" s="33">
        <v>1000</v>
      </c>
      <c r="E43" s="42">
        <v>4</v>
      </c>
      <c r="F43" s="31">
        <v>60000</v>
      </c>
      <c r="G43" s="56">
        <f t="shared" si="0"/>
        <v>16.5</v>
      </c>
      <c r="H43" s="22"/>
      <c r="I43" s="18" t="s">
        <v>24</v>
      </c>
      <c r="J43" s="9"/>
      <c r="K43" s="27"/>
      <c r="L43" s="9"/>
      <c r="M43" s="27"/>
      <c r="N43" s="9"/>
      <c r="O43" s="27"/>
      <c r="P43" s="9"/>
      <c r="Q43" s="27"/>
      <c r="R43" s="9"/>
      <c r="S43" s="27"/>
      <c r="T43" s="9"/>
      <c r="U43" s="27"/>
      <c r="V43" s="9"/>
      <c r="W43" s="27"/>
      <c r="X43" s="9"/>
      <c r="Y43" s="27"/>
      <c r="Z43" s="9"/>
      <c r="AA43" s="27"/>
      <c r="AB43" s="9"/>
      <c r="AC43" s="27"/>
      <c r="AD43" s="9"/>
      <c r="AE43" s="27"/>
      <c r="AF43" s="9">
        <v>80</v>
      </c>
      <c r="AG43" s="27">
        <v>90</v>
      </c>
      <c r="AH43" s="2"/>
      <c r="AI43" s="2"/>
      <c r="AJ43" s="9"/>
      <c r="AK43" s="27"/>
      <c r="AL43" s="9"/>
      <c r="AM43" s="27"/>
      <c r="AN43" s="9"/>
      <c r="AO43" s="27"/>
      <c r="AP43" s="9"/>
      <c r="AQ43" s="27"/>
    </row>
    <row r="44" spans="1:43" ht="17.25" thickBot="1">
      <c r="A44" s="113"/>
      <c r="B44" s="5" t="s">
        <v>23</v>
      </c>
      <c r="C44" s="39" t="s">
        <v>69</v>
      </c>
      <c r="D44" s="34">
        <v>1000</v>
      </c>
      <c r="E44" s="43">
        <v>4</v>
      </c>
      <c r="F44" s="32">
        <v>61200</v>
      </c>
      <c r="G44" s="26">
        <f t="shared" si="0"/>
        <v>16.830000000000002</v>
      </c>
      <c r="H44" s="22"/>
      <c r="I44" s="21" t="s">
        <v>23</v>
      </c>
      <c r="J44" s="51"/>
      <c r="K44" s="49"/>
      <c r="L44" s="51"/>
      <c r="M44" s="49"/>
      <c r="N44" s="51"/>
      <c r="O44" s="49"/>
      <c r="P44" s="51">
        <v>90</v>
      </c>
      <c r="Q44" s="49">
        <v>100</v>
      </c>
      <c r="R44" s="51"/>
      <c r="S44" s="49"/>
      <c r="T44" s="51"/>
      <c r="U44" s="49"/>
      <c r="V44" s="51"/>
      <c r="W44" s="49"/>
      <c r="X44" s="51"/>
      <c r="Y44" s="49"/>
      <c r="Z44" s="51"/>
      <c r="AA44" s="49"/>
      <c r="AB44" s="51"/>
      <c r="AC44" s="49"/>
      <c r="AD44" s="51"/>
      <c r="AE44" s="49"/>
      <c r="AF44" s="51"/>
      <c r="AG44" s="49"/>
      <c r="AH44" s="11"/>
      <c r="AI44" s="11"/>
      <c r="AJ44" s="51"/>
      <c r="AK44" s="49"/>
      <c r="AL44" s="51"/>
      <c r="AM44" s="49"/>
      <c r="AN44" s="51"/>
      <c r="AO44" s="49"/>
      <c r="AP44" s="51"/>
      <c r="AQ44" s="49"/>
    </row>
    <row r="45" spans="1:43" hidden="1">
      <c r="A45" s="112" t="s">
        <v>65</v>
      </c>
      <c r="B45" s="6" t="s">
        <v>26</v>
      </c>
      <c r="C45" s="40" t="s">
        <v>68</v>
      </c>
      <c r="D45" s="35">
        <v>200</v>
      </c>
      <c r="E45" s="41">
        <v>1</v>
      </c>
      <c r="F45" s="30">
        <v>4000</v>
      </c>
      <c r="G45" s="29">
        <f t="shared" si="0"/>
        <v>22</v>
      </c>
      <c r="H45" s="17"/>
      <c r="I45" s="20" t="s">
        <v>26</v>
      </c>
      <c r="J45" s="50"/>
      <c r="K45" s="48"/>
      <c r="L45" s="50"/>
      <c r="M45" s="48"/>
      <c r="N45" s="50"/>
      <c r="O45" s="48"/>
      <c r="P45" s="50"/>
      <c r="Q45" s="48"/>
      <c r="R45" s="50"/>
      <c r="S45" s="48"/>
      <c r="T45" s="50"/>
      <c r="U45" s="48"/>
      <c r="V45" s="50"/>
      <c r="W45" s="48"/>
      <c r="X45" s="50"/>
      <c r="Y45" s="48"/>
      <c r="Z45" s="50"/>
      <c r="AA45" s="48"/>
      <c r="AB45" s="50"/>
      <c r="AC45" s="48"/>
      <c r="AD45" s="50"/>
      <c r="AE45" s="48"/>
      <c r="AF45" s="50"/>
      <c r="AG45" s="48"/>
      <c r="AH45" s="10"/>
      <c r="AI45" s="10"/>
      <c r="AJ45" s="50"/>
      <c r="AK45" s="48"/>
      <c r="AL45" s="50"/>
      <c r="AM45" s="48"/>
      <c r="AN45" s="50"/>
      <c r="AO45" s="48"/>
      <c r="AP45" s="50"/>
      <c r="AQ45" s="48"/>
    </row>
    <row r="46" spans="1:43" hidden="1">
      <c r="A46" s="114"/>
      <c r="B46" s="3" t="s">
        <v>27</v>
      </c>
      <c r="C46" s="37" t="s">
        <v>68</v>
      </c>
      <c r="D46" s="33">
        <v>200</v>
      </c>
      <c r="E46" s="42">
        <v>1</v>
      </c>
      <c r="F46" s="31">
        <v>4000</v>
      </c>
      <c r="G46" s="26">
        <f t="shared" si="0"/>
        <v>22</v>
      </c>
      <c r="H46" s="22"/>
      <c r="I46" s="18" t="s">
        <v>27</v>
      </c>
      <c r="J46" s="9"/>
      <c r="K46" s="27"/>
      <c r="L46" s="9"/>
      <c r="M46" s="27"/>
      <c r="N46" s="9"/>
      <c r="O46" s="27"/>
      <c r="P46" s="9"/>
      <c r="Q46" s="27"/>
      <c r="R46" s="9"/>
      <c r="S46" s="27"/>
      <c r="T46" s="9"/>
      <c r="U46" s="27"/>
      <c r="V46" s="9"/>
      <c r="W46" s="27"/>
      <c r="X46" s="9"/>
      <c r="Y46" s="27"/>
      <c r="Z46" s="9"/>
      <c r="AA46" s="27"/>
      <c r="AB46" s="9"/>
      <c r="AC46" s="27"/>
      <c r="AD46" s="9"/>
      <c r="AE46" s="27"/>
      <c r="AF46" s="9"/>
      <c r="AG46" s="27"/>
      <c r="AH46" s="2"/>
      <c r="AI46" s="2"/>
      <c r="AJ46" s="9"/>
      <c r="AK46" s="27"/>
      <c r="AL46" s="9"/>
      <c r="AM46" s="27"/>
      <c r="AN46" s="9"/>
      <c r="AO46" s="27"/>
      <c r="AP46" s="9"/>
      <c r="AQ46" s="27"/>
    </row>
    <row r="47" spans="1:43" hidden="1">
      <c r="A47" s="114"/>
      <c r="B47" s="3" t="s">
        <v>28</v>
      </c>
      <c r="C47" s="37" t="s">
        <v>68</v>
      </c>
      <c r="D47" s="33">
        <v>200</v>
      </c>
      <c r="E47" s="42">
        <v>1</v>
      </c>
      <c r="F47" s="31">
        <v>4000</v>
      </c>
      <c r="G47" s="56">
        <f t="shared" si="0"/>
        <v>22</v>
      </c>
      <c r="H47" s="22"/>
      <c r="I47" s="18" t="s">
        <v>28</v>
      </c>
      <c r="J47" s="9"/>
      <c r="K47" s="27"/>
      <c r="L47" s="9"/>
      <c r="M47" s="27"/>
      <c r="N47" s="9"/>
      <c r="O47" s="27"/>
      <c r="P47" s="9"/>
      <c r="Q47" s="27"/>
      <c r="R47" s="9"/>
      <c r="S47" s="27"/>
      <c r="T47" s="9"/>
      <c r="U47" s="27"/>
      <c r="V47" s="9"/>
      <c r="W47" s="27"/>
      <c r="X47" s="9"/>
      <c r="Y47" s="27"/>
      <c r="Z47" s="9"/>
      <c r="AA47" s="27"/>
      <c r="AB47" s="9"/>
      <c r="AC47" s="27"/>
      <c r="AD47" s="9"/>
      <c r="AE47" s="27"/>
      <c r="AF47" s="9"/>
      <c r="AG47" s="27"/>
      <c r="AH47" s="2"/>
      <c r="AI47" s="2"/>
      <c r="AJ47" s="9"/>
      <c r="AK47" s="27"/>
      <c r="AL47" s="9"/>
      <c r="AM47" s="27"/>
      <c r="AN47" s="9"/>
      <c r="AO47" s="27"/>
      <c r="AP47" s="9"/>
      <c r="AQ47" s="27"/>
    </row>
    <row r="48" spans="1:43" ht="17.25" hidden="1" thickBot="1">
      <c r="A48" s="113"/>
      <c r="B48" s="5" t="s">
        <v>29</v>
      </c>
      <c r="C48" s="39" t="s">
        <v>68</v>
      </c>
      <c r="D48" s="34">
        <v>200</v>
      </c>
      <c r="E48" s="43">
        <v>1</v>
      </c>
      <c r="F48" s="32">
        <v>4000</v>
      </c>
      <c r="G48" s="26">
        <f t="shared" si="0"/>
        <v>22</v>
      </c>
      <c r="H48" s="22"/>
      <c r="I48" s="21" t="s">
        <v>29</v>
      </c>
      <c r="J48" s="51"/>
      <c r="K48" s="49"/>
      <c r="L48" s="51"/>
      <c r="M48" s="49"/>
      <c r="N48" s="51"/>
      <c r="O48" s="49"/>
      <c r="P48" s="51"/>
      <c r="Q48" s="49"/>
      <c r="R48" s="51"/>
      <c r="S48" s="49"/>
      <c r="T48" s="51"/>
      <c r="U48" s="49"/>
      <c r="V48" s="51"/>
      <c r="W48" s="49"/>
      <c r="X48" s="51"/>
      <c r="Y48" s="49"/>
      <c r="Z48" s="51"/>
      <c r="AA48" s="49"/>
      <c r="AB48" s="51"/>
      <c r="AC48" s="49"/>
      <c r="AD48" s="51"/>
      <c r="AE48" s="49"/>
      <c r="AF48" s="51"/>
      <c r="AG48" s="49"/>
      <c r="AH48" s="11"/>
      <c r="AI48" s="11"/>
      <c r="AJ48" s="51"/>
      <c r="AK48" s="49"/>
      <c r="AL48" s="51"/>
      <c r="AM48" s="49"/>
      <c r="AN48" s="51"/>
      <c r="AO48" s="49"/>
      <c r="AP48" s="51"/>
      <c r="AQ48" s="49"/>
    </row>
    <row r="49" spans="1:43" hidden="1">
      <c r="A49" s="112" t="s">
        <v>25</v>
      </c>
      <c r="B49" s="6" t="s">
        <v>25</v>
      </c>
      <c r="C49" s="40" t="s">
        <v>69</v>
      </c>
      <c r="D49" s="35">
        <v>1000</v>
      </c>
      <c r="E49" s="41">
        <v>10</v>
      </c>
      <c r="F49" s="30">
        <v>140000</v>
      </c>
      <c r="G49" s="29">
        <f t="shared" si="0"/>
        <v>15.400000000000002</v>
      </c>
      <c r="H49" s="17"/>
      <c r="I49" s="20" t="s">
        <v>25</v>
      </c>
      <c r="J49" s="50"/>
      <c r="K49" s="48"/>
      <c r="L49" s="50"/>
      <c r="M49" s="48"/>
      <c r="N49" s="50"/>
      <c r="O49" s="48"/>
      <c r="P49" s="50"/>
      <c r="Q49" s="48"/>
      <c r="R49" s="50"/>
      <c r="S49" s="48"/>
      <c r="T49" s="50"/>
      <c r="U49" s="48"/>
      <c r="V49" s="50"/>
      <c r="W49" s="48"/>
      <c r="X49" s="50"/>
      <c r="Y49" s="48"/>
      <c r="Z49" s="50"/>
      <c r="AA49" s="48"/>
      <c r="AB49" s="50"/>
      <c r="AC49" s="48"/>
      <c r="AD49" s="50"/>
      <c r="AE49" s="48"/>
      <c r="AF49" s="50"/>
      <c r="AG49" s="48"/>
      <c r="AH49" s="10"/>
      <c r="AI49" s="10"/>
      <c r="AJ49" s="50"/>
      <c r="AK49" s="48"/>
      <c r="AL49" s="50"/>
      <c r="AM49" s="48"/>
      <c r="AN49" s="50"/>
      <c r="AO49" s="48"/>
      <c r="AP49" s="50"/>
      <c r="AQ49" s="48"/>
    </row>
    <row r="50" spans="1:43" ht="17.25" hidden="1" thickBot="1">
      <c r="A50" s="113"/>
      <c r="B50" s="5" t="s">
        <v>50</v>
      </c>
      <c r="C50" s="39" t="s">
        <v>69</v>
      </c>
      <c r="D50" s="34">
        <v>1000</v>
      </c>
      <c r="E50" s="43">
        <v>10</v>
      </c>
      <c r="F50" s="32">
        <v>190000</v>
      </c>
      <c r="G50" s="26">
        <f t="shared" si="0"/>
        <v>20.900000000000002</v>
      </c>
      <c r="H50" s="22"/>
      <c r="I50" s="21" t="s">
        <v>50</v>
      </c>
      <c r="J50" s="51"/>
      <c r="K50" s="49"/>
      <c r="L50" s="51"/>
      <c r="M50" s="49"/>
      <c r="N50" s="51"/>
      <c r="O50" s="49"/>
      <c r="P50" s="51"/>
      <c r="Q50" s="49"/>
      <c r="R50" s="51"/>
      <c r="S50" s="49"/>
      <c r="T50" s="51"/>
      <c r="U50" s="49"/>
      <c r="V50" s="51"/>
      <c r="W50" s="49"/>
      <c r="X50" s="51"/>
      <c r="Y50" s="49"/>
      <c r="Z50" s="51"/>
      <c r="AA50" s="49"/>
      <c r="AB50" s="51"/>
      <c r="AC50" s="49"/>
      <c r="AD50" s="51"/>
      <c r="AE50" s="49"/>
      <c r="AF50" s="51"/>
      <c r="AG50" s="49"/>
      <c r="AH50" s="11"/>
      <c r="AI50" s="11"/>
      <c r="AJ50" s="51"/>
      <c r="AK50" s="49"/>
      <c r="AL50" s="51"/>
      <c r="AM50" s="49"/>
      <c r="AN50" s="51"/>
      <c r="AO50" s="49"/>
      <c r="AP50" s="51"/>
      <c r="AQ50" s="49"/>
    </row>
    <row r="51" spans="1:43" ht="17.25" thickBot="1">
      <c r="A51" s="114" t="s">
        <v>66</v>
      </c>
      <c r="B51" s="63" t="s">
        <v>60</v>
      </c>
      <c r="C51" s="64" t="s">
        <v>70</v>
      </c>
      <c r="D51" s="33">
        <v>900</v>
      </c>
      <c r="E51" s="42">
        <v>1</v>
      </c>
      <c r="F51" s="31">
        <v>2100</v>
      </c>
      <c r="G51" s="29">
        <f>F51/(D51*E51)</f>
        <v>2.3333333333333335</v>
      </c>
      <c r="H51" s="17"/>
      <c r="I51" s="53" t="s">
        <v>60</v>
      </c>
      <c r="J51" s="50">
        <v>130</v>
      </c>
      <c r="K51" s="48">
        <v>150</v>
      </c>
      <c r="L51" s="50">
        <v>130</v>
      </c>
      <c r="M51" s="48">
        <v>150</v>
      </c>
      <c r="N51" s="50">
        <v>130</v>
      </c>
      <c r="O51" s="48">
        <v>150</v>
      </c>
      <c r="P51" s="50"/>
      <c r="Q51" s="48"/>
      <c r="R51" s="50"/>
      <c r="S51" s="48"/>
      <c r="T51" s="50"/>
      <c r="U51" s="48"/>
      <c r="V51" s="50"/>
      <c r="W51" s="48"/>
      <c r="X51" s="50">
        <v>170</v>
      </c>
      <c r="Y51" s="48">
        <v>200</v>
      </c>
      <c r="Z51" s="50">
        <v>130</v>
      </c>
      <c r="AA51" s="48">
        <v>150</v>
      </c>
      <c r="AB51" s="50">
        <v>130</v>
      </c>
      <c r="AC51" s="48">
        <v>150</v>
      </c>
      <c r="AD51" s="50">
        <v>130</v>
      </c>
      <c r="AE51" s="48">
        <v>150</v>
      </c>
      <c r="AF51" s="50">
        <v>150</v>
      </c>
      <c r="AG51" s="48">
        <v>180</v>
      </c>
      <c r="AH51" s="10">
        <v>110</v>
      </c>
      <c r="AI51" s="10">
        <v>130</v>
      </c>
      <c r="AJ51" s="50">
        <v>120</v>
      </c>
      <c r="AK51" s="48">
        <v>200</v>
      </c>
      <c r="AL51" s="50">
        <v>170</v>
      </c>
      <c r="AM51" s="48">
        <v>170</v>
      </c>
      <c r="AN51" s="50">
        <v>150</v>
      </c>
      <c r="AO51" s="48">
        <v>150</v>
      </c>
      <c r="AP51" s="50">
        <v>100</v>
      </c>
      <c r="AQ51" s="48">
        <v>120</v>
      </c>
    </row>
    <row r="52" spans="1:43" ht="17.25" hidden="1" thickBot="1">
      <c r="A52" s="113"/>
      <c r="B52" s="65" t="s">
        <v>51</v>
      </c>
      <c r="C52" s="66" t="s">
        <v>70</v>
      </c>
      <c r="D52" s="34">
        <v>1500</v>
      </c>
      <c r="E52" s="43">
        <v>12</v>
      </c>
      <c r="F52" s="32">
        <v>16200</v>
      </c>
      <c r="G52" s="26">
        <f t="shared" si="0"/>
        <v>0.9900000000000001</v>
      </c>
      <c r="H52" s="22"/>
      <c r="I52" s="52" t="s">
        <v>51</v>
      </c>
      <c r="J52" s="9"/>
      <c r="K52" s="27"/>
      <c r="L52" s="9"/>
      <c r="M52" s="27"/>
      <c r="N52" s="9"/>
      <c r="O52" s="27"/>
      <c r="P52" s="9"/>
      <c r="Q52" s="27"/>
      <c r="R52" s="9"/>
      <c r="S52" s="27"/>
      <c r="T52" s="9"/>
      <c r="U52" s="27"/>
      <c r="V52" s="9"/>
      <c r="W52" s="27"/>
      <c r="X52" s="9"/>
      <c r="Y52" s="27"/>
      <c r="Z52" s="9"/>
      <c r="AA52" s="27"/>
      <c r="AB52" s="9"/>
      <c r="AC52" s="27"/>
      <c r="AD52" s="9"/>
      <c r="AE52" s="27"/>
      <c r="AF52" s="9"/>
      <c r="AG52" s="27"/>
      <c r="AH52" s="2"/>
      <c r="AI52" s="2"/>
      <c r="AJ52" s="9"/>
      <c r="AK52" s="27"/>
      <c r="AL52" s="9"/>
      <c r="AM52" s="27"/>
      <c r="AN52" s="9"/>
      <c r="AO52" s="27"/>
      <c r="AP52" s="9"/>
      <c r="AQ52" s="27"/>
    </row>
    <row r="53" spans="1:43" ht="17.25" thickBot="1">
      <c r="A53" s="61"/>
      <c r="B53" s="61"/>
      <c r="C53" s="61"/>
      <c r="D53" s="61"/>
      <c r="E53" s="61"/>
      <c r="F53" s="61"/>
      <c r="G53" s="61"/>
      <c r="H53" s="60"/>
      <c r="I53" s="76" t="s">
        <v>4</v>
      </c>
      <c r="J53" s="70">
        <f t="shared" ref="J53:AE53" si="1">SUMPRODUCT(J5:J52,$G5:$G52)</f>
        <v>974.35625000000005</v>
      </c>
      <c r="K53" s="71">
        <f t="shared" si="1"/>
        <v>1036.5604166666667</v>
      </c>
      <c r="L53" s="70">
        <f t="shared" si="1"/>
        <v>974.35625000000005</v>
      </c>
      <c r="M53" s="71">
        <f t="shared" si="1"/>
        <v>1036.5604166666667</v>
      </c>
      <c r="N53" s="70">
        <f t="shared" si="1"/>
        <v>974.35625000000005</v>
      </c>
      <c r="O53" s="71">
        <f t="shared" si="1"/>
        <v>1036.5604166666667</v>
      </c>
      <c r="P53" s="70">
        <f t="shared" si="1"/>
        <v>1731.4229166666669</v>
      </c>
      <c r="Q53" s="71">
        <f t="shared" si="1"/>
        <v>1938.7270833333337</v>
      </c>
      <c r="R53" s="70">
        <f t="shared" si="1"/>
        <v>929.52291666666667</v>
      </c>
      <c r="S53" s="71">
        <f t="shared" si="1"/>
        <v>1025.7270833333332</v>
      </c>
      <c r="T53" s="70">
        <f t="shared" si="1"/>
        <v>1280.0562499999999</v>
      </c>
      <c r="U53" s="71">
        <f t="shared" si="1"/>
        <v>1425.3937499999997</v>
      </c>
      <c r="V53" s="70">
        <f t="shared" si="1"/>
        <v>1007.2562500000001</v>
      </c>
      <c r="W53" s="71">
        <f t="shared" si="1"/>
        <v>1243.8937500000002</v>
      </c>
      <c r="X53" s="70">
        <f t="shared" si="1"/>
        <v>1317.0229166666668</v>
      </c>
      <c r="Y53" s="71">
        <f t="shared" si="1"/>
        <v>1402.5604166666667</v>
      </c>
      <c r="Z53" s="70">
        <f t="shared" si="1"/>
        <v>1293.3562499999998</v>
      </c>
      <c r="AA53" s="71">
        <f t="shared" si="1"/>
        <v>1439.89375</v>
      </c>
      <c r="AB53" s="70">
        <f t="shared" si="1"/>
        <v>1293.3562499999998</v>
      </c>
      <c r="AC53" s="71">
        <f t="shared" si="1"/>
        <v>1439.89375</v>
      </c>
      <c r="AD53" s="70">
        <f t="shared" si="1"/>
        <v>1285.4118055555555</v>
      </c>
      <c r="AE53" s="71">
        <f t="shared" si="1"/>
        <v>1430.7270833333334</v>
      </c>
      <c r="AF53" s="70">
        <f t="shared" ref="AF53:AI53" si="2">SUMPRODUCT(AF5:AF52,$G5:$G52)</f>
        <v>2351.1062499999998</v>
      </c>
      <c r="AG53" s="71">
        <f t="shared" si="2"/>
        <v>2681.3937500000002</v>
      </c>
      <c r="AH53" s="70">
        <f t="shared" si="2"/>
        <v>1089.3284722222222</v>
      </c>
      <c r="AI53" s="71">
        <f t="shared" si="2"/>
        <v>1316.8381944444445</v>
      </c>
      <c r="AJ53" s="70">
        <f t="shared" ref="AJ53:AQ53" si="3">SUMPRODUCT(AJ5:AJ52,$G5:$G52)</f>
        <v>1072.1102182539682</v>
      </c>
      <c r="AK53" s="71">
        <f t="shared" si="3"/>
        <v>1608.9413690476192</v>
      </c>
      <c r="AL53" s="70">
        <f t="shared" si="3"/>
        <v>952.64791666666679</v>
      </c>
      <c r="AM53" s="71">
        <f t="shared" si="3"/>
        <v>968.1854166666667</v>
      </c>
      <c r="AN53" s="70">
        <f t="shared" si="3"/>
        <v>1198.85625</v>
      </c>
      <c r="AO53" s="71">
        <f t="shared" si="3"/>
        <v>1577.39375</v>
      </c>
      <c r="AP53" s="70">
        <f t="shared" si="3"/>
        <v>961.18958333333342</v>
      </c>
      <c r="AQ53" s="71">
        <f t="shared" si="3"/>
        <v>1133.39375</v>
      </c>
    </row>
    <row r="54" spans="1:43" ht="17.25" thickBot="1">
      <c r="A54" s="12"/>
      <c r="B54" s="16"/>
      <c r="C54" s="12"/>
      <c r="D54" s="12"/>
      <c r="E54" s="12"/>
      <c r="F54" s="12"/>
      <c r="G54" s="12"/>
      <c r="H54" s="12"/>
      <c r="I54" s="87" t="s">
        <v>12</v>
      </c>
      <c r="J54" s="88">
        <v>3500</v>
      </c>
      <c r="K54" s="89">
        <v>4000</v>
      </c>
      <c r="L54" s="88">
        <v>3500</v>
      </c>
      <c r="M54" s="89">
        <v>4000</v>
      </c>
      <c r="N54" s="88">
        <v>3500</v>
      </c>
      <c r="O54" s="89">
        <v>4000</v>
      </c>
      <c r="P54" s="88">
        <v>3800</v>
      </c>
      <c r="Q54" s="89">
        <v>4300</v>
      </c>
      <c r="R54" s="88">
        <v>3800</v>
      </c>
      <c r="S54" s="89">
        <v>4300</v>
      </c>
      <c r="T54" s="88">
        <v>3800</v>
      </c>
      <c r="U54" s="89">
        <v>4300</v>
      </c>
      <c r="V54" s="88">
        <v>4000</v>
      </c>
      <c r="W54" s="89">
        <v>4500</v>
      </c>
      <c r="X54" s="88">
        <v>4000</v>
      </c>
      <c r="Y54" s="89">
        <v>4500</v>
      </c>
      <c r="Z54" s="88">
        <v>4000</v>
      </c>
      <c r="AA54" s="89">
        <v>4500</v>
      </c>
      <c r="AB54" s="88">
        <v>4000</v>
      </c>
      <c r="AC54" s="89">
        <v>4500</v>
      </c>
      <c r="AD54" s="88">
        <v>4000</v>
      </c>
      <c r="AE54" s="89">
        <v>4500</v>
      </c>
      <c r="AF54" s="88">
        <v>3800</v>
      </c>
      <c r="AG54" s="89">
        <v>4300</v>
      </c>
      <c r="AH54" s="89">
        <v>4000</v>
      </c>
      <c r="AI54" s="88">
        <v>4500</v>
      </c>
      <c r="AJ54" s="88">
        <v>4300</v>
      </c>
      <c r="AK54" s="89">
        <v>4800</v>
      </c>
      <c r="AL54" s="88">
        <v>4300</v>
      </c>
      <c r="AM54" s="89">
        <v>4800</v>
      </c>
      <c r="AN54" s="88">
        <v>4300</v>
      </c>
      <c r="AO54" s="89">
        <v>4800</v>
      </c>
      <c r="AP54" s="88">
        <v>4000</v>
      </c>
      <c r="AQ54" s="89">
        <v>4500</v>
      </c>
    </row>
    <row r="55" spans="1:43" ht="17.25" thickBot="1">
      <c r="A55" s="58"/>
      <c r="B55" s="58"/>
      <c r="C55" s="58"/>
      <c r="D55" s="58"/>
      <c r="E55" s="58"/>
      <c r="F55" s="58"/>
      <c r="G55" s="58"/>
      <c r="H55" s="58"/>
      <c r="I55" s="90" t="s">
        <v>5</v>
      </c>
      <c r="J55" s="91">
        <f>(J53)/J54</f>
        <v>0.27838750000000001</v>
      </c>
      <c r="K55" s="92">
        <f>(K53)/K54</f>
        <v>0.25914010416666666</v>
      </c>
      <c r="L55" s="91">
        <f t="shared" ref="L55:AQ55" si="4">(L53)/L54</f>
        <v>0.27838750000000001</v>
      </c>
      <c r="M55" s="92">
        <f t="shared" si="4"/>
        <v>0.25914010416666666</v>
      </c>
      <c r="N55" s="91">
        <f t="shared" si="4"/>
        <v>0.27838750000000001</v>
      </c>
      <c r="O55" s="92">
        <f t="shared" si="4"/>
        <v>0.25914010416666666</v>
      </c>
      <c r="P55" s="91">
        <f t="shared" si="4"/>
        <v>0.45563760964912287</v>
      </c>
      <c r="Q55" s="92">
        <f t="shared" si="4"/>
        <v>0.45086676356589156</v>
      </c>
      <c r="R55" s="91">
        <f t="shared" si="4"/>
        <v>0.24461129385964914</v>
      </c>
      <c r="S55" s="92">
        <f t="shared" si="4"/>
        <v>0.2385411821705426</v>
      </c>
      <c r="T55" s="91">
        <f t="shared" si="4"/>
        <v>0.33685690789473682</v>
      </c>
      <c r="U55" s="92">
        <f t="shared" si="4"/>
        <v>0.33148691860465113</v>
      </c>
      <c r="V55" s="91">
        <f t="shared" si="4"/>
        <v>0.25181406250000005</v>
      </c>
      <c r="W55" s="92">
        <f t="shared" si="4"/>
        <v>0.27642083333333339</v>
      </c>
      <c r="X55" s="91">
        <f t="shared" si="4"/>
        <v>0.32925572916666668</v>
      </c>
      <c r="Y55" s="92">
        <f t="shared" si="4"/>
        <v>0.31168009259259261</v>
      </c>
      <c r="Z55" s="91">
        <f t="shared" si="4"/>
        <v>0.32333906249999994</v>
      </c>
      <c r="AA55" s="92">
        <f t="shared" si="4"/>
        <v>0.31997638888888885</v>
      </c>
      <c r="AB55" s="91">
        <f t="shared" si="4"/>
        <v>0.32333906249999994</v>
      </c>
      <c r="AC55" s="92">
        <f t="shared" si="4"/>
        <v>0.31997638888888885</v>
      </c>
      <c r="AD55" s="91">
        <f t="shared" si="4"/>
        <v>0.32135295138888886</v>
      </c>
      <c r="AE55" s="92">
        <f t="shared" si="4"/>
        <v>0.31793935185185185</v>
      </c>
      <c r="AF55" s="91">
        <f t="shared" si="4"/>
        <v>0.61871217105263154</v>
      </c>
      <c r="AG55" s="92">
        <f t="shared" si="4"/>
        <v>0.62357994186046517</v>
      </c>
      <c r="AH55" s="91">
        <f t="shared" si="4"/>
        <v>0.27233211805555557</v>
      </c>
      <c r="AI55" s="92">
        <f t="shared" si="4"/>
        <v>0.29263070987654322</v>
      </c>
      <c r="AJ55" s="91">
        <f t="shared" si="4"/>
        <v>0.24932795773348099</v>
      </c>
      <c r="AK55" s="92">
        <f t="shared" si="4"/>
        <v>0.33519611855158732</v>
      </c>
      <c r="AL55" s="91">
        <f t="shared" si="4"/>
        <v>0.22154602713178298</v>
      </c>
      <c r="AM55" s="92">
        <f t="shared" si="4"/>
        <v>0.20170529513888891</v>
      </c>
      <c r="AN55" s="91">
        <f t="shared" si="4"/>
        <v>0.27880377906976744</v>
      </c>
      <c r="AO55" s="92">
        <f t="shared" si="4"/>
        <v>0.32862369791666668</v>
      </c>
      <c r="AP55" s="91">
        <f t="shared" si="4"/>
        <v>0.24029739583333334</v>
      </c>
      <c r="AQ55" s="92">
        <f t="shared" si="4"/>
        <v>0.25186527777777779</v>
      </c>
    </row>
    <row r="56" spans="1:43" ht="17.25" thickBot="1">
      <c r="A56" s="2"/>
      <c r="B56" s="2"/>
      <c r="C56" s="2"/>
      <c r="D56" s="2"/>
      <c r="E56" s="2"/>
      <c r="F56" s="12"/>
      <c r="G56" s="14"/>
      <c r="H56" s="14"/>
      <c r="I56" s="93" t="s">
        <v>112</v>
      </c>
      <c r="J56" s="81">
        <f>AVERAGE(J55:AQ55)</f>
        <v>0.31412640887806426</v>
      </c>
      <c r="K56" s="2"/>
    </row>
  </sheetData>
  <mergeCells count="59">
    <mergeCell ref="AH3:AI3"/>
    <mergeCell ref="AH2:AI2"/>
    <mergeCell ref="AH1:AI1"/>
    <mergeCell ref="AN1:AO1"/>
    <mergeCell ref="AN2:AO2"/>
    <mergeCell ref="AN3:AO3"/>
    <mergeCell ref="AP1:AQ1"/>
    <mergeCell ref="AP2:AQ2"/>
    <mergeCell ref="AP3:AQ3"/>
    <mergeCell ref="AJ1:AK1"/>
    <mergeCell ref="AJ2:AK2"/>
    <mergeCell ref="AJ3:AK3"/>
    <mergeCell ref="AL1:AM1"/>
    <mergeCell ref="AL2:AM2"/>
    <mergeCell ref="AL3:AM3"/>
    <mergeCell ref="AD1:AE1"/>
    <mergeCell ref="AD2:AE2"/>
    <mergeCell ref="AD3:AE3"/>
    <mergeCell ref="AF1:AG1"/>
    <mergeCell ref="AF2:AG2"/>
    <mergeCell ref="AF3:AG3"/>
    <mergeCell ref="Z1:AA1"/>
    <mergeCell ref="Z2:AA2"/>
    <mergeCell ref="Z3:AA3"/>
    <mergeCell ref="AB1:AC1"/>
    <mergeCell ref="AB2:AC2"/>
    <mergeCell ref="AB3:AC3"/>
    <mergeCell ref="V1:W1"/>
    <mergeCell ref="V2:W2"/>
    <mergeCell ref="V3:W3"/>
    <mergeCell ref="X1:Y1"/>
    <mergeCell ref="X2:Y2"/>
    <mergeCell ref="X3:Y3"/>
    <mergeCell ref="R1:S1"/>
    <mergeCell ref="R2:S2"/>
    <mergeCell ref="R3:S3"/>
    <mergeCell ref="T1:U1"/>
    <mergeCell ref="T2:U2"/>
    <mergeCell ref="T3:U3"/>
    <mergeCell ref="N1:O1"/>
    <mergeCell ref="N2:O2"/>
    <mergeCell ref="N3:O3"/>
    <mergeCell ref="P1:Q1"/>
    <mergeCell ref="P2:Q2"/>
    <mergeCell ref="P3:Q3"/>
    <mergeCell ref="A22:A31"/>
    <mergeCell ref="A32:A44"/>
    <mergeCell ref="A45:A48"/>
    <mergeCell ref="A49:A50"/>
    <mergeCell ref="A51:A52"/>
    <mergeCell ref="A4:B4"/>
    <mergeCell ref="A5:A16"/>
    <mergeCell ref="A17:A21"/>
    <mergeCell ref="L1:M1"/>
    <mergeCell ref="L2:M2"/>
    <mergeCell ref="L3:M3"/>
    <mergeCell ref="J1:K1"/>
    <mergeCell ref="J2:K2"/>
    <mergeCell ref="J3:K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E022-C732-47BF-89DD-556870959EFA}">
  <dimension ref="A1:AK56"/>
  <sheetViews>
    <sheetView zoomScaleNormal="100" workbookViewId="0">
      <selection activeCell="G47" sqref="G47"/>
    </sheetView>
  </sheetViews>
  <sheetFormatPr defaultRowHeight="16.5"/>
  <cols>
    <col min="1" max="1" width="9.625" customWidth="1"/>
    <col min="2" max="2" width="24.625" customWidth="1"/>
    <col min="3" max="3" width="4.125" customWidth="1"/>
    <col min="4" max="4" width="7.625" customWidth="1"/>
    <col min="5" max="5" width="4.125" customWidth="1"/>
    <col min="6" max="6" width="8.625" customWidth="1"/>
    <col min="7" max="7" width="19.125" customWidth="1"/>
    <col min="8" max="8" width="1.625" customWidth="1"/>
    <col min="9" max="9" width="25.625" customWidth="1"/>
    <col min="10" max="37" width="10.125" customWidth="1"/>
  </cols>
  <sheetData>
    <row r="1" spans="1:37" ht="17.25" thickBot="1">
      <c r="A1" s="2"/>
      <c r="B1" s="2"/>
      <c r="C1" s="2"/>
      <c r="D1" s="2"/>
      <c r="E1" s="7"/>
      <c r="F1" s="16"/>
      <c r="G1" s="14"/>
      <c r="H1" s="14"/>
      <c r="I1" s="67" t="s">
        <v>73</v>
      </c>
      <c r="J1" s="119" t="s">
        <v>11</v>
      </c>
      <c r="K1" s="120"/>
      <c r="L1" s="120"/>
      <c r="M1" s="121"/>
      <c r="N1" s="119" t="s">
        <v>11</v>
      </c>
      <c r="O1" s="120"/>
      <c r="P1" s="121"/>
      <c r="Q1" s="119" t="s">
        <v>11</v>
      </c>
      <c r="R1" s="120"/>
      <c r="S1" s="121"/>
      <c r="T1" s="119" t="s">
        <v>11</v>
      </c>
      <c r="U1" s="120"/>
      <c r="V1" s="121"/>
      <c r="W1" s="119" t="s">
        <v>11</v>
      </c>
      <c r="X1" s="120"/>
      <c r="Y1" s="121"/>
      <c r="Z1" s="119" t="s">
        <v>11</v>
      </c>
      <c r="AA1" s="120"/>
      <c r="AB1" s="121"/>
      <c r="AC1" s="119" t="s">
        <v>11</v>
      </c>
      <c r="AD1" s="120"/>
      <c r="AE1" s="121"/>
      <c r="AF1" s="119" t="s">
        <v>11</v>
      </c>
      <c r="AG1" s="120"/>
      <c r="AH1" s="121"/>
      <c r="AI1" s="119" t="s">
        <v>11</v>
      </c>
      <c r="AJ1" s="120"/>
      <c r="AK1" s="121"/>
    </row>
    <row r="2" spans="1:37" ht="17.25" thickBot="1">
      <c r="A2" s="2"/>
      <c r="B2" s="2"/>
      <c r="C2" s="2"/>
      <c r="D2" s="2"/>
      <c r="E2" s="7"/>
      <c r="F2" s="16"/>
      <c r="G2" s="14"/>
      <c r="H2" s="14"/>
      <c r="I2" s="74" t="s">
        <v>0</v>
      </c>
      <c r="J2" s="118" t="s">
        <v>10</v>
      </c>
      <c r="K2" s="118"/>
      <c r="L2" s="118" t="s">
        <v>97</v>
      </c>
      <c r="M2" s="118"/>
      <c r="N2" s="118" t="s">
        <v>106</v>
      </c>
      <c r="O2" s="118"/>
      <c r="P2" s="118"/>
      <c r="Q2" s="118" t="s">
        <v>107</v>
      </c>
      <c r="R2" s="118"/>
      <c r="S2" s="118"/>
      <c r="T2" s="118" t="s">
        <v>108</v>
      </c>
      <c r="U2" s="118"/>
      <c r="V2" s="118"/>
      <c r="W2" s="118" t="s">
        <v>109</v>
      </c>
      <c r="X2" s="118"/>
      <c r="Y2" s="118"/>
      <c r="Z2" s="118" t="s">
        <v>26</v>
      </c>
      <c r="AA2" s="118"/>
      <c r="AB2" s="118"/>
      <c r="AC2" s="118" t="s">
        <v>27</v>
      </c>
      <c r="AD2" s="118"/>
      <c r="AE2" s="118"/>
      <c r="AF2" s="118" t="s">
        <v>28</v>
      </c>
      <c r="AG2" s="118"/>
      <c r="AH2" s="118"/>
      <c r="AI2" s="118" t="s">
        <v>29</v>
      </c>
      <c r="AJ2" s="118"/>
      <c r="AK2" s="118"/>
    </row>
    <row r="3" spans="1:37" ht="17.25" thickBot="1">
      <c r="A3" s="2"/>
      <c r="B3" s="2"/>
      <c r="C3" s="2"/>
      <c r="D3" s="2"/>
      <c r="E3" s="7"/>
      <c r="F3" s="16"/>
      <c r="G3" s="14"/>
      <c r="H3" s="14"/>
      <c r="I3" s="25" t="s">
        <v>13</v>
      </c>
      <c r="J3" s="115" t="s">
        <v>2</v>
      </c>
      <c r="K3" s="115"/>
      <c r="L3" s="115" t="s">
        <v>2</v>
      </c>
      <c r="M3" s="115"/>
      <c r="N3" s="25" t="s">
        <v>1</v>
      </c>
      <c r="O3" s="115" t="s">
        <v>2</v>
      </c>
      <c r="P3" s="115"/>
      <c r="Q3" s="25" t="s">
        <v>1</v>
      </c>
      <c r="R3" s="115" t="s">
        <v>2</v>
      </c>
      <c r="S3" s="115"/>
      <c r="T3" s="25" t="s">
        <v>1</v>
      </c>
      <c r="U3" s="115" t="s">
        <v>2</v>
      </c>
      <c r="V3" s="115"/>
      <c r="W3" s="25" t="s">
        <v>1</v>
      </c>
      <c r="X3" s="115" t="s">
        <v>2</v>
      </c>
      <c r="Y3" s="115"/>
      <c r="Z3" s="25" t="s">
        <v>1</v>
      </c>
      <c r="AA3" s="115" t="s">
        <v>2</v>
      </c>
      <c r="AB3" s="115"/>
      <c r="AC3" s="25" t="s">
        <v>1</v>
      </c>
      <c r="AD3" s="115" t="s">
        <v>2</v>
      </c>
      <c r="AE3" s="115"/>
      <c r="AF3" s="25" t="s">
        <v>1</v>
      </c>
      <c r="AG3" s="115" t="s">
        <v>2</v>
      </c>
      <c r="AH3" s="115"/>
      <c r="AI3" s="25" t="s">
        <v>1</v>
      </c>
      <c r="AJ3" s="115" t="s">
        <v>2</v>
      </c>
      <c r="AK3" s="115"/>
    </row>
    <row r="4" spans="1:37" ht="17.25" thickBot="1">
      <c r="A4" s="116" t="s">
        <v>3</v>
      </c>
      <c r="B4" s="117"/>
      <c r="C4" s="8" t="s">
        <v>67</v>
      </c>
      <c r="D4" s="46" t="s">
        <v>77</v>
      </c>
      <c r="E4" s="45" t="s">
        <v>139</v>
      </c>
      <c r="F4" s="44" t="s">
        <v>78</v>
      </c>
      <c r="G4" s="28" t="s">
        <v>138</v>
      </c>
      <c r="H4" s="26"/>
      <c r="I4" s="75" t="s">
        <v>72</v>
      </c>
      <c r="J4" s="75" t="s">
        <v>75</v>
      </c>
      <c r="K4" s="75" t="s">
        <v>76</v>
      </c>
      <c r="L4" s="75" t="s">
        <v>75</v>
      </c>
      <c r="M4" s="75" t="s">
        <v>76</v>
      </c>
      <c r="N4" s="75" t="s">
        <v>74</v>
      </c>
      <c r="O4" s="75" t="s">
        <v>75</v>
      </c>
      <c r="P4" s="75" t="s">
        <v>76</v>
      </c>
      <c r="Q4" s="75" t="s">
        <v>74</v>
      </c>
      <c r="R4" s="75" t="s">
        <v>75</v>
      </c>
      <c r="S4" s="75" t="s">
        <v>76</v>
      </c>
      <c r="T4" s="75" t="s">
        <v>74</v>
      </c>
      <c r="U4" s="75" t="s">
        <v>75</v>
      </c>
      <c r="V4" s="75" t="s">
        <v>76</v>
      </c>
      <c r="W4" s="75" t="s">
        <v>74</v>
      </c>
      <c r="X4" s="75" t="s">
        <v>75</v>
      </c>
      <c r="Y4" s="75" t="s">
        <v>76</v>
      </c>
      <c r="Z4" s="75" t="s">
        <v>74</v>
      </c>
      <c r="AA4" s="75" t="s">
        <v>75</v>
      </c>
      <c r="AB4" s="75" t="s">
        <v>76</v>
      </c>
      <c r="AC4" s="75" t="s">
        <v>74</v>
      </c>
      <c r="AD4" s="75" t="s">
        <v>75</v>
      </c>
      <c r="AE4" s="75" t="s">
        <v>76</v>
      </c>
      <c r="AF4" s="75" t="s">
        <v>74</v>
      </c>
      <c r="AG4" s="75" t="s">
        <v>75</v>
      </c>
      <c r="AH4" s="75" t="s">
        <v>76</v>
      </c>
      <c r="AI4" s="75" t="s">
        <v>74</v>
      </c>
      <c r="AJ4" s="75" t="s">
        <v>75</v>
      </c>
      <c r="AK4" s="75" t="s">
        <v>76</v>
      </c>
    </row>
    <row r="5" spans="1:37">
      <c r="A5" s="112" t="s">
        <v>62</v>
      </c>
      <c r="B5" s="23" t="s">
        <v>30</v>
      </c>
      <c r="C5" s="36" t="s">
        <v>68</v>
      </c>
      <c r="D5" s="35">
        <v>1000</v>
      </c>
      <c r="E5" s="41">
        <v>1</v>
      </c>
      <c r="F5" s="30">
        <v>43000</v>
      </c>
      <c r="G5" s="29">
        <f>F5/(D5*E5)*1.1</f>
        <v>47.300000000000004</v>
      </c>
      <c r="H5" s="26"/>
      <c r="I5" s="24" t="s">
        <v>30</v>
      </c>
      <c r="J5" s="50"/>
      <c r="K5" s="48"/>
      <c r="L5" s="10"/>
      <c r="M5" s="48"/>
      <c r="N5" s="50">
        <v>1</v>
      </c>
      <c r="O5" s="10"/>
      <c r="P5" s="48"/>
      <c r="Q5" s="50">
        <v>1</v>
      </c>
      <c r="R5" s="10"/>
      <c r="S5" s="48"/>
      <c r="T5" s="50">
        <v>1</v>
      </c>
      <c r="U5" s="10"/>
      <c r="V5" s="48"/>
      <c r="W5" s="50">
        <v>1</v>
      </c>
      <c r="X5" s="10"/>
      <c r="Y5" s="48"/>
      <c r="Z5" s="50">
        <v>1</v>
      </c>
      <c r="AA5" s="10"/>
      <c r="AB5" s="48"/>
      <c r="AC5" s="50">
        <v>1</v>
      </c>
      <c r="AD5" s="10"/>
      <c r="AE5" s="48"/>
      <c r="AF5" s="50">
        <v>1</v>
      </c>
      <c r="AG5" s="10"/>
      <c r="AH5" s="48"/>
      <c r="AI5" s="50">
        <v>1</v>
      </c>
      <c r="AJ5" s="10"/>
      <c r="AK5" s="48"/>
    </row>
    <row r="6" spans="1:37">
      <c r="A6" s="114"/>
      <c r="B6" s="3" t="s">
        <v>31</v>
      </c>
      <c r="C6" s="37" t="s">
        <v>68</v>
      </c>
      <c r="D6" s="33">
        <v>1000</v>
      </c>
      <c r="E6" s="42">
        <v>1</v>
      </c>
      <c r="F6" s="31">
        <v>20000</v>
      </c>
      <c r="G6" s="26">
        <f>F6/(D6*E6)*1.1</f>
        <v>22</v>
      </c>
      <c r="H6" s="14"/>
      <c r="I6" s="18" t="s">
        <v>31</v>
      </c>
      <c r="J6" s="9"/>
      <c r="K6" s="27"/>
      <c r="L6" s="2"/>
      <c r="M6" s="27"/>
      <c r="N6" s="9">
        <v>1</v>
      </c>
      <c r="O6" s="2"/>
      <c r="P6" s="27"/>
      <c r="Q6" s="9">
        <v>1</v>
      </c>
      <c r="R6" s="2"/>
      <c r="S6" s="27"/>
      <c r="T6" s="9">
        <v>1</v>
      </c>
      <c r="U6" s="2"/>
      <c r="V6" s="27"/>
      <c r="W6" s="9">
        <v>1</v>
      </c>
      <c r="X6" s="2"/>
      <c r="Y6" s="27"/>
      <c r="Z6" s="9">
        <v>1</v>
      </c>
      <c r="AA6" s="2"/>
      <c r="AB6" s="27"/>
      <c r="AC6" s="9">
        <v>1</v>
      </c>
      <c r="AD6" s="2"/>
      <c r="AE6" s="27"/>
      <c r="AF6" s="9">
        <v>1</v>
      </c>
      <c r="AG6" s="2"/>
      <c r="AH6" s="27"/>
      <c r="AI6" s="9">
        <v>1</v>
      </c>
      <c r="AJ6" s="2"/>
      <c r="AK6" s="27"/>
    </row>
    <row r="7" spans="1:37">
      <c r="A7" s="114"/>
      <c r="B7" s="3" t="s">
        <v>32</v>
      </c>
      <c r="C7" s="37" t="s">
        <v>68</v>
      </c>
      <c r="D7" s="33">
        <v>1000</v>
      </c>
      <c r="E7" s="42">
        <v>1</v>
      </c>
      <c r="F7" s="31">
        <v>53000</v>
      </c>
      <c r="G7" s="56">
        <f t="shared" ref="G7:G52" si="0">F7/(D7*E7)*1.1</f>
        <v>58.300000000000004</v>
      </c>
      <c r="H7" s="22"/>
      <c r="I7" s="18" t="s">
        <v>32</v>
      </c>
      <c r="J7" s="9">
        <v>1</v>
      </c>
      <c r="K7" s="27"/>
      <c r="L7" s="2">
        <v>1</v>
      </c>
      <c r="M7" s="27"/>
      <c r="N7" s="9"/>
      <c r="O7" s="2">
        <v>1</v>
      </c>
      <c r="P7" s="27"/>
      <c r="Q7" s="9"/>
      <c r="R7" s="2">
        <v>1</v>
      </c>
      <c r="S7" s="27"/>
      <c r="T7" s="9"/>
      <c r="U7" s="2">
        <v>1</v>
      </c>
      <c r="V7" s="27"/>
      <c r="W7" s="9"/>
      <c r="X7" s="2">
        <v>1</v>
      </c>
      <c r="Y7" s="27"/>
      <c r="Z7" s="9"/>
      <c r="AA7" s="2">
        <v>1</v>
      </c>
      <c r="AB7" s="27"/>
      <c r="AC7" s="9"/>
      <c r="AD7" s="2">
        <v>1</v>
      </c>
      <c r="AE7" s="27"/>
      <c r="AF7" s="9"/>
      <c r="AG7" s="2">
        <v>1</v>
      </c>
      <c r="AH7" s="27"/>
      <c r="AI7" s="9"/>
      <c r="AJ7" s="2">
        <v>1</v>
      </c>
      <c r="AK7" s="27"/>
    </row>
    <row r="8" spans="1:37">
      <c r="A8" s="114"/>
      <c r="B8" s="3" t="s">
        <v>33</v>
      </c>
      <c r="C8" s="37" t="s">
        <v>68</v>
      </c>
      <c r="D8" s="33">
        <v>1000</v>
      </c>
      <c r="E8" s="42">
        <v>1</v>
      </c>
      <c r="F8" s="31">
        <v>65000</v>
      </c>
      <c r="G8" s="26">
        <f t="shared" si="0"/>
        <v>71.5</v>
      </c>
      <c r="H8" s="22"/>
      <c r="I8" s="18" t="s">
        <v>33</v>
      </c>
      <c r="J8" s="9"/>
      <c r="K8" s="27">
        <v>1</v>
      </c>
      <c r="L8" s="2"/>
      <c r="M8" s="27">
        <v>1</v>
      </c>
      <c r="N8" s="9"/>
      <c r="O8" s="2"/>
      <c r="P8" s="27">
        <v>1</v>
      </c>
      <c r="Q8" s="9"/>
      <c r="R8" s="2"/>
      <c r="S8" s="27">
        <v>1</v>
      </c>
      <c r="T8" s="9"/>
      <c r="U8" s="2"/>
      <c r="V8" s="27">
        <v>1</v>
      </c>
      <c r="W8" s="9"/>
      <c r="X8" s="2"/>
      <c r="Y8" s="27">
        <v>1</v>
      </c>
      <c r="Z8" s="9"/>
      <c r="AA8" s="2"/>
      <c r="AB8" s="27">
        <v>1</v>
      </c>
      <c r="AC8" s="9"/>
      <c r="AD8" s="2"/>
      <c r="AE8" s="27">
        <v>1</v>
      </c>
      <c r="AF8" s="9"/>
      <c r="AG8" s="2"/>
      <c r="AH8" s="27">
        <v>1</v>
      </c>
      <c r="AI8" s="9"/>
      <c r="AJ8" s="2"/>
      <c r="AK8" s="27">
        <v>1</v>
      </c>
    </row>
    <row r="9" spans="1:37">
      <c r="A9" s="114"/>
      <c r="B9" s="4" t="s">
        <v>34</v>
      </c>
      <c r="C9" s="38" t="s">
        <v>68</v>
      </c>
      <c r="D9" s="33">
        <v>1000</v>
      </c>
      <c r="E9" s="42">
        <v>1</v>
      </c>
      <c r="F9" s="31">
        <v>18500</v>
      </c>
      <c r="G9" s="56">
        <f t="shared" si="0"/>
        <v>20.350000000000001</v>
      </c>
      <c r="H9" s="22"/>
      <c r="I9" s="19" t="s">
        <v>34</v>
      </c>
      <c r="J9" s="9">
        <v>1</v>
      </c>
      <c r="K9" s="27"/>
      <c r="L9" s="2">
        <v>1</v>
      </c>
      <c r="M9" s="27"/>
      <c r="N9" s="9"/>
      <c r="O9" s="2">
        <v>1</v>
      </c>
      <c r="P9" s="27"/>
      <c r="Q9" s="9"/>
      <c r="R9" s="2">
        <v>1</v>
      </c>
      <c r="S9" s="27"/>
      <c r="T9" s="9"/>
      <c r="U9" s="2">
        <v>1</v>
      </c>
      <c r="V9" s="27"/>
      <c r="W9" s="9"/>
      <c r="X9" s="2">
        <v>1</v>
      </c>
      <c r="Y9" s="27"/>
      <c r="Z9" s="9"/>
      <c r="AA9" s="2">
        <v>1</v>
      </c>
      <c r="AB9" s="27"/>
      <c r="AC9" s="9"/>
      <c r="AD9" s="2">
        <v>1</v>
      </c>
      <c r="AE9" s="27"/>
      <c r="AF9" s="9"/>
      <c r="AG9" s="2">
        <v>1</v>
      </c>
      <c r="AH9" s="27"/>
      <c r="AI9" s="9"/>
      <c r="AJ9" s="2">
        <v>1</v>
      </c>
      <c r="AK9" s="27"/>
    </row>
    <row r="10" spans="1:37">
      <c r="A10" s="114"/>
      <c r="B10" s="3" t="s">
        <v>35</v>
      </c>
      <c r="C10" s="37" t="s">
        <v>68</v>
      </c>
      <c r="D10" s="33">
        <v>1000</v>
      </c>
      <c r="E10" s="42">
        <v>1</v>
      </c>
      <c r="F10" s="31">
        <v>20000</v>
      </c>
      <c r="G10" s="26">
        <f t="shared" si="0"/>
        <v>22</v>
      </c>
      <c r="H10" s="22"/>
      <c r="I10" s="18" t="s">
        <v>35</v>
      </c>
      <c r="J10" s="9"/>
      <c r="K10" s="27">
        <v>1</v>
      </c>
      <c r="L10" s="2"/>
      <c r="M10" s="27">
        <v>1</v>
      </c>
      <c r="N10" s="9"/>
      <c r="O10" s="2"/>
      <c r="P10" s="27">
        <v>1</v>
      </c>
      <c r="Q10" s="9"/>
      <c r="R10" s="2"/>
      <c r="S10" s="27">
        <v>1</v>
      </c>
      <c r="T10" s="9"/>
      <c r="U10" s="2"/>
      <c r="V10" s="27">
        <v>1</v>
      </c>
      <c r="W10" s="9"/>
      <c r="X10" s="2"/>
      <c r="Y10" s="27">
        <v>1</v>
      </c>
      <c r="Z10" s="9"/>
      <c r="AA10" s="2"/>
      <c r="AB10" s="27">
        <v>1</v>
      </c>
      <c r="AC10" s="9"/>
      <c r="AD10" s="2"/>
      <c r="AE10" s="27">
        <v>1</v>
      </c>
      <c r="AF10" s="9"/>
      <c r="AG10" s="2"/>
      <c r="AH10" s="27">
        <v>1</v>
      </c>
      <c r="AI10" s="9"/>
      <c r="AJ10" s="2"/>
      <c r="AK10" s="27">
        <v>1</v>
      </c>
    </row>
    <row r="11" spans="1:37">
      <c r="A11" s="114"/>
      <c r="B11" s="3" t="s">
        <v>14</v>
      </c>
      <c r="C11" s="37" t="s">
        <v>68</v>
      </c>
      <c r="D11" s="33">
        <v>1000</v>
      </c>
      <c r="E11" s="42">
        <v>1</v>
      </c>
      <c r="F11" s="31">
        <v>18000</v>
      </c>
      <c r="G11" s="56">
        <f t="shared" si="0"/>
        <v>19.8</v>
      </c>
      <c r="H11" s="22"/>
      <c r="I11" s="18" t="s">
        <v>14</v>
      </c>
      <c r="J11" s="9">
        <v>1</v>
      </c>
      <c r="K11" s="27">
        <v>1</v>
      </c>
      <c r="L11" s="2">
        <v>1</v>
      </c>
      <c r="M11" s="27">
        <v>1</v>
      </c>
      <c r="N11" s="9">
        <v>1</v>
      </c>
      <c r="O11" s="2">
        <v>1</v>
      </c>
      <c r="P11" s="27">
        <v>1</v>
      </c>
      <c r="Q11" s="9">
        <v>1</v>
      </c>
      <c r="R11" s="2">
        <v>1</v>
      </c>
      <c r="S11" s="27">
        <v>1</v>
      </c>
      <c r="T11" s="9">
        <v>1</v>
      </c>
      <c r="U11" s="2">
        <v>1</v>
      </c>
      <c r="V11" s="27">
        <v>1</v>
      </c>
      <c r="W11" s="9">
        <v>1</v>
      </c>
      <c r="X11" s="2">
        <v>1</v>
      </c>
      <c r="Y11" s="27">
        <v>1</v>
      </c>
      <c r="Z11" s="9">
        <v>1</v>
      </c>
      <c r="AA11" s="2">
        <v>1</v>
      </c>
      <c r="AB11" s="27">
        <v>1</v>
      </c>
      <c r="AC11" s="9">
        <v>1</v>
      </c>
      <c r="AD11" s="2">
        <v>1</v>
      </c>
      <c r="AE11" s="27">
        <v>1</v>
      </c>
      <c r="AF11" s="9">
        <v>1</v>
      </c>
      <c r="AG11" s="2">
        <v>1</v>
      </c>
      <c r="AH11" s="27">
        <v>1</v>
      </c>
      <c r="AI11" s="9">
        <v>1</v>
      </c>
      <c r="AJ11" s="2">
        <v>1</v>
      </c>
      <c r="AK11" s="27">
        <v>1</v>
      </c>
    </row>
    <row r="12" spans="1:37">
      <c r="A12" s="114"/>
      <c r="B12" s="3" t="s">
        <v>36</v>
      </c>
      <c r="C12" s="37" t="s">
        <v>68</v>
      </c>
      <c r="D12" s="33">
        <v>10000</v>
      </c>
      <c r="E12" s="42">
        <v>1</v>
      </c>
      <c r="F12" s="31">
        <v>69000</v>
      </c>
      <c r="G12" s="26">
        <f t="shared" si="0"/>
        <v>7.5900000000000007</v>
      </c>
      <c r="H12" s="22"/>
      <c r="I12" s="18" t="s">
        <v>36</v>
      </c>
      <c r="J12" s="9">
        <v>1</v>
      </c>
      <c r="K12" s="27"/>
      <c r="L12" s="2">
        <v>1</v>
      </c>
      <c r="M12" s="27"/>
      <c r="N12" s="9"/>
      <c r="O12" s="2"/>
      <c r="P12" s="27"/>
      <c r="Q12" s="9"/>
      <c r="R12" s="2"/>
      <c r="S12" s="27"/>
      <c r="T12" s="9"/>
      <c r="U12" s="2"/>
      <c r="V12" s="27"/>
      <c r="W12" s="9"/>
      <c r="X12" s="2"/>
      <c r="Y12" s="27"/>
      <c r="Z12" s="9"/>
      <c r="AA12" s="2">
        <v>1</v>
      </c>
      <c r="AB12" s="27"/>
      <c r="AC12" s="9"/>
      <c r="AD12" s="2">
        <v>1</v>
      </c>
      <c r="AE12" s="27"/>
      <c r="AF12" s="9"/>
      <c r="AG12" s="2">
        <v>1</v>
      </c>
      <c r="AH12" s="27"/>
      <c r="AI12" s="9"/>
      <c r="AJ12" s="2">
        <v>1</v>
      </c>
      <c r="AK12" s="27"/>
    </row>
    <row r="13" spans="1:37">
      <c r="A13" s="114"/>
      <c r="B13" s="3" t="s">
        <v>37</v>
      </c>
      <c r="C13" s="37" t="s">
        <v>68</v>
      </c>
      <c r="D13" s="33">
        <v>3200</v>
      </c>
      <c r="E13" s="42">
        <v>1</v>
      </c>
      <c r="F13" s="31">
        <v>71000</v>
      </c>
      <c r="G13" s="56">
        <f t="shared" si="0"/>
        <v>24.406250000000004</v>
      </c>
      <c r="H13" s="22"/>
      <c r="I13" s="18" t="s">
        <v>37</v>
      </c>
      <c r="J13" s="9"/>
      <c r="K13" s="27"/>
      <c r="L13" s="2"/>
      <c r="M13" s="27"/>
      <c r="N13" s="9"/>
      <c r="O13" s="2">
        <v>1</v>
      </c>
      <c r="P13" s="27"/>
      <c r="Q13" s="9"/>
      <c r="R13" s="2">
        <v>1</v>
      </c>
      <c r="S13" s="27"/>
      <c r="T13" s="9"/>
      <c r="U13" s="2">
        <v>1</v>
      </c>
      <c r="V13" s="27"/>
      <c r="W13" s="9"/>
      <c r="X13" s="2">
        <v>1</v>
      </c>
      <c r="Y13" s="27"/>
      <c r="Z13" s="9"/>
      <c r="AA13" s="2"/>
      <c r="AB13" s="27"/>
      <c r="AC13" s="9"/>
      <c r="AD13" s="2"/>
      <c r="AE13" s="27"/>
      <c r="AF13" s="9"/>
      <c r="AG13" s="2"/>
      <c r="AH13" s="27"/>
      <c r="AI13" s="9"/>
      <c r="AJ13" s="2"/>
      <c r="AK13" s="27"/>
    </row>
    <row r="14" spans="1:37">
      <c r="A14" s="114"/>
      <c r="B14" s="3" t="s">
        <v>38</v>
      </c>
      <c r="C14" s="37" t="s">
        <v>68</v>
      </c>
      <c r="D14" s="33">
        <v>10000</v>
      </c>
      <c r="E14" s="42">
        <v>1</v>
      </c>
      <c r="F14" s="31">
        <v>72000</v>
      </c>
      <c r="G14" s="26">
        <f t="shared" si="0"/>
        <v>7.9200000000000008</v>
      </c>
      <c r="H14" s="22"/>
      <c r="I14" s="18" t="s">
        <v>38</v>
      </c>
      <c r="J14" s="9"/>
      <c r="K14" s="27">
        <v>1</v>
      </c>
      <c r="L14" s="2"/>
      <c r="M14" s="27">
        <v>1</v>
      </c>
      <c r="N14" s="9"/>
      <c r="O14" s="2"/>
      <c r="P14" s="27"/>
      <c r="Q14" s="9"/>
      <c r="R14" s="2"/>
      <c r="S14" s="27"/>
      <c r="T14" s="9"/>
      <c r="U14" s="2"/>
      <c r="V14" s="27"/>
      <c r="W14" s="9"/>
      <c r="X14" s="2"/>
      <c r="Y14" s="27"/>
      <c r="Z14" s="9"/>
      <c r="AA14" s="2"/>
      <c r="AB14" s="27">
        <v>1</v>
      </c>
      <c r="AC14" s="9"/>
      <c r="AD14" s="2"/>
      <c r="AE14" s="27">
        <v>1</v>
      </c>
      <c r="AF14" s="9"/>
      <c r="AG14" s="2"/>
      <c r="AH14" s="27">
        <v>1</v>
      </c>
      <c r="AI14" s="9"/>
      <c r="AJ14" s="2"/>
      <c r="AK14" s="27">
        <v>1</v>
      </c>
    </row>
    <row r="15" spans="1:37">
      <c r="A15" s="114"/>
      <c r="B15" s="3" t="s">
        <v>39</v>
      </c>
      <c r="C15" s="37" t="s">
        <v>68</v>
      </c>
      <c r="D15" s="33">
        <v>3200</v>
      </c>
      <c r="E15" s="42">
        <v>1</v>
      </c>
      <c r="F15" s="31">
        <v>73000</v>
      </c>
      <c r="G15" s="56">
        <f t="shared" si="0"/>
        <v>25.093750000000004</v>
      </c>
      <c r="H15" s="22"/>
      <c r="I15" s="18" t="s">
        <v>39</v>
      </c>
      <c r="J15" s="9"/>
      <c r="K15" s="27"/>
      <c r="L15" s="2"/>
      <c r="M15" s="27"/>
      <c r="N15" s="9"/>
      <c r="O15" s="2"/>
      <c r="P15" s="27">
        <v>1</v>
      </c>
      <c r="Q15" s="9"/>
      <c r="R15" s="2"/>
      <c r="S15" s="27">
        <v>1</v>
      </c>
      <c r="T15" s="9"/>
      <c r="U15" s="2"/>
      <c r="V15" s="27">
        <v>1</v>
      </c>
      <c r="W15" s="9"/>
      <c r="X15" s="2"/>
      <c r="Y15" s="27">
        <v>1</v>
      </c>
      <c r="Z15" s="9"/>
      <c r="AA15" s="2"/>
      <c r="AB15" s="27"/>
      <c r="AC15" s="9"/>
      <c r="AD15" s="2"/>
      <c r="AE15" s="27"/>
      <c r="AF15" s="9"/>
      <c r="AG15" s="2"/>
      <c r="AH15" s="27"/>
      <c r="AI15" s="9"/>
      <c r="AJ15" s="2"/>
      <c r="AK15" s="27"/>
    </row>
    <row r="16" spans="1:37" ht="17.25" thickBot="1">
      <c r="A16" s="113"/>
      <c r="B16" s="5" t="s">
        <v>40</v>
      </c>
      <c r="C16" s="39" t="s">
        <v>68</v>
      </c>
      <c r="D16" s="34">
        <v>10000</v>
      </c>
      <c r="E16" s="43">
        <v>1</v>
      </c>
      <c r="F16" s="32">
        <v>68000</v>
      </c>
      <c r="G16" s="26">
        <f t="shared" si="0"/>
        <v>7.48</v>
      </c>
      <c r="H16" s="22"/>
      <c r="I16" s="21" t="s">
        <v>40</v>
      </c>
      <c r="J16" s="51"/>
      <c r="K16" s="49"/>
      <c r="L16" s="11"/>
      <c r="M16" s="49"/>
      <c r="N16" s="51">
        <v>1</v>
      </c>
      <c r="O16" s="11"/>
      <c r="P16" s="49"/>
      <c r="Q16" s="51">
        <v>1</v>
      </c>
      <c r="R16" s="11"/>
      <c r="S16" s="49"/>
      <c r="T16" s="51">
        <v>1</v>
      </c>
      <c r="U16" s="11"/>
      <c r="V16" s="49"/>
      <c r="W16" s="51">
        <v>1</v>
      </c>
      <c r="X16" s="11"/>
      <c r="Y16" s="49"/>
      <c r="Z16" s="51">
        <v>1</v>
      </c>
      <c r="AA16" s="11"/>
      <c r="AB16" s="49"/>
      <c r="AC16" s="51">
        <v>1</v>
      </c>
      <c r="AD16" s="11"/>
      <c r="AE16" s="49"/>
      <c r="AF16" s="51">
        <v>1</v>
      </c>
      <c r="AG16" s="11"/>
      <c r="AH16" s="49"/>
      <c r="AI16" s="51">
        <v>1</v>
      </c>
      <c r="AJ16" s="11"/>
      <c r="AK16" s="49"/>
    </row>
    <row r="17" spans="1:37" ht="17.25" thickBot="1">
      <c r="A17" s="112" t="s">
        <v>63</v>
      </c>
      <c r="B17" s="6" t="s">
        <v>15</v>
      </c>
      <c r="C17" s="40" t="s">
        <v>70</v>
      </c>
      <c r="D17" s="35">
        <v>1500</v>
      </c>
      <c r="E17" s="41">
        <v>6</v>
      </c>
      <c r="F17" s="30">
        <v>19200</v>
      </c>
      <c r="G17" s="29">
        <f t="shared" si="0"/>
        <v>2.3466666666666667</v>
      </c>
      <c r="H17" s="17"/>
      <c r="I17" s="20" t="s">
        <v>15</v>
      </c>
      <c r="J17" s="50"/>
      <c r="K17" s="48"/>
      <c r="L17" s="10"/>
      <c r="M17" s="48"/>
      <c r="N17" s="50">
        <v>30</v>
      </c>
      <c r="O17" s="10">
        <v>30</v>
      </c>
      <c r="P17" s="48">
        <v>30</v>
      </c>
      <c r="Q17" s="50"/>
      <c r="R17" s="10"/>
      <c r="S17" s="48"/>
      <c r="T17" s="50">
        <v>30</v>
      </c>
      <c r="U17" s="10">
        <v>30</v>
      </c>
      <c r="V17" s="48">
        <v>40</v>
      </c>
      <c r="W17" s="50">
        <v>30</v>
      </c>
      <c r="X17" s="10">
        <v>30</v>
      </c>
      <c r="Y17" s="48">
        <v>40</v>
      </c>
      <c r="Z17" s="50"/>
      <c r="AA17" s="10"/>
      <c r="AB17" s="48"/>
      <c r="AC17" s="50"/>
      <c r="AD17" s="10"/>
      <c r="AE17" s="48"/>
      <c r="AF17" s="50"/>
      <c r="AG17" s="10"/>
      <c r="AH17" s="48"/>
      <c r="AI17" s="50"/>
      <c r="AJ17" s="10"/>
      <c r="AK17" s="48"/>
    </row>
    <row r="18" spans="1:37" hidden="1">
      <c r="A18" s="114"/>
      <c r="B18" s="3" t="s">
        <v>16</v>
      </c>
      <c r="C18" s="37" t="s">
        <v>70</v>
      </c>
      <c r="D18" s="33">
        <v>750</v>
      </c>
      <c r="E18" s="42">
        <v>8</v>
      </c>
      <c r="F18" s="85">
        <v>58880</v>
      </c>
      <c r="G18" s="26">
        <f t="shared" si="0"/>
        <v>10.794666666666666</v>
      </c>
      <c r="H18" s="22"/>
      <c r="I18" s="18" t="s">
        <v>16</v>
      </c>
      <c r="J18" s="9"/>
      <c r="K18" s="27"/>
      <c r="L18" s="2"/>
      <c r="M18" s="27"/>
      <c r="N18" s="9"/>
      <c r="O18" s="2"/>
      <c r="P18" s="27"/>
      <c r="Q18" s="9"/>
      <c r="R18" s="2"/>
      <c r="S18" s="27"/>
      <c r="T18" s="9"/>
      <c r="U18" s="2"/>
      <c r="V18" s="27"/>
      <c r="W18" s="9"/>
      <c r="X18" s="2"/>
      <c r="Y18" s="27"/>
      <c r="Z18" s="9"/>
      <c r="AA18" s="2"/>
      <c r="AB18" s="27"/>
      <c r="AC18" s="9"/>
      <c r="AD18" s="2"/>
      <c r="AE18" s="27"/>
      <c r="AF18" s="9"/>
      <c r="AG18" s="2"/>
      <c r="AH18" s="27"/>
      <c r="AI18" s="9"/>
      <c r="AJ18" s="2"/>
      <c r="AK18" s="27"/>
    </row>
    <row r="19" spans="1:37" hidden="1">
      <c r="A19" s="114"/>
      <c r="B19" s="3" t="s">
        <v>52</v>
      </c>
      <c r="C19" s="37" t="s">
        <v>70</v>
      </c>
      <c r="D19" s="33">
        <v>750</v>
      </c>
      <c r="E19" s="42">
        <v>8</v>
      </c>
      <c r="F19" s="31">
        <v>58880</v>
      </c>
      <c r="G19" s="56">
        <f t="shared" si="0"/>
        <v>10.794666666666666</v>
      </c>
      <c r="H19" s="22"/>
      <c r="I19" s="18" t="s">
        <v>52</v>
      </c>
      <c r="J19" s="9"/>
      <c r="K19" s="27"/>
      <c r="L19" s="2"/>
      <c r="M19" s="27"/>
      <c r="N19" s="9"/>
      <c r="O19" s="2"/>
      <c r="P19" s="27"/>
      <c r="Q19" s="9"/>
      <c r="R19" s="2"/>
      <c r="S19" s="27"/>
      <c r="T19" s="9"/>
      <c r="U19" s="2"/>
      <c r="V19" s="27"/>
      <c r="W19" s="9"/>
      <c r="X19" s="2"/>
      <c r="Y19" s="27"/>
      <c r="Z19" s="9"/>
      <c r="AA19" s="2"/>
      <c r="AB19" s="27"/>
      <c r="AC19" s="9"/>
      <c r="AD19" s="2"/>
      <c r="AE19" s="27"/>
      <c r="AF19" s="9"/>
      <c r="AG19" s="2"/>
      <c r="AH19" s="27"/>
      <c r="AI19" s="9"/>
      <c r="AJ19" s="2"/>
      <c r="AK19" s="27"/>
    </row>
    <row r="20" spans="1:37" hidden="1">
      <c r="A20" s="114"/>
      <c r="B20" s="3" t="s">
        <v>21</v>
      </c>
      <c r="C20" s="37" t="s">
        <v>70</v>
      </c>
      <c r="D20" s="33">
        <v>1890</v>
      </c>
      <c r="E20" s="42">
        <v>4</v>
      </c>
      <c r="F20" s="31">
        <v>56400</v>
      </c>
      <c r="G20" s="26">
        <f t="shared" si="0"/>
        <v>8.2063492063492074</v>
      </c>
      <c r="H20" s="22"/>
      <c r="I20" s="18" t="s">
        <v>21</v>
      </c>
      <c r="J20" s="9"/>
      <c r="K20" s="27"/>
      <c r="L20" s="2"/>
      <c r="M20" s="27"/>
      <c r="N20" s="9"/>
      <c r="O20" s="2"/>
      <c r="P20" s="27"/>
      <c r="Q20" s="9"/>
      <c r="R20" s="2"/>
      <c r="S20" s="27"/>
      <c r="T20" s="9"/>
      <c r="U20" s="2"/>
      <c r="V20" s="27"/>
      <c r="W20" s="9"/>
      <c r="X20" s="2"/>
      <c r="Y20" s="27"/>
      <c r="Z20" s="9"/>
      <c r="AA20" s="2"/>
      <c r="AB20" s="27"/>
      <c r="AC20" s="9"/>
      <c r="AD20" s="2"/>
      <c r="AE20" s="27"/>
      <c r="AF20" s="9"/>
      <c r="AG20" s="2"/>
      <c r="AH20" s="27"/>
      <c r="AI20" s="9"/>
      <c r="AJ20" s="2"/>
      <c r="AK20" s="27"/>
    </row>
    <row r="21" spans="1:37" ht="17.25" hidden="1" thickBot="1">
      <c r="A21" s="113"/>
      <c r="B21" s="5" t="s">
        <v>22</v>
      </c>
      <c r="C21" s="39" t="s">
        <v>70</v>
      </c>
      <c r="D21" s="34">
        <v>1890</v>
      </c>
      <c r="E21" s="43">
        <v>4</v>
      </c>
      <c r="F21" s="32">
        <v>60400</v>
      </c>
      <c r="G21" s="56">
        <f t="shared" si="0"/>
        <v>8.7883597883597897</v>
      </c>
      <c r="H21" s="17"/>
      <c r="I21" s="21" t="s">
        <v>22</v>
      </c>
      <c r="J21" s="51"/>
      <c r="K21" s="49"/>
      <c r="L21" s="11"/>
      <c r="M21" s="49"/>
      <c r="N21" s="51"/>
      <c r="O21" s="11"/>
      <c r="P21" s="49"/>
      <c r="Q21" s="51"/>
      <c r="R21" s="11"/>
      <c r="S21" s="49"/>
      <c r="T21" s="51"/>
      <c r="U21" s="11"/>
      <c r="V21" s="49"/>
      <c r="W21" s="51"/>
      <c r="X21" s="11"/>
      <c r="Y21" s="49"/>
      <c r="Z21" s="51"/>
      <c r="AA21" s="11"/>
      <c r="AB21" s="49"/>
      <c r="AC21" s="51"/>
      <c r="AD21" s="11"/>
      <c r="AE21" s="49"/>
      <c r="AF21" s="51"/>
      <c r="AG21" s="11"/>
      <c r="AH21" s="49"/>
      <c r="AI21" s="51"/>
      <c r="AJ21" s="11"/>
      <c r="AK21" s="49"/>
    </row>
    <row r="22" spans="1:37" ht="17.25" thickBot="1">
      <c r="A22" s="112" t="s">
        <v>64</v>
      </c>
      <c r="B22" s="6" t="s">
        <v>53</v>
      </c>
      <c r="C22" s="40" t="s">
        <v>69</v>
      </c>
      <c r="D22" s="35">
        <v>907</v>
      </c>
      <c r="E22" s="41">
        <v>12</v>
      </c>
      <c r="F22" s="30">
        <v>92400</v>
      </c>
      <c r="G22" s="57">
        <f t="shared" si="0"/>
        <v>9.33847850055127</v>
      </c>
      <c r="H22" s="22"/>
      <c r="I22" s="20" t="s">
        <v>53</v>
      </c>
      <c r="J22" s="50">
        <v>70</v>
      </c>
      <c r="K22" s="48">
        <v>100</v>
      </c>
      <c r="L22" s="10">
        <v>70</v>
      </c>
      <c r="M22" s="48">
        <v>100</v>
      </c>
      <c r="N22" s="50"/>
      <c r="O22" s="10"/>
      <c r="P22" s="48"/>
      <c r="Q22" s="50"/>
      <c r="R22" s="10"/>
      <c r="S22" s="48"/>
      <c r="T22" s="50"/>
      <c r="U22" s="10"/>
      <c r="V22" s="48"/>
      <c r="W22" s="50"/>
      <c r="X22" s="10"/>
      <c r="Y22" s="48"/>
      <c r="Z22" s="50"/>
      <c r="AA22" s="10"/>
      <c r="AB22" s="48"/>
      <c r="AC22" s="50"/>
      <c r="AD22" s="10"/>
      <c r="AE22" s="48"/>
      <c r="AF22" s="50"/>
      <c r="AG22" s="10"/>
      <c r="AH22" s="48"/>
      <c r="AI22" s="50"/>
      <c r="AJ22" s="10"/>
      <c r="AK22" s="48"/>
    </row>
    <row r="23" spans="1:37" hidden="1">
      <c r="A23" s="114"/>
      <c r="B23" s="3" t="s">
        <v>56</v>
      </c>
      <c r="C23" s="37" t="s">
        <v>69</v>
      </c>
      <c r="D23" s="33">
        <v>800</v>
      </c>
      <c r="E23" s="42">
        <v>12</v>
      </c>
      <c r="F23" s="31">
        <v>92400</v>
      </c>
      <c r="G23" s="56">
        <f t="shared" si="0"/>
        <v>10.5875</v>
      </c>
      <c r="H23" s="22"/>
      <c r="I23" s="18" t="s">
        <v>56</v>
      </c>
      <c r="J23" s="9"/>
      <c r="K23" s="27"/>
      <c r="L23" s="2"/>
      <c r="M23" s="27"/>
      <c r="N23" s="9"/>
      <c r="O23" s="2"/>
      <c r="P23" s="27"/>
      <c r="Q23" s="9"/>
      <c r="R23" s="2"/>
      <c r="S23" s="27"/>
      <c r="T23" s="9"/>
      <c r="U23" s="2"/>
      <c r="V23" s="27"/>
      <c r="W23" s="9"/>
      <c r="X23" s="2"/>
      <c r="Y23" s="27"/>
      <c r="Z23" s="9"/>
      <c r="AA23" s="2"/>
      <c r="AB23" s="27"/>
      <c r="AC23" s="9"/>
      <c r="AD23" s="2"/>
      <c r="AE23" s="27"/>
      <c r="AF23" s="9"/>
      <c r="AG23" s="2"/>
      <c r="AH23" s="27"/>
      <c r="AI23" s="9"/>
      <c r="AJ23" s="2"/>
      <c r="AK23" s="27"/>
    </row>
    <row r="24" spans="1:37" hidden="1">
      <c r="A24" s="114"/>
      <c r="B24" s="3" t="s">
        <v>57</v>
      </c>
      <c r="C24" s="37" t="s">
        <v>69</v>
      </c>
      <c r="D24" s="33">
        <v>800</v>
      </c>
      <c r="E24" s="42">
        <v>12</v>
      </c>
      <c r="F24" s="31">
        <v>74400</v>
      </c>
      <c r="G24" s="26">
        <f t="shared" si="0"/>
        <v>8.5250000000000004</v>
      </c>
      <c r="H24" s="22"/>
      <c r="I24" s="18" t="s">
        <v>57</v>
      </c>
      <c r="J24" s="9"/>
      <c r="K24" s="27"/>
      <c r="L24" s="2"/>
      <c r="M24" s="27"/>
      <c r="N24" s="9"/>
      <c r="O24" s="2"/>
      <c r="P24" s="27"/>
      <c r="Q24" s="9"/>
      <c r="R24" s="2"/>
      <c r="S24" s="27"/>
      <c r="T24" s="9"/>
      <c r="U24" s="2"/>
      <c r="V24" s="27"/>
      <c r="W24" s="9"/>
      <c r="X24" s="2"/>
      <c r="Y24" s="27"/>
      <c r="Z24" s="9"/>
      <c r="AA24" s="2"/>
      <c r="AB24" s="27"/>
      <c r="AC24" s="9"/>
      <c r="AD24" s="2"/>
      <c r="AE24" s="27"/>
      <c r="AF24" s="9"/>
      <c r="AG24" s="2"/>
      <c r="AH24" s="27"/>
      <c r="AI24" s="9"/>
      <c r="AJ24" s="2"/>
      <c r="AK24" s="27"/>
    </row>
    <row r="25" spans="1:37" hidden="1">
      <c r="A25" s="114"/>
      <c r="B25" s="3" t="s">
        <v>55</v>
      </c>
      <c r="C25" s="37" t="s">
        <v>69</v>
      </c>
      <c r="D25" s="33">
        <v>1000</v>
      </c>
      <c r="E25" s="42">
        <v>12</v>
      </c>
      <c r="F25" s="31">
        <v>87000</v>
      </c>
      <c r="G25" s="56">
        <f t="shared" si="0"/>
        <v>7.9750000000000005</v>
      </c>
      <c r="H25" s="22"/>
      <c r="I25" s="18" t="s">
        <v>55</v>
      </c>
      <c r="J25" s="9"/>
      <c r="K25" s="27"/>
      <c r="L25" s="2"/>
      <c r="M25" s="27"/>
      <c r="N25" s="9"/>
      <c r="O25" s="2"/>
      <c r="P25" s="27"/>
      <c r="Q25" s="9"/>
      <c r="R25" s="2"/>
      <c r="S25" s="27"/>
      <c r="T25" s="9"/>
      <c r="U25" s="2"/>
      <c r="V25" s="27"/>
      <c r="W25" s="9"/>
      <c r="X25" s="2"/>
      <c r="Y25" s="27"/>
      <c r="Z25" s="9"/>
      <c r="AA25" s="2"/>
      <c r="AB25" s="27"/>
      <c r="AC25" s="9"/>
      <c r="AD25" s="2"/>
      <c r="AE25" s="27"/>
      <c r="AF25" s="9"/>
      <c r="AG25" s="2"/>
      <c r="AH25" s="27"/>
      <c r="AI25" s="9"/>
      <c r="AJ25" s="2"/>
      <c r="AK25" s="27"/>
    </row>
    <row r="26" spans="1:37" hidden="1">
      <c r="A26" s="114"/>
      <c r="B26" s="3" t="s">
        <v>41</v>
      </c>
      <c r="C26" s="37" t="s">
        <v>69</v>
      </c>
      <c r="D26" s="33">
        <v>1000</v>
      </c>
      <c r="E26" s="42">
        <v>12</v>
      </c>
      <c r="F26" s="31">
        <v>79200</v>
      </c>
      <c r="G26" s="26">
        <f t="shared" si="0"/>
        <v>7.26</v>
      </c>
      <c r="H26" s="22"/>
      <c r="I26" s="18" t="s">
        <v>41</v>
      </c>
      <c r="J26" s="9"/>
      <c r="K26" s="27"/>
      <c r="L26" s="2"/>
      <c r="M26" s="27"/>
      <c r="N26" s="9"/>
      <c r="O26" s="2"/>
      <c r="P26" s="27"/>
      <c r="Q26" s="9"/>
      <c r="R26" s="2"/>
      <c r="S26" s="27"/>
      <c r="T26" s="9"/>
      <c r="U26" s="2"/>
      <c r="V26" s="27"/>
      <c r="W26" s="9"/>
      <c r="X26" s="2"/>
      <c r="Y26" s="27"/>
      <c r="Z26" s="9"/>
      <c r="AA26" s="2"/>
      <c r="AB26" s="27"/>
      <c r="AC26" s="9"/>
      <c r="AD26" s="2"/>
      <c r="AE26" s="27"/>
      <c r="AF26" s="9"/>
      <c r="AG26" s="2"/>
      <c r="AH26" s="27"/>
      <c r="AI26" s="9"/>
      <c r="AJ26" s="2"/>
      <c r="AK26" s="27"/>
    </row>
    <row r="27" spans="1:37" hidden="1">
      <c r="A27" s="114"/>
      <c r="B27" s="3" t="s">
        <v>45</v>
      </c>
      <c r="C27" s="37" t="s">
        <v>69</v>
      </c>
      <c r="D27" s="33">
        <v>500</v>
      </c>
      <c r="E27" s="42">
        <v>12</v>
      </c>
      <c r="F27" s="31">
        <v>63600</v>
      </c>
      <c r="G27" s="56">
        <f t="shared" si="0"/>
        <v>11.66</v>
      </c>
      <c r="H27" s="22"/>
      <c r="I27" s="18" t="s">
        <v>45</v>
      </c>
      <c r="J27" s="9"/>
      <c r="K27" s="27"/>
      <c r="L27" s="2"/>
      <c r="M27" s="27"/>
      <c r="N27" s="9"/>
      <c r="O27" s="2"/>
      <c r="P27" s="27"/>
      <c r="Q27" s="9"/>
      <c r="R27" s="2"/>
      <c r="S27" s="27"/>
      <c r="T27" s="9"/>
      <c r="U27" s="2"/>
      <c r="V27" s="27"/>
      <c r="W27" s="9"/>
      <c r="X27" s="2"/>
      <c r="Y27" s="27"/>
      <c r="Z27" s="9"/>
      <c r="AA27" s="2"/>
      <c r="AB27" s="27"/>
      <c r="AC27" s="9"/>
      <c r="AD27" s="2"/>
      <c r="AE27" s="27"/>
      <c r="AF27" s="9"/>
      <c r="AG27" s="2"/>
      <c r="AH27" s="27"/>
      <c r="AI27" s="9"/>
      <c r="AJ27" s="2"/>
      <c r="AK27" s="27"/>
    </row>
    <row r="28" spans="1:37" hidden="1">
      <c r="A28" s="114"/>
      <c r="B28" s="3" t="s">
        <v>47</v>
      </c>
      <c r="C28" s="37" t="s">
        <v>69</v>
      </c>
      <c r="D28" s="33">
        <v>1000</v>
      </c>
      <c r="E28" s="42">
        <v>12</v>
      </c>
      <c r="F28" s="31">
        <v>100800</v>
      </c>
      <c r="G28" s="56">
        <f t="shared" si="0"/>
        <v>9.240000000000002</v>
      </c>
      <c r="H28" s="22"/>
      <c r="I28" s="18" t="s">
        <v>47</v>
      </c>
      <c r="J28" s="9"/>
      <c r="K28" s="27"/>
      <c r="L28" s="2"/>
      <c r="M28" s="27"/>
      <c r="N28" s="9"/>
      <c r="O28" s="2"/>
      <c r="P28" s="27"/>
      <c r="Q28" s="9"/>
      <c r="R28" s="2"/>
      <c r="S28" s="27"/>
      <c r="T28" s="9"/>
      <c r="U28" s="2"/>
      <c r="V28" s="27"/>
      <c r="W28" s="9"/>
      <c r="X28" s="2"/>
      <c r="Y28" s="27"/>
      <c r="Z28" s="9"/>
      <c r="AA28" s="2"/>
      <c r="AB28" s="27"/>
      <c r="AC28" s="9"/>
      <c r="AD28" s="2"/>
      <c r="AE28" s="27"/>
      <c r="AF28" s="9"/>
      <c r="AG28" s="2"/>
      <c r="AH28" s="27"/>
      <c r="AI28" s="9"/>
      <c r="AJ28" s="2"/>
      <c r="AK28" s="27"/>
    </row>
    <row r="29" spans="1:37" hidden="1">
      <c r="A29" s="114"/>
      <c r="B29" s="3" t="s">
        <v>48</v>
      </c>
      <c r="C29" s="37" t="s">
        <v>69</v>
      </c>
      <c r="D29" s="33">
        <v>800</v>
      </c>
      <c r="E29" s="42">
        <v>12</v>
      </c>
      <c r="F29" s="31">
        <v>54000</v>
      </c>
      <c r="G29" s="26">
        <f t="shared" si="0"/>
        <v>6.1875000000000009</v>
      </c>
      <c r="H29" s="22"/>
      <c r="I29" s="18" t="s">
        <v>48</v>
      </c>
      <c r="J29" s="9"/>
      <c r="K29" s="27"/>
      <c r="L29" s="2"/>
      <c r="M29" s="27"/>
      <c r="N29" s="9"/>
      <c r="O29" s="2"/>
      <c r="P29" s="27"/>
      <c r="Q29" s="9"/>
      <c r="R29" s="2"/>
      <c r="S29" s="27"/>
      <c r="T29" s="9"/>
      <c r="U29" s="2"/>
      <c r="V29" s="27"/>
      <c r="W29" s="9"/>
      <c r="X29" s="2"/>
      <c r="Y29" s="27"/>
      <c r="Z29" s="9"/>
      <c r="AA29" s="2"/>
      <c r="AB29" s="27"/>
      <c r="AC29" s="9"/>
      <c r="AD29" s="2"/>
      <c r="AE29" s="27"/>
      <c r="AF29" s="9"/>
      <c r="AG29" s="2"/>
      <c r="AH29" s="27"/>
      <c r="AI29" s="9"/>
      <c r="AJ29" s="2"/>
      <c r="AK29" s="27"/>
    </row>
    <row r="30" spans="1:37" hidden="1">
      <c r="A30" s="114"/>
      <c r="B30" s="3" t="s">
        <v>61</v>
      </c>
      <c r="C30" s="37" t="s">
        <v>69</v>
      </c>
      <c r="D30" s="33">
        <v>800</v>
      </c>
      <c r="E30" s="42">
        <v>12</v>
      </c>
      <c r="F30" s="31">
        <v>80400</v>
      </c>
      <c r="G30" s="56">
        <f t="shared" si="0"/>
        <v>9.2125000000000004</v>
      </c>
      <c r="H30" s="22"/>
      <c r="I30" s="18" t="s">
        <v>61</v>
      </c>
      <c r="J30" s="9"/>
      <c r="K30" s="27"/>
      <c r="L30" s="2"/>
      <c r="M30" s="27"/>
      <c r="N30" s="9"/>
      <c r="O30" s="2"/>
      <c r="P30" s="27"/>
      <c r="Q30" s="9"/>
      <c r="R30" s="2"/>
      <c r="S30" s="27"/>
      <c r="T30" s="9"/>
      <c r="U30" s="2"/>
      <c r="V30" s="27"/>
      <c r="W30" s="9"/>
      <c r="X30" s="2"/>
      <c r="Y30" s="27"/>
      <c r="Z30" s="9"/>
      <c r="AA30" s="2"/>
      <c r="AB30" s="27"/>
      <c r="AC30" s="9"/>
      <c r="AD30" s="2"/>
      <c r="AE30" s="27"/>
      <c r="AF30" s="9"/>
      <c r="AG30" s="2"/>
      <c r="AH30" s="27"/>
      <c r="AI30" s="9"/>
      <c r="AJ30" s="2"/>
      <c r="AK30" s="27"/>
    </row>
    <row r="31" spans="1:37" ht="17.25" hidden="1" thickBot="1">
      <c r="A31" s="113"/>
      <c r="B31" s="5" t="s">
        <v>20</v>
      </c>
      <c r="C31" s="39" t="s">
        <v>69</v>
      </c>
      <c r="D31" s="34">
        <v>500</v>
      </c>
      <c r="E31" s="43">
        <v>6</v>
      </c>
      <c r="F31" s="32">
        <v>39600</v>
      </c>
      <c r="G31" s="26">
        <f t="shared" si="0"/>
        <v>14.52</v>
      </c>
      <c r="H31" s="22"/>
      <c r="I31" s="21" t="s">
        <v>20</v>
      </c>
      <c r="J31" s="51"/>
      <c r="K31" s="49"/>
      <c r="L31" s="11"/>
      <c r="M31" s="49"/>
      <c r="N31" s="51"/>
      <c r="O31" s="11"/>
      <c r="P31" s="49"/>
      <c r="Q31" s="51"/>
      <c r="R31" s="11"/>
      <c r="S31" s="49"/>
      <c r="T31" s="51"/>
      <c r="U31" s="11"/>
      <c r="V31" s="49"/>
      <c r="W31" s="51"/>
      <c r="X31" s="11"/>
      <c r="Y31" s="49"/>
      <c r="Z31" s="51"/>
      <c r="AA31" s="11"/>
      <c r="AB31" s="49"/>
      <c r="AC31" s="51"/>
      <c r="AD31" s="11"/>
      <c r="AE31" s="49"/>
      <c r="AF31" s="51"/>
      <c r="AG31" s="11"/>
      <c r="AH31" s="49"/>
      <c r="AI31" s="51"/>
      <c r="AJ31" s="11"/>
      <c r="AK31" s="49"/>
    </row>
    <row r="32" spans="1:37">
      <c r="A32" s="112" t="s">
        <v>71</v>
      </c>
      <c r="B32" s="6" t="s">
        <v>42</v>
      </c>
      <c r="C32" s="40" t="s">
        <v>69</v>
      </c>
      <c r="D32" s="35">
        <v>1500</v>
      </c>
      <c r="E32" s="41">
        <v>6</v>
      </c>
      <c r="F32" s="30">
        <v>87000</v>
      </c>
      <c r="G32" s="57">
        <f t="shared" si="0"/>
        <v>10.633333333333333</v>
      </c>
      <c r="H32" s="17"/>
      <c r="I32" s="20" t="s">
        <v>42</v>
      </c>
      <c r="J32" s="50"/>
      <c r="K32" s="48"/>
      <c r="L32" s="10"/>
      <c r="M32" s="48"/>
      <c r="N32" s="50"/>
      <c r="O32" s="10"/>
      <c r="P32" s="48"/>
      <c r="Q32" s="50"/>
      <c r="R32" s="10"/>
      <c r="S32" s="48"/>
      <c r="T32" s="50">
        <v>70</v>
      </c>
      <c r="U32" s="10">
        <v>70</v>
      </c>
      <c r="V32" s="48">
        <v>90</v>
      </c>
      <c r="W32" s="50">
        <v>70</v>
      </c>
      <c r="X32" s="10">
        <v>70</v>
      </c>
      <c r="Y32" s="48">
        <v>90</v>
      </c>
      <c r="Z32" s="50"/>
      <c r="AA32" s="10"/>
      <c r="AB32" s="48"/>
      <c r="AC32" s="50"/>
      <c r="AD32" s="10"/>
      <c r="AE32" s="48"/>
      <c r="AF32" s="50"/>
      <c r="AG32" s="10"/>
      <c r="AH32" s="48"/>
      <c r="AI32" s="50"/>
      <c r="AJ32" s="10"/>
      <c r="AK32" s="48"/>
    </row>
    <row r="33" spans="1:37" hidden="1">
      <c r="A33" s="114"/>
      <c r="B33" s="3" t="s">
        <v>43</v>
      </c>
      <c r="C33" s="37" t="s">
        <v>69</v>
      </c>
      <c r="D33" s="33">
        <v>1500</v>
      </c>
      <c r="E33" s="42">
        <v>6</v>
      </c>
      <c r="F33" s="31">
        <v>66000</v>
      </c>
      <c r="G33" s="26">
        <f t="shared" si="0"/>
        <v>8.0666666666666664</v>
      </c>
      <c r="H33" s="22"/>
      <c r="I33" s="18" t="s">
        <v>43</v>
      </c>
      <c r="J33" s="9"/>
      <c r="K33" s="27"/>
      <c r="L33" s="2"/>
      <c r="M33" s="27"/>
      <c r="N33" s="9"/>
      <c r="O33" s="2"/>
      <c r="P33" s="27"/>
      <c r="Q33" s="9"/>
      <c r="R33" s="2"/>
      <c r="S33" s="27"/>
      <c r="T33" s="9"/>
      <c r="U33" s="2"/>
      <c r="V33" s="27"/>
      <c r="W33" s="9"/>
      <c r="X33" s="2"/>
      <c r="Y33" s="27"/>
      <c r="Z33" s="9"/>
      <c r="AA33" s="2"/>
      <c r="AB33" s="27"/>
      <c r="AC33" s="9"/>
      <c r="AD33" s="2"/>
      <c r="AE33" s="27"/>
      <c r="AF33" s="9"/>
      <c r="AG33" s="2"/>
      <c r="AH33" s="27"/>
      <c r="AI33" s="9"/>
      <c r="AJ33" s="2"/>
      <c r="AK33" s="27"/>
    </row>
    <row r="34" spans="1:37" hidden="1">
      <c r="A34" s="114"/>
      <c r="B34" s="3" t="s">
        <v>54</v>
      </c>
      <c r="C34" s="37" t="s">
        <v>69</v>
      </c>
      <c r="D34" s="33">
        <v>1800</v>
      </c>
      <c r="E34" s="42">
        <v>6</v>
      </c>
      <c r="F34" s="31">
        <v>42000</v>
      </c>
      <c r="G34" s="26">
        <f t="shared" si="0"/>
        <v>4.2777777777777777</v>
      </c>
      <c r="H34" s="22"/>
      <c r="I34" s="18" t="s">
        <v>54</v>
      </c>
      <c r="J34" s="9"/>
      <c r="K34" s="27"/>
      <c r="L34" s="2"/>
      <c r="M34" s="27"/>
      <c r="N34" s="9"/>
      <c r="O34" s="2"/>
      <c r="P34" s="27"/>
      <c r="Q34" s="9"/>
      <c r="R34" s="2"/>
      <c r="S34" s="27"/>
      <c r="T34" s="9"/>
      <c r="U34" s="2"/>
      <c r="V34" s="27"/>
      <c r="W34" s="9"/>
      <c r="X34" s="2"/>
      <c r="Y34" s="27"/>
      <c r="Z34" s="9"/>
      <c r="AA34" s="2"/>
      <c r="AB34" s="27"/>
      <c r="AC34" s="9"/>
      <c r="AD34" s="2"/>
      <c r="AE34" s="27"/>
      <c r="AF34" s="9"/>
      <c r="AG34" s="2"/>
      <c r="AH34" s="27"/>
      <c r="AI34" s="9"/>
      <c r="AJ34" s="2"/>
      <c r="AK34" s="27"/>
    </row>
    <row r="35" spans="1:37" hidden="1">
      <c r="A35" s="114"/>
      <c r="B35" s="3" t="s">
        <v>44</v>
      </c>
      <c r="C35" s="37" t="s">
        <v>69</v>
      </c>
      <c r="D35" s="33">
        <v>1800</v>
      </c>
      <c r="E35" s="42">
        <v>6</v>
      </c>
      <c r="F35" s="31">
        <v>54000</v>
      </c>
      <c r="G35" s="56">
        <f t="shared" si="0"/>
        <v>5.5</v>
      </c>
      <c r="H35" s="22"/>
      <c r="I35" s="18" t="s">
        <v>44</v>
      </c>
      <c r="J35" s="9"/>
      <c r="K35" s="27"/>
      <c r="L35" s="2"/>
      <c r="M35" s="27"/>
      <c r="N35" s="9"/>
      <c r="O35" s="2"/>
      <c r="P35" s="27"/>
      <c r="Q35" s="9"/>
      <c r="R35" s="2"/>
      <c r="S35" s="27"/>
      <c r="T35" s="9"/>
      <c r="U35" s="2"/>
      <c r="V35" s="27"/>
      <c r="W35" s="9"/>
      <c r="X35" s="2"/>
      <c r="Y35" s="27"/>
      <c r="Z35" s="9"/>
      <c r="AA35" s="2"/>
      <c r="AB35" s="27"/>
      <c r="AC35" s="9"/>
      <c r="AD35" s="2"/>
      <c r="AE35" s="27"/>
      <c r="AF35" s="9"/>
      <c r="AG35" s="2"/>
      <c r="AH35" s="27"/>
      <c r="AI35" s="9"/>
      <c r="AJ35" s="2"/>
      <c r="AK35" s="27"/>
    </row>
    <row r="36" spans="1:37" hidden="1">
      <c r="A36" s="114"/>
      <c r="B36" s="3" t="s">
        <v>59</v>
      </c>
      <c r="C36" s="37" t="s">
        <v>69</v>
      </c>
      <c r="D36" s="33">
        <v>1000</v>
      </c>
      <c r="E36" s="42">
        <v>12</v>
      </c>
      <c r="F36" s="31">
        <v>63600</v>
      </c>
      <c r="G36" s="56">
        <f t="shared" si="0"/>
        <v>5.83</v>
      </c>
      <c r="H36" s="22"/>
      <c r="I36" s="18" t="s">
        <v>59</v>
      </c>
      <c r="J36" s="9"/>
      <c r="K36" s="27"/>
      <c r="L36" s="2"/>
      <c r="M36" s="27"/>
      <c r="N36" s="9"/>
      <c r="O36" s="2"/>
      <c r="P36" s="27"/>
      <c r="Q36" s="9"/>
      <c r="R36" s="2"/>
      <c r="S36" s="27"/>
      <c r="T36" s="9"/>
      <c r="U36" s="2"/>
      <c r="V36" s="27"/>
      <c r="W36" s="9"/>
      <c r="X36" s="2"/>
      <c r="Y36" s="27"/>
      <c r="Z36" s="9"/>
      <c r="AA36" s="2"/>
      <c r="AB36" s="27"/>
      <c r="AC36" s="9"/>
      <c r="AD36" s="2"/>
      <c r="AE36" s="27"/>
      <c r="AF36" s="9"/>
      <c r="AG36" s="2"/>
      <c r="AH36" s="27"/>
      <c r="AI36" s="9"/>
      <c r="AJ36" s="2"/>
      <c r="AK36" s="27"/>
    </row>
    <row r="37" spans="1:37">
      <c r="A37" s="114"/>
      <c r="B37" s="3" t="s">
        <v>58</v>
      </c>
      <c r="C37" s="37" t="s">
        <v>69</v>
      </c>
      <c r="D37" s="33">
        <v>1000</v>
      </c>
      <c r="E37" s="42">
        <v>12</v>
      </c>
      <c r="F37" s="31">
        <v>80400</v>
      </c>
      <c r="G37" s="26">
        <f t="shared" si="0"/>
        <v>7.370000000000001</v>
      </c>
      <c r="H37" s="22"/>
      <c r="I37" s="18" t="s">
        <v>58</v>
      </c>
      <c r="J37" s="9"/>
      <c r="K37" s="27"/>
      <c r="L37" s="2"/>
      <c r="M37" s="27"/>
      <c r="N37" s="9"/>
      <c r="O37" s="2"/>
      <c r="P37" s="27"/>
      <c r="Q37" s="9">
        <v>70</v>
      </c>
      <c r="R37" s="2">
        <v>70</v>
      </c>
      <c r="S37" s="27">
        <v>70</v>
      </c>
      <c r="T37" s="9"/>
      <c r="U37" s="2"/>
      <c r="V37" s="27"/>
      <c r="W37" s="9"/>
      <c r="X37" s="2"/>
      <c r="Y37" s="27"/>
      <c r="Z37" s="9"/>
      <c r="AA37" s="2"/>
      <c r="AB37" s="27"/>
      <c r="AC37" s="9"/>
      <c r="AD37" s="2"/>
      <c r="AE37" s="27"/>
      <c r="AF37" s="9"/>
      <c r="AG37" s="2"/>
      <c r="AH37" s="27"/>
      <c r="AI37" s="9"/>
      <c r="AJ37" s="2"/>
      <c r="AK37" s="27"/>
    </row>
    <row r="38" spans="1:37" hidden="1">
      <c r="A38" s="114"/>
      <c r="B38" s="3" t="s">
        <v>18</v>
      </c>
      <c r="C38" s="37" t="s">
        <v>69</v>
      </c>
      <c r="D38" s="33">
        <v>1800</v>
      </c>
      <c r="E38" s="42">
        <v>6</v>
      </c>
      <c r="F38" s="31">
        <v>41400</v>
      </c>
      <c r="G38" s="26">
        <f t="shared" si="0"/>
        <v>4.2166666666666668</v>
      </c>
      <c r="H38" s="22"/>
      <c r="I38" s="18" t="s">
        <v>18</v>
      </c>
      <c r="J38" s="9"/>
      <c r="K38" s="27"/>
      <c r="L38" s="2"/>
      <c r="M38" s="27"/>
      <c r="N38" s="9"/>
      <c r="O38" s="2"/>
      <c r="P38" s="27"/>
      <c r="Q38" s="9"/>
      <c r="R38" s="2"/>
      <c r="S38" s="27"/>
      <c r="T38" s="9"/>
      <c r="U38" s="2"/>
      <c r="V38" s="27"/>
      <c r="W38" s="9"/>
      <c r="X38" s="2"/>
      <c r="Y38" s="27"/>
      <c r="Z38" s="9"/>
      <c r="AA38" s="2"/>
      <c r="AB38" s="27"/>
      <c r="AC38" s="9"/>
      <c r="AD38" s="2"/>
      <c r="AE38" s="27"/>
      <c r="AF38" s="9"/>
      <c r="AG38" s="2"/>
      <c r="AH38" s="27"/>
      <c r="AI38" s="9"/>
      <c r="AJ38" s="2"/>
      <c r="AK38" s="27"/>
    </row>
    <row r="39" spans="1:37" hidden="1">
      <c r="A39" s="114"/>
      <c r="B39" s="3" t="s">
        <v>17</v>
      </c>
      <c r="C39" s="37" t="s">
        <v>69</v>
      </c>
      <c r="D39" s="33">
        <v>1800</v>
      </c>
      <c r="E39" s="42">
        <v>6</v>
      </c>
      <c r="F39" s="31">
        <v>41400</v>
      </c>
      <c r="G39" s="56">
        <f t="shared" si="0"/>
        <v>4.2166666666666668</v>
      </c>
      <c r="H39" s="22"/>
      <c r="I39" s="18" t="s">
        <v>17</v>
      </c>
      <c r="J39" s="9"/>
      <c r="K39" s="27"/>
      <c r="L39" s="2"/>
      <c r="M39" s="27"/>
      <c r="N39" s="9"/>
      <c r="O39" s="2"/>
      <c r="P39" s="27"/>
      <c r="Q39" s="9"/>
      <c r="R39" s="2"/>
      <c r="S39" s="27"/>
      <c r="T39" s="9"/>
      <c r="U39" s="2"/>
      <c r="V39" s="27"/>
      <c r="W39" s="9"/>
      <c r="X39" s="2"/>
      <c r="Y39" s="27"/>
      <c r="Z39" s="9"/>
      <c r="AA39" s="2"/>
      <c r="AB39" s="27"/>
      <c r="AC39" s="9"/>
      <c r="AD39" s="2"/>
      <c r="AE39" s="27"/>
      <c r="AF39" s="9"/>
      <c r="AG39" s="2"/>
      <c r="AH39" s="27"/>
      <c r="AI39" s="9"/>
      <c r="AJ39" s="2"/>
      <c r="AK39" s="27"/>
    </row>
    <row r="40" spans="1:37" hidden="1">
      <c r="A40" s="114"/>
      <c r="B40" s="3" t="s">
        <v>19</v>
      </c>
      <c r="C40" s="37" t="s">
        <v>69</v>
      </c>
      <c r="D40" s="33">
        <v>1800</v>
      </c>
      <c r="E40" s="42">
        <v>6</v>
      </c>
      <c r="F40" s="31">
        <v>40800</v>
      </c>
      <c r="G40" s="26">
        <f t="shared" si="0"/>
        <v>4.1555555555555559</v>
      </c>
      <c r="H40" s="22"/>
      <c r="I40" s="18" t="s">
        <v>19</v>
      </c>
      <c r="J40" s="9"/>
      <c r="K40" s="27"/>
      <c r="L40" s="2"/>
      <c r="M40" s="27"/>
      <c r="N40" s="9"/>
      <c r="O40" s="2"/>
      <c r="P40" s="27"/>
      <c r="Q40" s="9"/>
      <c r="R40" s="2"/>
      <c r="S40" s="27"/>
      <c r="T40" s="9"/>
      <c r="U40" s="2"/>
      <c r="V40" s="27"/>
      <c r="W40" s="9"/>
      <c r="X40" s="2"/>
      <c r="Y40" s="27"/>
      <c r="Z40" s="9"/>
      <c r="AA40" s="2"/>
      <c r="AB40" s="27"/>
      <c r="AC40" s="9"/>
      <c r="AD40" s="2"/>
      <c r="AE40" s="27"/>
      <c r="AF40" s="9"/>
      <c r="AG40" s="2"/>
      <c r="AH40" s="27"/>
      <c r="AI40" s="9"/>
      <c r="AJ40" s="2"/>
      <c r="AK40" s="27"/>
    </row>
    <row r="41" spans="1:37" hidden="1">
      <c r="A41" s="114"/>
      <c r="B41" s="3" t="s">
        <v>46</v>
      </c>
      <c r="C41" s="37" t="s">
        <v>69</v>
      </c>
      <c r="D41" s="33">
        <v>1000</v>
      </c>
      <c r="E41" s="42">
        <v>12</v>
      </c>
      <c r="F41" s="31">
        <v>94800</v>
      </c>
      <c r="G41" s="56">
        <f t="shared" si="0"/>
        <v>8.6900000000000013</v>
      </c>
      <c r="H41" s="22"/>
      <c r="I41" s="18" t="s">
        <v>46</v>
      </c>
      <c r="J41" s="9"/>
      <c r="K41" s="27"/>
      <c r="L41" s="2"/>
      <c r="M41" s="27"/>
      <c r="N41" s="9"/>
      <c r="O41" s="2"/>
      <c r="P41" s="27"/>
      <c r="Q41" s="9"/>
      <c r="R41" s="2"/>
      <c r="S41" s="27"/>
      <c r="T41" s="9"/>
      <c r="U41" s="2"/>
      <c r="V41" s="27"/>
      <c r="W41" s="9"/>
      <c r="X41" s="2"/>
      <c r="Y41" s="27"/>
      <c r="Z41" s="9"/>
      <c r="AA41" s="2"/>
      <c r="AB41" s="27"/>
      <c r="AC41" s="9"/>
      <c r="AD41" s="2"/>
      <c r="AE41" s="27"/>
      <c r="AF41" s="9"/>
      <c r="AG41" s="2"/>
      <c r="AH41" s="27"/>
      <c r="AI41" s="9"/>
      <c r="AJ41" s="2"/>
      <c r="AK41" s="27"/>
    </row>
    <row r="42" spans="1:37" hidden="1">
      <c r="A42" s="114"/>
      <c r="B42" s="3" t="s">
        <v>49</v>
      </c>
      <c r="C42" s="37" t="s">
        <v>69</v>
      </c>
      <c r="D42" s="33">
        <v>1000</v>
      </c>
      <c r="E42" s="42">
        <v>6</v>
      </c>
      <c r="F42" s="31">
        <v>42000</v>
      </c>
      <c r="G42" s="26">
        <f t="shared" si="0"/>
        <v>7.7000000000000011</v>
      </c>
      <c r="H42" s="22"/>
      <c r="I42" s="18" t="s">
        <v>49</v>
      </c>
      <c r="J42" s="9"/>
      <c r="K42" s="27"/>
      <c r="L42" s="2"/>
      <c r="M42" s="27"/>
      <c r="N42" s="9"/>
      <c r="O42" s="2"/>
      <c r="P42" s="27"/>
      <c r="Q42" s="9"/>
      <c r="R42" s="2"/>
      <c r="S42" s="27"/>
      <c r="T42" s="9"/>
      <c r="U42" s="2"/>
      <c r="V42" s="27"/>
      <c r="W42" s="9"/>
      <c r="X42" s="2"/>
      <c r="Y42" s="27"/>
      <c r="Z42" s="9"/>
      <c r="AA42" s="2"/>
      <c r="AB42" s="27"/>
      <c r="AC42" s="9"/>
      <c r="AD42" s="2"/>
      <c r="AE42" s="27"/>
      <c r="AF42" s="9"/>
      <c r="AG42" s="2"/>
      <c r="AH42" s="27"/>
      <c r="AI42" s="9"/>
      <c r="AJ42" s="2"/>
      <c r="AK42" s="27"/>
    </row>
    <row r="43" spans="1:37" ht="17.25" thickBot="1">
      <c r="A43" s="114"/>
      <c r="B43" s="3" t="s">
        <v>24</v>
      </c>
      <c r="C43" s="37" t="s">
        <v>69</v>
      </c>
      <c r="D43" s="33">
        <v>1000</v>
      </c>
      <c r="E43" s="42">
        <v>4</v>
      </c>
      <c r="F43" s="31">
        <v>60000</v>
      </c>
      <c r="G43" s="56">
        <f t="shared" si="0"/>
        <v>16.5</v>
      </c>
      <c r="H43" s="22"/>
      <c r="I43" s="18" t="s">
        <v>24</v>
      </c>
      <c r="J43" s="9"/>
      <c r="K43" s="27"/>
      <c r="L43" s="2"/>
      <c r="M43" s="27"/>
      <c r="N43" s="9">
        <v>70</v>
      </c>
      <c r="O43" s="2">
        <v>70</v>
      </c>
      <c r="P43" s="27">
        <v>80</v>
      </c>
      <c r="Q43" s="9"/>
      <c r="R43" s="2"/>
      <c r="S43" s="27"/>
      <c r="T43" s="9"/>
      <c r="U43" s="2"/>
      <c r="V43" s="27"/>
      <c r="W43" s="9"/>
      <c r="X43" s="2"/>
      <c r="Y43" s="27"/>
      <c r="Z43" s="9"/>
      <c r="AA43" s="2"/>
      <c r="AB43" s="27"/>
      <c r="AC43" s="9"/>
      <c r="AD43" s="2"/>
      <c r="AE43" s="27"/>
      <c r="AF43" s="9"/>
      <c r="AG43" s="2"/>
      <c r="AH43" s="27"/>
      <c r="AI43" s="9"/>
      <c r="AJ43" s="2"/>
      <c r="AK43" s="27"/>
    </row>
    <row r="44" spans="1:37" ht="17.25" hidden="1" thickBot="1">
      <c r="A44" s="113"/>
      <c r="B44" s="5" t="s">
        <v>23</v>
      </c>
      <c r="C44" s="39" t="s">
        <v>69</v>
      </c>
      <c r="D44" s="34">
        <v>1000</v>
      </c>
      <c r="E44" s="43">
        <v>4</v>
      </c>
      <c r="F44" s="32">
        <v>61200</v>
      </c>
      <c r="G44" s="26">
        <f t="shared" si="0"/>
        <v>16.830000000000002</v>
      </c>
      <c r="H44" s="22"/>
      <c r="I44" s="21" t="s">
        <v>23</v>
      </c>
      <c r="J44" s="51"/>
      <c r="K44" s="49"/>
      <c r="L44" s="11"/>
      <c r="M44" s="49"/>
      <c r="N44" s="51"/>
      <c r="O44" s="11"/>
      <c r="P44" s="49"/>
      <c r="Q44" s="51"/>
      <c r="R44" s="11"/>
      <c r="S44" s="49"/>
      <c r="T44" s="51"/>
      <c r="U44" s="11"/>
      <c r="V44" s="49"/>
      <c r="W44" s="51"/>
      <c r="X44" s="11"/>
      <c r="Y44" s="49"/>
      <c r="Z44" s="51"/>
      <c r="AA44" s="11"/>
      <c r="AB44" s="49"/>
      <c r="AC44" s="51"/>
      <c r="AD44" s="11"/>
      <c r="AE44" s="49"/>
      <c r="AF44" s="51"/>
      <c r="AG44" s="11"/>
      <c r="AH44" s="49"/>
      <c r="AI44" s="51"/>
      <c r="AJ44" s="11"/>
      <c r="AK44" s="49"/>
    </row>
    <row r="45" spans="1:37">
      <c r="A45" s="112" t="s">
        <v>65</v>
      </c>
      <c r="B45" s="6" t="s">
        <v>26</v>
      </c>
      <c r="C45" s="40" t="s">
        <v>68</v>
      </c>
      <c r="D45" s="35">
        <v>200</v>
      </c>
      <c r="E45" s="41">
        <v>1</v>
      </c>
      <c r="F45" s="30">
        <v>4000</v>
      </c>
      <c r="G45" s="29">
        <f t="shared" si="0"/>
        <v>22</v>
      </c>
      <c r="H45" s="17"/>
      <c r="I45" s="20" t="s">
        <v>26</v>
      </c>
      <c r="J45" s="50"/>
      <c r="K45" s="48"/>
      <c r="L45" s="10"/>
      <c r="M45" s="48"/>
      <c r="N45" s="50"/>
      <c r="O45" s="10"/>
      <c r="P45" s="48"/>
      <c r="Q45" s="50"/>
      <c r="R45" s="10"/>
      <c r="S45" s="48"/>
      <c r="T45" s="50"/>
      <c r="U45" s="10"/>
      <c r="V45" s="48"/>
      <c r="W45" s="50"/>
      <c r="X45" s="10"/>
      <c r="Y45" s="48"/>
      <c r="Z45" s="50">
        <v>1</v>
      </c>
      <c r="AA45" s="10">
        <v>1</v>
      </c>
      <c r="AB45" s="48">
        <v>1</v>
      </c>
      <c r="AC45" s="50"/>
      <c r="AD45" s="10"/>
      <c r="AE45" s="48"/>
      <c r="AF45" s="50"/>
      <c r="AG45" s="10"/>
      <c r="AH45" s="48"/>
      <c r="AI45" s="50"/>
      <c r="AJ45" s="10"/>
      <c r="AK45" s="48"/>
    </row>
    <row r="46" spans="1:37">
      <c r="A46" s="114"/>
      <c r="B46" s="3" t="s">
        <v>27</v>
      </c>
      <c r="C46" s="37" t="s">
        <v>68</v>
      </c>
      <c r="D46" s="33">
        <v>200</v>
      </c>
      <c r="E46" s="42">
        <v>1</v>
      </c>
      <c r="F46" s="31">
        <v>4000</v>
      </c>
      <c r="G46" s="26">
        <f t="shared" si="0"/>
        <v>22</v>
      </c>
      <c r="H46" s="22"/>
      <c r="I46" s="18" t="s">
        <v>27</v>
      </c>
      <c r="J46" s="9"/>
      <c r="K46" s="27"/>
      <c r="L46" s="2"/>
      <c r="M46" s="27"/>
      <c r="N46" s="9"/>
      <c r="O46" s="2"/>
      <c r="P46" s="27"/>
      <c r="Q46" s="9"/>
      <c r="R46" s="2"/>
      <c r="S46" s="27"/>
      <c r="T46" s="9"/>
      <c r="U46" s="2"/>
      <c r="V46" s="27"/>
      <c r="W46" s="9"/>
      <c r="X46" s="2"/>
      <c r="Y46" s="27"/>
      <c r="Z46" s="9"/>
      <c r="AA46" s="2"/>
      <c r="AB46" s="27"/>
      <c r="AC46" s="9">
        <v>1</v>
      </c>
      <c r="AD46" s="2">
        <v>1</v>
      </c>
      <c r="AE46" s="27">
        <v>1</v>
      </c>
      <c r="AF46" s="9"/>
      <c r="AG46" s="2"/>
      <c r="AH46" s="27"/>
      <c r="AI46" s="9"/>
      <c r="AJ46" s="2"/>
      <c r="AK46" s="27"/>
    </row>
    <row r="47" spans="1:37">
      <c r="A47" s="114"/>
      <c r="B47" s="3" t="s">
        <v>28</v>
      </c>
      <c r="C47" s="37" t="s">
        <v>68</v>
      </c>
      <c r="D47" s="33">
        <v>200</v>
      </c>
      <c r="E47" s="42">
        <v>1</v>
      </c>
      <c r="F47" s="31">
        <v>4000</v>
      </c>
      <c r="G47" s="56">
        <f t="shared" si="0"/>
        <v>22</v>
      </c>
      <c r="H47" s="22"/>
      <c r="I47" s="18" t="s">
        <v>28</v>
      </c>
      <c r="J47" s="9"/>
      <c r="K47" s="27"/>
      <c r="L47" s="2"/>
      <c r="M47" s="27"/>
      <c r="N47" s="9"/>
      <c r="O47" s="2"/>
      <c r="P47" s="27"/>
      <c r="Q47" s="9"/>
      <c r="R47" s="2"/>
      <c r="S47" s="27"/>
      <c r="T47" s="9"/>
      <c r="U47" s="2"/>
      <c r="V47" s="27"/>
      <c r="W47" s="9"/>
      <c r="X47" s="2"/>
      <c r="Y47" s="27"/>
      <c r="Z47" s="9"/>
      <c r="AA47" s="2"/>
      <c r="AB47" s="27"/>
      <c r="AC47" s="9"/>
      <c r="AD47" s="2"/>
      <c r="AE47" s="27"/>
      <c r="AF47" s="9">
        <v>1</v>
      </c>
      <c r="AG47" s="2">
        <v>1</v>
      </c>
      <c r="AH47" s="27">
        <v>1</v>
      </c>
      <c r="AI47" s="9"/>
      <c r="AJ47" s="2"/>
      <c r="AK47" s="27"/>
    </row>
    <row r="48" spans="1:37" ht="17.25" thickBot="1">
      <c r="A48" s="113"/>
      <c r="B48" s="5" t="s">
        <v>29</v>
      </c>
      <c r="C48" s="39" t="s">
        <v>68</v>
      </c>
      <c r="D48" s="34">
        <v>200</v>
      </c>
      <c r="E48" s="43">
        <v>1</v>
      </c>
      <c r="F48" s="32">
        <v>4000</v>
      </c>
      <c r="G48" s="26">
        <f t="shared" si="0"/>
        <v>22</v>
      </c>
      <c r="H48" s="22"/>
      <c r="I48" s="21" t="s">
        <v>29</v>
      </c>
      <c r="J48" s="51"/>
      <c r="K48" s="49"/>
      <c r="L48" s="11"/>
      <c r="M48" s="49"/>
      <c r="N48" s="51"/>
      <c r="O48" s="11"/>
      <c r="P48" s="49"/>
      <c r="Q48" s="51"/>
      <c r="R48" s="11"/>
      <c r="S48" s="49"/>
      <c r="T48" s="51"/>
      <c r="U48" s="11"/>
      <c r="V48" s="49"/>
      <c r="W48" s="51">
        <v>1</v>
      </c>
      <c r="X48" s="11">
        <v>1</v>
      </c>
      <c r="Y48" s="49">
        <v>1</v>
      </c>
      <c r="Z48" s="51"/>
      <c r="AA48" s="11"/>
      <c r="AB48" s="49"/>
      <c r="AC48" s="51"/>
      <c r="AD48" s="11"/>
      <c r="AE48" s="49"/>
      <c r="AF48" s="51"/>
      <c r="AG48" s="11"/>
      <c r="AH48" s="49"/>
      <c r="AI48" s="51">
        <v>1</v>
      </c>
      <c r="AJ48" s="11">
        <v>1</v>
      </c>
      <c r="AK48" s="49">
        <v>1</v>
      </c>
    </row>
    <row r="49" spans="1:37" ht="17.25" thickBot="1">
      <c r="A49" s="112" t="s">
        <v>25</v>
      </c>
      <c r="B49" s="6" t="s">
        <v>25</v>
      </c>
      <c r="C49" s="86" t="s">
        <v>69</v>
      </c>
      <c r="D49" s="78">
        <v>1000</v>
      </c>
      <c r="E49" s="79">
        <v>10</v>
      </c>
      <c r="F49" s="80">
        <v>140000</v>
      </c>
      <c r="G49" s="29">
        <f t="shared" si="0"/>
        <v>15.400000000000002</v>
      </c>
      <c r="H49" s="17"/>
      <c r="I49" s="20" t="s">
        <v>25</v>
      </c>
      <c r="J49" s="50"/>
      <c r="K49" s="48"/>
      <c r="L49" s="10">
        <v>20</v>
      </c>
      <c r="M49" s="48">
        <v>22</v>
      </c>
      <c r="N49" s="50"/>
      <c r="O49" s="10"/>
      <c r="P49" s="48"/>
      <c r="Q49" s="50"/>
      <c r="R49" s="10"/>
      <c r="S49" s="48"/>
      <c r="T49" s="50"/>
      <c r="U49" s="10"/>
      <c r="V49" s="48"/>
      <c r="W49" s="50"/>
      <c r="X49" s="10"/>
      <c r="Y49" s="48"/>
      <c r="Z49" s="50"/>
      <c r="AA49" s="10"/>
      <c r="AB49" s="48"/>
      <c r="AC49" s="50"/>
      <c r="AD49" s="10"/>
      <c r="AE49" s="48"/>
      <c r="AF49" s="50"/>
      <c r="AG49" s="10"/>
      <c r="AH49" s="48"/>
      <c r="AI49" s="50"/>
      <c r="AJ49" s="10"/>
      <c r="AK49" s="48"/>
    </row>
    <row r="50" spans="1:37" ht="17.25" hidden="1" thickBot="1">
      <c r="A50" s="113"/>
      <c r="B50" s="5" t="s">
        <v>50</v>
      </c>
      <c r="C50" s="39" t="s">
        <v>69</v>
      </c>
      <c r="D50" s="34">
        <v>1000</v>
      </c>
      <c r="E50" s="43">
        <v>10</v>
      </c>
      <c r="F50" s="32">
        <v>190000</v>
      </c>
      <c r="G50" s="26">
        <f t="shared" si="0"/>
        <v>20.900000000000002</v>
      </c>
      <c r="H50" s="22"/>
      <c r="I50" s="21" t="s">
        <v>50</v>
      </c>
      <c r="J50" s="51"/>
      <c r="K50" s="49"/>
      <c r="L50" s="11"/>
      <c r="M50" s="49"/>
      <c r="N50" s="51"/>
      <c r="O50" s="11"/>
      <c r="P50" s="49"/>
      <c r="Q50" s="51"/>
      <c r="R50" s="11"/>
      <c r="S50" s="49"/>
      <c r="T50" s="51"/>
      <c r="U50" s="11"/>
      <c r="V50" s="49"/>
      <c r="W50" s="51"/>
      <c r="X50" s="11"/>
      <c r="Y50" s="49"/>
      <c r="Z50" s="51"/>
      <c r="AA50" s="11"/>
      <c r="AB50" s="49"/>
      <c r="AC50" s="51"/>
      <c r="AD50" s="11"/>
      <c r="AE50" s="49"/>
      <c r="AF50" s="51"/>
      <c r="AG50" s="11"/>
      <c r="AH50" s="49"/>
      <c r="AI50" s="51"/>
      <c r="AJ50" s="11"/>
      <c r="AK50" s="49"/>
    </row>
    <row r="51" spans="1:37" hidden="1">
      <c r="A51" s="114" t="s">
        <v>66</v>
      </c>
      <c r="B51" s="63" t="s">
        <v>60</v>
      </c>
      <c r="C51" s="64" t="s">
        <v>70</v>
      </c>
      <c r="D51" s="33">
        <v>900</v>
      </c>
      <c r="E51" s="42">
        <v>1</v>
      </c>
      <c r="F51" s="31">
        <v>2100</v>
      </c>
      <c r="G51" s="29">
        <f>F51/(D51*E51)</f>
        <v>2.3333333333333335</v>
      </c>
      <c r="H51" s="17"/>
      <c r="I51" s="53" t="s">
        <v>60</v>
      </c>
      <c r="J51" s="50"/>
      <c r="K51" s="48"/>
      <c r="L51" s="10"/>
      <c r="M51" s="48"/>
      <c r="N51" s="50"/>
      <c r="O51" s="10"/>
      <c r="P51" s="48"/>
      <c r="Q51" s="50"/>
      <c r="R51" s="10"/>
      <c r="S51" s="48"/>
      <c r="T51" s="50"/>
      <c r="U51" s="10"/>
      <c r="V51" s="48"/>
      <c r="W51" s="50"/>
      <c r="X51" s="10"/>
      <c r="Y51" s="48"/>
      <c r="Z51" s="50"/>
      <c r="AA51" s="10"/>
      <c r="AB51" s="48"/>
      <c r="AC51" s="50"/>
      <c r="AD51" s="10"/>
      <c r="AE51" s="48"/>
      <c r="AF51" s="50"/>
      <c r="AG51" s="10"/>
      <c r="AH51" s="48"/>
      <c r="AI51" s="50"/>
      <c r="AJ51" s="10"/>
      <c r="AK51" s="48"/>
    </row>
    <row r="52" spans="1:37" ht="17.25" hidden="1" thickBot="1">
      <c r="A52" s="113"/>
      <c r="B52" s="65" t="s">
        <v>51</v>
      </c>
      <c r="C52" s="66" t="s">
        <v>70</v>
      </c>
      <c r="D52" s="34">
        <v>1500</v>
      </c>
      <c r="E52" s="43">
        <v>12</v>
      </c>
      <c r="F52" s="32">
        <v>16200</v>
      </c>
      <c r="G52" s="26">
        <f t="shared" si="0"/>
        <v>0.9900000000000001</v>
      </c>
      <c r="H52" s="22"/>
      <c r="I52" s="52" t="s">
        <v>51</v>
      </c>
      <c r="J52" s="9"/>
      <c r="K52" s="27"/>
      <c r="L52" s="2"/>
      <c r="M52" s="27"/>
      <c r="N52" s="9"/>
      <c r="O52" s="2"/>
      <c r="P52" s="27"/>
      <c r="Q52" s="9"/>
      <c r="R52" s="2"/>
      <c r="S52" s="27"/>
      <c r="T52" s="9"/>
      <c r="U52" s="2"/>
      <c r="V52" s="27"/>
      <c r="W52" s="9"/>
      <c r="X52" s="2"/>
      <c r="Y52" s="27"/>
      <c r="Z52" s="9"/>
      <c r="AA52" s="2"/>
      <c r="AB52" s="27"/>
      <c r="AC52" s="9"/>
      <c r="AD52" s="2"/>
      <c r="AE52" s="27"/>
      <c r="AF52" s="9"/>
      <c r="AG52" s="2"/>
      <c r="AH52" s="27"/>
      <c r="AI52" s="9"/>
      <c r="AJ52" s="2"/>
      <c r="AK52" s="27"/>
    </row>
    <row r="53" spans="1:37" ht="17.25" thickBot="1">
      <c r="A53" s="61"/>
      <c r="B53" s="61"/>
      <c r="C53" s="60"/>
      <c r="D53" s="60"/>
      <c r="E53" s="60"/>
      <c r="F53" s="60"/>
      <c r="G53" s="61"/>
      <c r="H53" s="60"/>
      <c r="I53" s="76" t="s">
        <v>4</v>
      </c>
      <c r="J53" s="70">
        <f>SUMPRODUCT(J5:J52,논커피!$G5:$G52)</f>
        <v>759.7334950385889</v>
      </c>
      <c r="K53" s="71">
        <f>SUMPRODUCT(K5:K52,논커피!$G5:$G52)</f>
        <v>1055.0678500551269</v>
      </c>
      <c r="L53" s="68">
        <f>SUMPRODUCT(L5:L52,논커피!$G5:$G52)</f>
        <v>1067.7334950385889</v>
      </c>
      <c r="M53" s="71">
        <f>SUMPRODUCT(M5:M52,논커피!$G5:$G52)</f>
        <v>1393.8678500551268</v>
      </c>
      <c r="N53" s="70">
        <f t="shared" ref="N53:AK53" si="1">SUMPRODUCT(N5:N52,$G5:$G52)</f>
        <v>1321.98</v>
      </c>
      <c r="O53" s="68">
        <f t="shared" si="1"/>
        <v>1348.2562499999999</v>
      </c>
      <c r="P53" s="71">
        <f t="shared" si="1"/>
        <v>1528.79375</v>
      </c>
      <c r="Q53" s="70">
        <f t="shared" si="1"/>
        <v>612.48000000000013</v>
      </c>
      <c r="R53" s="68">
        <f t="shared" si="1"/>
        <v>638.75625000000014</v>
      </c>
      <c r="S53" s="71">
        <f t="shared" si="1"/>
        <v>654.29375000000005</v>
      </c>
      <c r="T53" s="70">
        <f t="shared" si="1"/>
        <v>911.31333333333328</v>
      </c>
      <c r="U53" s="68">
        <f t="shared" si="1"/>
        <v>937.58958333333328</v>
      </c>
      <c r="V53" s="71">
        <f t="shared" si="1"/>
        <v>1189.2604166666667</v>
      </c>
      <c r="W53" s="70">
        <f t="shared" si="1"/>
        <v>933.31333333333328</v>
      </c>
      <c r="X53" s="68">
        <f t="shared" si="1"/>
        <v>959.58958333333328</v>
      </c>
      <c r="Y53" s="71">
        <f t="shared" si="1"/>
        <v>1211.2604166666667</v>
      </c>
      <c r="Z53" s="70">
        <f t="shared" si="1"/>
        <v>118.58000000000001</v>
      </c>
      <c r="AA53" s="68">
        <f t="shared" si="1"/>
        <v>128.04000000000002</v>
      </c>
      <c r="AB53" s="71">
        <f t="shared" si="1"/>
        <v>143.22</v>
      </c>
      <c r="AC53" s="70">
        <f t="shared" si="1"/>
        <v>118.58000000000001</v>
      </c>
      <c r="AD53" s="68">
        <f t="shared" si="1"/>
        <v>128.04000000000002</v>
      </c>
      <c r="AE53" s="71">
        <f t="shared" si="1"/>
        <v>143.22</v>
      </c>
      <c r="AF53" s="70">
        <f t="shared" si="1"/>
        <v>118.58000000000001</v>
      </c>
      <c r="AG53" s="68">
        <f t="shared" si="1"/>
        <v>128.04000000000002</v>
      </c>
      <c r="AH53" s="71">
        <f t="shared" si="1"/>
        <v>143.22</v>
      </c>
      <c r="AI53" s="70">
        <f t="shared" si="1"/>
        <v>118.58000000000001</v>
      </c>
      <c r="AJ53" s="68">
        <f t="shared" si="1"/>
        <v>128.04000000000002</v>
      </c>
      <c r="AK53" s="71">
        <f t="shared" si="1"/>
        <v>143.22</v>
      </c>
    </row>
    <row r="54" spans="1:37" ht="17.25" thickBot="1">
      <c r="A54" s="12"/>
      <c r="B54" s="16"/>
      <c r="C54" s="12"/>
      <c r="D54" s="12"/>
      <c r="E54" s="12"/>
      <c r="F54" s="12"/>
      <c r="G54" s="12"/>
      <c r="H54" s="12"/>
      <c r="I54" s="87" t="s">
        <v>12</v>
      </c>
      <c r="J54" s="88">
        <v>3000</v>
      </c>
      <c r="K54" s="89">
        <v>3500</v>
      </c>
      <c r="L54" s="88">
        <v>3500</v>
      </c>
      <c r="M54" s="94">
        <v>4000</v>
      </c>
      <c r="N54" s="88">
        <v>3500</v>
      </c>
      <c r="O54" s="95">
        <v>3500</v>
      </c>
      <c r="P54" s="89">
        <v>4000</v>
      </c>
      <c r="Q54" s="88">
        <v>3500</v>
      </c>
      <c r="R54" s="95">
        <v>3500</v>
      </c>
      <c r="S54" s="89">
        <v>4000</v>
      </c>
      <c r="T54" s="88">
        <v>3500</v>
      </c>
      <c r="U54" s="95">
        <v>3500</v>
      </c>
      <c r="V54" s="89">
        <v>4000</v>
      </c>
      <c r="W54" s="88">
        <v>3800</v>
      </c>
      <c r="X54" s="95">
        <v>3800</v>
      </c>
      <c r="Y54" s="89">
        <v>4300</v>
      </c>
      <c r="Z54" s="88">
        <v>3500</v>
      </c>
      <c r="AA54" s="95">
        <v>3500</v>
      </c>
      <c r="AB54" s="89">
        <v>4000</v>
      </c>
      <c r="AC54" s="88">
        <v>3500</v>
      </c>
      <c r="AD54" s="95">
        <v>3500</v>
      </c>
      <c r="AE54" s="89">
        <v>4000</v>
      </c>
      <c r="AF54" s="88">
        <v>3500</v>
      </c>
      <c r="AG54" s="95">
        <v>3500</v>
      </c>
      <c r="AH54" s="89">
        <v>4000</v>
      </c>
      <c r="AI54" s="88">
        <v>3500</v>
      </c>
      <c r="AJ54" s="95">
        <v>3500</v>
      </c>
      <c r="AK54" s="89">
        <v>4000</v>
      </c>
    </row>
    <row r="55" spans="1:37" ht="17.25" thickBot="1">
      <c r="A55" s="58"/>
      <c r="B55" s="58"/>
      <c r="C55" s="58"/>
      <c r="D55" s="58"/>
      <c r="E55" s="58"/>
      <c r="F55" s="58"/>
      <c r="G55" s="58"/>
      <c r="H55" s="58"/>
      <c r="I55" s="90" t="s">
        <v>5</v>
      </c>
      <c r="J55" s="91">
        <f t="shared" ref="J55:AK55" si="2">(J53)/J54</f>
        <v>0.25324449834619628</v>
      </c>
      <c r="K55" s="92">
        <f t="shared" si="2"/>
        <v>0.30144795715860767</v>
      </c>
      <c r="L55" s="91">
        <f t="shared" si="2"/>
        <v>0.30506671286816828</v>
      </c>
      <c r="M55" s="92">
        <f t="shared" si="2"/>
        <v>0.34846696251378173</v>
      </c>
      <c r="N55" s="91">
        <f t="shared" si="2"/>
        <v>0.37770857142857145</v>
      </c>
      <c r="O55" s="96">
        <f t="shared" si="2"/>
        <v>0.38521607142857139</v>
      </c>
      <c r="P55" s="97">
        <f t="shared" si="2"/>
        <v>0.38219843749999999</v>
      </c>
      <c r="Q55" s="98">
        <f t="shared" si="2"/>
        <v>0.17499428571428574</v>
      </c>
      <c r="R55" s="96">
        <f t="shared" si="2"/>
        <v>0.18250178571428574</v>
      </c>
      <c r="S55" s="92">
        <f t="shared" si="2"/>
        <v>0.1635734375</v>
      </c>
      <c r="T55" s="91">
        <f t="shared" si="2"/>
        <v>0.2603752380952381</v>
      </c>
      <c r="U55" s="99">
        <f t="shared" si="2"/>
        <v>0.2678827380952381</v>
      </c>
      <c r="V55" s="92">
        <f t="shared" si="2"/>
        <v>0.29731510416666668</v>
      </c>
      <c r="W55" s="97">
        <f t="shared" si="2"/>
        <v>0.24560877192982455</v>
      </c>
      <c r="X55" s="96">
        <f t="shared" si="2"/>
        <v>0.25252357456140351</v>
      </c>
      <c r="Y55" s="92">
        <f t="shared" si="2"/>
        <v>0.28168846899224809</v>
      </c>
      <c r="Z55" s="91">
        <f t="shared" si="2"/>
        <v>3.388E-2</v>
      </c>
      <c r="AA55" s="99">
        <f t="shared" si="2"/>
        <v>3.6582857142857146E-2</v>
      </c>
      <c r="AB55" s="92">
        <f t="shared" si="2"/>
        <v>3.5804999999999997E-2</v>
      </c>
      <c r="AC55" s="97">
        <f t="shared" si="2"/>
        <v>3.388E-2</v>
      </c>
      <c r="AD55" s="96">
        <f t="shared" si="2"/>
        <v>3.6582857142857146E-2</v>
      </c>
      <c r="AE55" s="92">
        <f t="shared" si="2"/>
        <v>3.5804999999999997E-2</v>
      </c>
      <c r="AF55" s="91">
        <f t="shared" si="2"/>
        <v>3.388E-2</v>
      </c>
      <c r="AG55" s="99">
        <f t="shared" si="2"/>
        <v>3.6582857142857146E-2</v>
      </c>
      <c r="AH55" s="92">
        <f t="shared" si="2"/>
        <v>3.5804999999999997E-2</v>
      </c>
      <c r="AI55" s="97">
        <f t="shared" si="2"/>
        <v>3.388E-2</v>
      </c>
      <c r="AJ55" s="96">
        <f t="shared" si="2"/>
        <v>3.6582857142857146E-2</v>
      </c>
      <c r="AK55" s="92">
        <f t="shared" si="2"/>
        <v>3.5804999999999997E-2</v>
      </c>
    </row>
    <row r="56" spans="1:37" ht="17.25" thickBot="1">
      <c r="A56" s="2"/>
      <c r="B56" s="2"/>
      <c r="C56" s="2"/>
      <c r="D56" s="2"/>
      <c r="E56" s="2"/>
      <c r="F56" s="12"/>
      <c r="G56" s="14"/>
      <c r="H56" s="14"/>
      <c r="I56" s="93" t="s">
        <v>110</v>
      </c>
      <c r="J56" s="83">
        <f>AVERAGE(J55:AK55)</f>
        <v>0.17517443016373274</v>
      </c>
    </row>
  </sheetData>
  <mergeCells count="37">
    <mergeCell ref="AF1:AH1"/>
    <mergeCell ref="AF2:AH2"/>
    <mergeCell ref="AG3:AH3"/>
    <mergeCell ref="AI1:AK1"/>
    <mergeCell ref="AI2:AK2"/>
    <mergeCell ref="AJ3:AK3"/>
    <mergeCell ref="Z1:AB1"/>
    <mergeCell ref="Z2:AB2"/>
    <mergeCell ref="AA3:AB3"/>
    <mergeCell ref="AC1:AE1"/>
    <mergeCell ref="AC2:AE2"/>
    <mergeCell ref="AD3:AE3"/>
    <mergeCell ref="T1:V1"/>
    <mergeCell ref="T2:V2"/>
    <mergeCell ref="U3:V3"/>
    <mergeCell ref="W1:Y1"/>
    <mergeCell ref="W2:Y2"/>
    <mergeCell ref="X3:Y3"/>
    <mergeCell ref="N1:P1"/>
    <mergeCell ref="N2:P2"/>
    <mergeCell ref="O3:P3"/>
    <mergeCell ref="Q1:S1"/>
    <mergeCell ref="Q2:S2"/>
    <mergeCell ref="R3:S3"/>
    <mergeCell ref="A22:A31"/>
    <mergeCell ref="A32:A44"/>
    <mergeCell ref="A45:A48"/>
    <mergeCell ref="A49:A50"/>
    <mergeCell ref="A51:A52"/>
    <mergeCell ref="A4:B4"/>
    <mergeCell ref="A5:A16"/>
    <mergeCell ref="A17:A21"/>
    <mergeCell ref="J1:M1"/>
    <mergeCell ref="L2:M2"/>
    <mergeCell ref="L3:M3"/>
    <mergeCell ref="J2:K2"/>
    <mergeCell ref="J3:K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501D-4EE4-482C-B178-84A32FDFA800}">
  <dimension ref="A1:U56"/>
  <sheetViews>
    <sheetView tabSelected="1" topLeftCell="B1" zoomScaleNormal="100" workbookViewId="0">
      <selection activeCell="I58" sqref="I58"/>
    </sheetView>
  </sheetViews>
  <sheetFormatPr defaultRowHeight="16.5"/>
  <cols>
    <col min="1" max="1" width="9.625" customWidth="1"/>
    <col min="2" max="2" width="24.625" customWidth="1"/>
    <col min="3" max="3" width="4.125" customWidth="1"/>
    <col min="4" max="4" width="7.625" customWidth="1"/>
    <col min="5" max="5" width="4.125" customWidth="1"/>
    <col min="6" max="6" width="8.625" customWidth="1"/>
    <col min="7" max="7" width="19.125" customWidth="1"/>
    <col min="8" max="8" width="1.625" customWidth="1"/>
    <col min="9" max="9" width="25.625" customWidth="1"/>
    <col min="10" max="21" width="10.125" customWidth="1"/>
  </cols>
  <sheetData>
    <row r="1" spans="1:21" ht="17.25" thickBot="1">
      <c r="A1" s="2"/>
      <c r="B1" s="2"/>
      <c r="C1" s="2"/>
      <c r="D1" s="2"/>
      <c r="E1" s="7"/>
      <c r="F1" s="16"/>
      <c r="G1" s="14"/>
      <c r="H1" s="14"/>
      <c r="I1" s="67" t="s">
        <v>73</v>
      </c>
      <c r="J1" s="119" t="s">
        <v>131</v>
      </c>
      <c r="K1" s="121"/>
      <c r="L1" s="119" t="s">
        <v>131</v>
      </c>
      <c r="M1" s="121"/>
      <c r="N1" s="119" t="s">
        <v>131</v>
      </c>
      <c r="O1" s="121"/>
      <c r="P1" s="119" t="s">
        <v>131</v>
      </c>
      <c r="Q1" s="121"/>
      <c r="R1" s="119" t="s">
        <v>131</v>
      </c>
      <c r="S1" s="121"/>
      <c r="T1" s="119" t="s">
        <v>131</v>
      </c>
      <c r="U1" s="121"/>
    </row>
    <row r="2" spans="1:21" ht="17.25" thickBot="1">
      <c r="A2" s="2"/>
      <c r="B2" s="2"/>
      <c r="C2" s="2"/>
      <c r="D2" s="2"/>
      <c r="E2" s="7"/>
      <c r="F2" s="16"/>
      <c r="G2" s="14"/>
      <c r="H2" s="14"/>
      <c r="I2" s="74" t="s">
        <v>0</v>
      </c>
      <c r="J2" s="118" t="s">
        <v>132</v>
      </c>
      <c r="K2" s="118"/>
      <c r="L2" s="118" t="s">
        <v>134</v>
      </c>
      <c r="M2" s="118"/>
      <c r="N2" s="118" t="s">
        <v>135</v>
      </c>
      <c r="O2" s="118"/>
      <c r="P2" s="118" t="s">
        <v>136</v>
      </c>
      <c r="Q2" s="118"/>
      <c r="R2" s="118" t="s">
        <v>137</v>
      </c>
      <c r="S2" s="118"/>
      <c r="T2" s="118" t="s">
        <v>133</v>
      </c>
      <c r="U2" s="118"/>
    </row>
    <row r="3" spans="1:21" ht="17.25" thickBot="1">
      <c r="A3" s="2"/>
      <c r="B3" s="2"/>
      <c r="C3" s="2"/>
      <c r="D3" s="2"/>
      <c r="E3" s="7"/>
      <c r="F3" s="16"/>
      <c r="G3" s="14"/>
      <c r="H3" s="14"/>
      <c r="I3" s="25" t="s">
        <v>13</v>
      </c>
      <c r="J3" s="115" t="s">
        <v>2</v>
      </c>
      <c r="K3" s="115"/>
      <c r="L3" s="115" t="s">
        <v>2</v>
      </c>
      <c r="M3" s="115"/>
      <c r="N3" s="115" t="s">
        <v>2</v>
      </c>
      <c r="O3" s="115"/>
      <c r="P3" s="115" t="s">
        <v>2</v>
      </c>
      <c r="Q3" s="115"/>
      <c r="R3" s="115" t="s">
        <v>2</v>
      </c>
      <c r="S3" s="115"/>
      <c r="T3" s="115" t="s">
        <v>2</v>
      </c>
      <c r="U3" s="115"/>
    </row>
    <row r="4" spans="1:21" ht="17.25" thickBot="1">
      <c r="A4" s="116" t="s">
        <v>3</v>
      </c>
      <c r="B4" s="117"/>
      <c r="C4" s="8" t="s">
        <v>67</v>
      </c>
      <c r="D4" s="46" t="s">
        <v>77</v>
      </c>
      <c r="E4" s="45" t="s">
        <v>139</v>
      </c>
      <c r="F4" s="44" t="s">
        <v>78</v>
      </c>
      <c r="G4" s="28" t="s">
        <v>138</v>
      </c>
      <c r="H4" s="26"/>
      <c r="I4" s="75" t="s">
        <v>72</v>
      </c>
      <c r="J4" s="75" t="s">
        <v>75</v>
      </c>
      <c r="K4" s="75" t="s">
        <v>76</v>
      </c>
      <c r="L4" s="75" t="s">
        <v>75</v>
      </c>
      <c r="M4" s="75" t="s">
        <v>76</v>
      </c>
      <c r="N4" s="75" t="s">
        <v>75</v>
      </c>
      <c r="O4" s="75" t="s">
        <v>76</v>
      </c>
      <c r="P4" s="75" t="s">
        <v>75</v>
      </c>
      <c r="Q4" s="75" t="s">
        <v>76</v>
      </c>
      <c r="R4" s="75" t="s">
        <v>75</v>
      </c>
      <c r="S4" s="75" t="s">
        <v>76</v>
      </c>
      <c r="T4" s="75" t="s">
        <v>75</v>
      </c>
      <c r="U4" s="75" t="s">
        <v>76</v>
      </c>
    </row>
    <row r="5" spans="1:21">
      <c r="A5" s="112" t="s">
        <v>62</v>
      </c>
      <c r="B5" s="23" t="s">
        <v>30</v>
      </c>
      <c r="C5" s="36" t="s">
        <v>68</v>
      </c>
      <c r="D5" s="35">
        <v>1000</v>
      </c>
      <c r="E5" s="41">
        <v>1</v>
      </c>
      <c r="F5" s="30">
        <v>43000</v>
      </c>
      <c r="G5" s="29">
        <f>F5/(D5*E5)*1.1</f>
        <v>47.300000000000004</v>
      </c>
      <c r="H5" s="26"/>
      <c r="I5" s="24" t="s">
        <v>30</v>
      </c>
      <c r="J5" s="50"/>
      <c r="K5" s="48"/>
      <c r="L5" s="50"/>
      <c r="M5" s="48"/>
      <c r="N5" s="50"/>
      <c r="O5" s="48"/>
      <c r="P5" s="50"/>
      <c r="Q5" s="48"/>
      <c r="R5" s="50"/>
      <c r="S5" s="48"/>
      <c r="T5" s="50"/>
      <c r="U5" s="48"/>
    </row>
    <row r="6" spans="1:21">
      <c r="A6" s="114"/>
      <c r="B6" s="3" t="s">
        <v>31</v>
      </c>
      <c r="C6" s="37" t="s">
        <v>68</v>
      </c>
      <c r="D6" s="33">
        <v>1000</v>
      </c>
      <c r="E6" s="42">
        <v>1</v>
      </c>
      <c r="F6" s="31">
        <v>20000</v>
      </c>
      <c r="G6" s="26">
        <f>F6/(D6*E6)*1.1</f>
        <v>22</v>
      </c>
      <c r="H6" s="14"/>
      <c r="I6" s="18" t="s">
        <v>31</v>
      </c>
      <c r="J6" s="9"/>
      <c r="K6" s="27"/>
      <c r="L6" s="9"/>
      <c r="M6" s="27"/>
      <c r="N6" s="9"/>
      <c r="O6" s="27"/>
      <c r="P6" s="9"/>
      <c r="Q6" s="27"/>
      <c r="R6" s="9"/>
      <c r="S6" s="27"/>
      <c r="T6" s="9"/>
      <c r="U6" s="27"/>
    </row>
    <row r="7" spans="1:21">
      <c r="A7" s="114"/>
      <c r="B7" s="3" t="s">
        <v>32</v>
      </c>
      <c r="C7" s="37" t="s">
        <v>68</v>
      </c>
      <c r="D7" s="33">
        <v>1000</v>
      </c>
      <c r="E7" s="42">
        <v>1</v>
      </c>
      <c r="F7" s="31">
        <v>53000</v>
      </c>
      <c r="G7" s="56">
        <f t="shared" ref="G7:G52" si="0">F7/(D7*E7)*1.1</f>
        <v>58.300000000000004</v>
      </c>
      <c r="H7" s="22"/>
      <c r="I7" s="18" t="s">
        <v>32</v>
      </c>
      <c r="J7" s="9">
        <v>1</v>
      </c>
      <c r="K7" s="27"/>
      <c r="L7" s="9">
        <v>1</v>
      </c>
      <c r="M7" s="27"/>
      <c r="N7" s="9">
        <v>1</v>
      </c>
      <c r="O7" s="27"/>
      <c r="P7" s="9">
        <v>1</v>
      </c>
      <c r="Q7" s="27"/>
      <c r="R7" s="9">
        <v>1</v>
      </c>
      <c r="S7" s="27"/>
      <c r="T7" s="9">
        <v>1</v>
      </c>
      <c r="U7" s="27"/>
    </row>
    <row r="8" spans="1:21">
      <c r="A8" s="114"/>
      <c r="B8" s="3" t="s">
        <v>33</v>
      </c>
      <c r="C8" s="37" t="s">
        <v>68</v>
      </c>
      <c r="D8" s="33">
        <v>1000</v>
      </c>
      <c r="E8" s="42">
        <v>1</v>
      </c>
      <c r="F8" s="31">
        <v>65000</v>
      </c>
      <c r="G8" s="26">
        <f t="shared" si="0"/>
        <v>71.5</v>
      </c>
      <c r="H8" s="22"/>
      <c r="I8" s="18" t="s">
        <v>33</v>
      </c>
      <c r="J8" s="9"/>
      <c r="K8" s="27">
        <v>1</v>
      </c>
      <c r="L8" s="9"/>
      <c r="M8" s="27">
        <v>1</v>
      </c>
      <c r="N8" s="9"/>
      <c r="O8" s="27">
        <v>1</v>
      </c>
      <c r="P8" s="9"/>
      <c r="Q8" s="27">
        <v>1</v>
      </c>
      <c r="R8" s="9"/>
      <c r="S8" s="27">
        <v>1</v>
      </c>
      <c r="T8" s="9"/>
      <c r="U8" s="27">
        <v>1</v>
      </c>
    </row>
    <row r="9" spans="1:21">
      <c r="A9" s="114"/>
      <c r="B9" s="4" t="s">
        <v>34</v>
      </c>
      <c r="C9" s="38" t="s">
        <v>68</v>
      </c>
      <c r="D9" s="33">
        <v>1000</v>
      </c>
      <c r="E9" s="42">
        <v>1</v>
      </c>
      <c r="F9" s="31">
        <v>18500</v>
      </c>
      <c r="G9" s="56">
        <f t="shared" si="0"/>
        <v>20.350000000000001</v>
      </c>
      <c r="H9" s="22"/>
      <c r="I9" s="19" t="s">
        <v>34</v>
      </c>
      <c r="J9" s="9">
        <v>1</v>
      </c>
      <c r="K9" s="27"/>
      <c r="L9" s="9">
        <v>1</v>
      </c>
      <c r="M9" s="27"/>
      <c r="N9" s="9">
        <v>1</v>
      </c>
      <c r="O9" s="27"/>
      <c r="P9" s="9">
        <v>1</v>
      </c>
      <c r="Q9" s="27"/>
      <c r="R9" s="9">
        <v>1</v>
      </c>
      <c r="S9" s="27"/>
      <c r="T9" s="9">
        <v>1</v>
      </c>
      <c r="U9" s="27"/>
    </row>
    <row r="10" spans="1:21">
      <c r="A10" s="114"/>
      <c r="B10" s="3" t="s">
        <v>35</v>
      </c>
      <c r="C10" s="37" t="s">
        <v>68</v>
      </c>
      <c r="D10" s="33">
        <v>1000</v>
      </c>
      <c r="E10" s="42">
        <v>1</v>
      </c>
      <c r="F10" s="31">
        <v>20000</v>
      </c>
      <c r="G10" s="26">
        <f t="shared" si="0"/>
        <v>22</v>
      </c>
      <c r="H10" s="22"/>
      <c r="I10" s="18" t="s">
        <v>35</v>
      </c>
      <c r="J10" s="9"/>
      <c r="K10" s="27">
        <v>1</v>
      </c>
      <c r="L10" s="9"/>
      <c r="M10" s="27">
        <v>1</v>
      </c>
      <c r="N10" s="9"/>
      <c r="O10" s="27">
        <v>1</v>
      </c>
      <c r="P10" s="9"/>
      <c r="Q10" s="27">
        <v>1</v>
      </c>
      <c r="R10" s="9"/>
      <c r="S10" s="27">
        <v>1</v>
      </c>
      <c r="T10" s="9"/>
      <c r="U10" s="27">
        <v>1</v>
      </c>
    </row>
    <row r="11" spans="1:21">
      <c r="A11" s="114"/>
      <c r="B11" s="3" t="s">
        <v>14</v>
      </c>
      <c r="C11" s="37" t="s">
        <v>68</v>
      </c>
      <c r="D11" s="33">
        <v>1000</v>
      </c>
      <c r="E11" s="42">
        <v>1</v>
      </c>
      <c r="F11" s="31">
        <v>18000</v>
      </c>
      <c r="G11" s="56">
        <f t="shared" si="0"/>
        <v>19.8</v>
      </c>
      <c r="H11" s="22"/>
      <c r="I11" s="18" t="s">
        <v>14</v>
      </c>
      <c r="J11" s="9">
        <v>1</v>
      </c>
      <c r="K11" s="27">
        <v>1</v>
      </c>
      <c r="L11" s="9">
        <v>1</v>
      </c>
      <c r="M11" s="27">
        <v>1</v>
      </c>
      <c r="N11" s="9">
        <v>1</v>
      </c>
      <c r="O11" s="27">
        <v>1</v>
      </c>
      <c r="P11" s="9">
        <v>1</v>
      </c>
      <c r="Q11" s="27">
        <v>1</v>
      </c>
      <c r="R11" s="9">
        <v>1</v>
      </c>
      <c r="S11" s="27">
        <v>1</v>
      </c>
      <c r="T11" s="9">
        <v>1</v>
      </c>
      <c r="U11" s="27">
        <v>1</v>
      </c>
    </row>
    <row r="12" spans="1:21">
      <c r="A12" s="114"/>
      <c r="B12" s="3" t="s">
        <v>36</v>
      </c>
      <c r="C12" s="37" t="s">
        <v>68</v>
      </c>
      <c r="D12" s="33">
        <v>10000</v>
      </c>
      <c r="E12" s="42">
        <v>1</v>
      </c>
      <c r="F12" s="31">
        <v>69000</v>
      </c>
      <c r="G12" s="26">
        <f t="shared" si="0"/>
        <v>7.5900000000000007</v>
      </c>
      <c r="H12" s="22"/>
      <c r="I12" s="18" t="s">
        <v>36</v>
      </c>
      <c r="J12" s="9"/>
      <c r="K12" s="27"/>
      <c r="L12" s="9"/>
      <c r="M12" s="27"/>
      <c r="N12" s="9"/>
      <c r="O12" s="27"/>
      <c r="P12" s="9"/>
      <c r="Q12" s="27"/>
      <c r="R12" s="9"/>
      <c r="S12" s="27"/>
      <c r="T12" s="9"/>
      <c r="U12" s="27"/>
    </row>
    <row r="13" spans="1:21">
      <c r="A13" s="114"/>
      <c r="B13" s="3" t="s">
        <v>37</v>
      </c>
      <c r="C13" s="37" t="s">
        <v>68</v>
      </c>
      <c r="D13" s="33">
        <v>3200</v>
      </c>
      <c r="E13" s="42">
        <v>1</v>
      </c>
      <c r="F13" s="31">
        <v>71000</v>
      </c>
      <c r="G13" s="56">
        <f t="shared" si="0"/>
        <v>24.406250000000004</v>
      </c>
      <c r="H13" s="22"/>
      <c r="I13" s="18" t="s">
        <v>37</v>
      </c>
      <c r="J13" s="9">
        <v>1</v>
      </c>
      <c r="K13" s="27"/>
      <c r="L13" s="9">
        <v>1</v>
      </c>
      <c r="M13" s="27"/>
      <c r="N13" s="9">
        <v>1</v>
      </c>
      <c r="O13" s="27"/>
      <c r="P13" s="9">
        <v>1</v>
      </c>
      <c r="Q13" s="27"/>
      <c r="R13" s="9">
        <v>1</v>
      </c>
      <c r="S13" s="27"/>
      <c r="T13" s="9">
        <v>1</v>
      </c>
      <c r="U13" s="27"/>
    </row>
    <row r="14" spans="1:21">
      <c r="A14" s="114"/>
      <c r="B14" s="3" t="s">
        <v>38</v>
      </c>
      <c r="C14" s="37" t="s">
        <v>68</v>
      </c>
      <c r="D14" s="33">
        <v>10000</v>
      </c>
      <c r="E14" s="42">
        <v>1</v>
      </c>
      <c r="F14" s="31">
        <v>72000</v>
      </c>
      <c r="G14" s="26">
        <f t="shared" si="0"/>
        <v>7.9200000000000008</v>
      </c>
      <c r="H14" s="22"/>
      <c r="I14" s="18" t="s">
        <v>38</v>
      </c>
      <c r="J14" s="9"/>
      <c r="K14" s="27"/>
      <c r="L14" s="9"/>
      <c r="M14" s="27"/>
      <c r="N14" s="9"/>
      <c r="O14" s="27"/>
      <c r="P14" s="9"/>
      <c r="Q14" s="27"/>
      <c r="R14" s="9"/>
      <c r="S14" s="27"/>
      <c r="T14" s="9"/>
      <c r="U14" s="27"/>
    </row>
    <row r="15" spans="1:21">
      <c r="A15" s="114"/>
      <c r="B15" s="3" t="s">
        <v>39</v>
      </c>
      <c r="C15" s="37" t="s">
        <v>68</v>
      </c>
      <c r="D15" s="33">
        <v>3200</v>
      </c>
      <c r="E15" s="42">
        <v>1</v>
      </c>
      <c r="F15" s="31">
        <v>73000</v>
      </c>
      <c r="G15" s="56">
        <f t="shared" si="0"/>
        <v>25.093750000000004</v>
      </c>
      <c r="H15" s="22"/>
      <c r="I15" s="18" t="s">
        <v>39</v>
      </c>
      <c r="J15" s="9"/>
      <c r="K15" s="27">
        <v>1</v>
      </c>
      <c r="L15" s="9"/>
      <c r="M15" s="27">
        <v>1</v>
      </c>
      <c r="N15" s="9"/>
      <c r="O15" s="27">
        <v>1</v>
      </c>
      <c r="P15" s="9"/>
      <c r="Q15" s="27">
        <v>1</v>
      </c>
      <c r="R15" s="9"/>
      <c r="S15" s="27">
        <v>1</v>
      </c>
      <c r="T15" s="9"/>
      <c r="U15" s="27">
        <v>1</v>
      </c>
    </row>
    <row r="16" spans="1:21" ht="17.25" thickBot="1">
      <c r="A16" s="113"/>
      <c r="B16" s="5" t="s">
        <v>40</v>
      </c>
      <c r="C16" s="39" t="s">
        <v>68</v>
      </c>
      <c r="D16" s="34">
        <v>10000</v>
      </c>
      <c r="E16" s="43">
        <v>1</v>
      </c>
      <c r="F16" s="32">
        <v>68000</v>
      </c>
      <c r="G16" s="26">
        <f t="shared" si="0"/>
        <v>7.48</v>
      </c>
      <c r="H16" s="22"/>
      <c r="I16" s="21" t="s">
        <v>40</v>
      </c>
      <c r="J16" s="51"/>
      <c r="K16" s="49"/>
      <c r="L16" s="51"/>
      <c r="M16" s="49"/>
      <c r="N16" s="51"/>
      <c r="O16" s="49"/>
      <c r="P16" s="51"/>
      <c r="Q16" s="49"/>
      <c r="R16" s="51"/>
      <c r="S16" s="49"/>
      <c r="T16" s="51"/>
      <c r="U16" s="49"/>
    </row>
    <row r="17" spans="1:21" ht="17.25" thickBot="1">
      <c r="A17" s="112" t="s">
        <v>63</v>
      </c>
      <c r="B17" s="6" t="s">
        <v>15</v>
      </c>
      <c r="C17" s="40" t="s">
        <v>70</v>
      </c>
      <c r="D17" s="35">
        <v>1500</v>
      </c>
      <c r="E17" s="41">
        <v>6</v>
      </c>
      <c r="F17" s="30">
        <v>19200</v>
      </c>
      <c r="G17" s="29">
        <f t="shared" si="0"/>
        <v>2.3466666666666667</v>
      </c>
      <c r="H17" s="17"/>
      <c r="I17" s="20" t="s">
        <v>15</v>
      </c>
      <c r="J17" s="50">
        <v>30</v>
      </c>
      <c r="K17" s="48">
        <v>30</v>
      </c>
      <c r="L17" s="50">
        <v>30</v>
      </c>
      <c r="M17" s="48">
        <v>30</v>
      </c>
      <c r="N17" s="50"/>
      <c r="O17" s="48"/>
      <c r="P17" s="50"/>
      <c r="Q17" s="48"/>
      <c r="R17" s="50">
        <v>30</v>
      </c>
      <c r="S17" s="48">
        <v>30</v>
      </c>
      <c r="T17" s="50"/>
      <c r="U17" s="48"/>
    </row>
    <row r="18" spans="1:21" hidden="1">
      <c r="A18" s="114"/>
      <c r="B18" s="3" t="s">
        <v>16</v>
      </c>
      <c r="C18" s="37" t="s">
        <v>70</v>
      </c>
      <c r="D18" s="33">
        <v>750</v>
      </c>
      <c r="E18" s="42">
        <v>8</v>
      </c>
      <c r="F18" s="85">
        <v>58880</v>
      </c>
      <c r="G18" s="26">
        <f t="shared" si="0"/>
        <v>10.794666666666666</v>
      </c>
      <c r="H18" s="22"/>
      <c r="I18" s="18" t="s">
        <v>16</v>
      </c>
      <c r="J18" s="9"/>
      <c r="K18" s="27"/>
      <c r="L18" s="9"/>
      <c r="M18" s="27"/>
      <c r="N18" s="9"/>
      <c r="O18" s="27"/>
      <c r="P18" s="9"/>
      <c r="Q18" s="27"/>
      <c r="R18" s="9"/>
      <c r="S18" s="27"/>
      <c r="T18" s="9"/>
      <c r="U18" s="27"/>
    </row>
    <row r="19" spans="1:21" hidden="1">
      <c r="A19" s="114"/>
      <c r="B19" s="3" t="s">
        <v>52</v>
      </c>
      <c r="C19" s="37" t="s">
        <v>70</v>
      </c>
      <c r="D19" s="33">
        <v>750</v>
      </c>
      <c r="E19" s="42">
        <v>8</v>
      </c>
      <c r="F19" s="31">
        <v>58880</v>
      </c>
      <c r="G19" s="56">
        <f t="shared" si="0"/>
        <v>10.794666666666666</v>
      </c>
      <c r="H19" s="22"/>
      <c r="I19" s="18" t="s">
        <v>52</v>
      </c>
      <c r="J19" s="9"/>
      <c r="K19" s="27"/>
      <c r="L19" s="9"/>
      <c r="M19" s="27"/>
      <c r="N19" s="9"/>
      <c r="O19" s="27"/>
      <c r="P19" s="9"/>
      <c r="Q19" s="27"/>
      <c r="R19" s="9"/>
      <c r="S19" s="27"/>
      <c r="T19" s="9"/>
      <c r="U19" s="27"/>
    </row>
    <row r="20" spans="1:21" hidden="1">
      <c r="A20" s="114"/>
      <c r="B20" s="3" t="s">
        <v>21</v>
      </c>
      <c r="C20" s="37" t="s">
        <v>70</v>
      </c>
      <c r="D20" s="33">
        <v>1890</v>
      </c>
      <c r="E20" s="42">
        <v>4</v>
      </c>
      <c r="F20" s="31">
        <v>56400</v>
      </c>
      <c r="G20" s="26">
        <f t="shared" si="0"/>
        <v>8.2063492063492074</v>
      </c>
      <c r="H20" s="22"/>
      <c r="I20" s="18" t="s">
        <v>21</v>
      </c>
      <c r="J20" s="9"/>
      <c r="K20" s="27"/>
      <c r="L20" s="9"/>
      <c r="M20" s="27"/>
      <c r="N20" s="9"/>
      <c r="O20" s="27"/>
      <c r="P20" s="9"/>
      <c r="Q20" s="27"/>
      <c r="R20" s="9"/>
      <c r="S20" s="27"/>
      <c r="T20" s="9"/>
      <c r="U20" s="27"/>
    </row>
    <row r="21" spans="1:21" ht="17.25" hidden="1" thickBot="1">
      <c r="A21" s="113"/>
      <c r="B21" s="5" t="s">
        <v>22</v>
      </c>
      <c r="C21" s="39" t="s">
        <v>70</v>
      </c>
      <c r="D21" s="34">
        <v>1890</v>
      </c>
      <c r="E21" s="43">
        <v>4</v>
      </c>
      <c r="F21" s="32">
        <v>60400</v>
      </c>
      <c r="G21" s="56">
        <f t="shared" si="0"/>
        <v>8.7883597883597897</v>
      </c>
      <c r="H21" s="17"/>
      <c r="I21" s="21" t="s">
        <v>22</v>
      </c>
      <c r="J21" s="51"/>
      <c r="K21" s="49"/>
      <c r="L21" s="51"/>
      <c r="M21" s="49"/>
      <c r="N21" s="51"/>
      <c r="O21" s="49"/>
      <c r="P21" s="51"/>
      <c r="Q21" s="49"/>
      <c r="R21" s="51"/>
      <c r="S21" s="49"/>
      <c r="T21" s="51"/>
      <c r="U21" s="49"/>
    </row>
    <row r="22" spans="1:21" hidden="1">
      <c r="A22" s="112" t="s">
        <v>64</v>
      </c>
      <c r="B22" s="6" t="s">
        <v>53</v>
      </c>
      <c r="C22" s="40" t="s">
        <v>69</v>
      </c>
      <c r="D22" s="35">
        <v>907</v>
      </c>
      <c r="E22" s="41">
        <v>12</v>
      </c>
      <c r="F22" s="30">
        <v>92400</v>
      </c>
      <c r="G22" s="57">
        <f t="shared" si="0"/>
        <v>9.33847850055127</v>
      </c>
      <c r="H22" s="22"/>
      <c r="I22" s="20" t="s">
        <v>53</v>
      </c>
      <c r="J22" s="50"/>
      <c r="K22" s="48"/>
      <c r="L22" s="50"/>
      <c r="M22" s="48"/>
      <c r="N22" s="50"/>
      <c r="O22" s="48"/>
      <c r="P22" s="50"/>
      <c r="Q22" s="48"/>
      <c r="R22" s="50"/>
      <c r="S22" s="48"/>
      <c r="T22" s="50"/>
      <c r="U22" s="48"/>
    </row>
    <row r="23" spans="1:21" hidden="1">
      <c r="A23" s="114"/>
      <c r="B23" s="3" t="s">
        <v>56</v>
      </c>
      <c r="C23" s="37" t="s">
        <v>69</v>
      </c>
      <c r="D23" s="33">
        <v>800</v>
      </c>
      <c r="E23" s="42">
        <v>12</v>
      </c>
      <c r="F23" s="31">
        <v>92400</v>
      </c>
      <c r="G23" s="56">
        <f t="shared" si="0"/>
        <v>10.5875</v>
      </c>
      <c r="H23" s="22"/>
      <c r="I23" s="18" t="s">
        <v>56</v>
      </c>
      <c r="J23" s="9"/>
      <c r="K23" s="27"/>
      <c r="L23" s="9"/>
      <c r="M23" s="27"/>
      <c r="N23" s="9"/>
      <c r="O23" s="27"/>
      <c r="P23" s="9"/>
      <c r="Q23" s="27"/>
      <c r="R23" s="9"/>
      <c r="S23" s="27"/>
      <c r="T23" s="9"/>
      <c r="U23" s="27"/>
    </row>
    <row r="24" spans="1:21" hidden="1">
      <c r="A24" s="114"/>
      <c r="B24" s="3" t="s">
        <v>57</v>
      </c>
      <c r="C24" s="37" t="s">
        <v>69</v>
      </c>
      <c r="D24" s="33">
        <v>800</v>
      </c>
      <c r="E24" s="42">
        <v>12</v>
      </c>
      <c r="F24" s="31">
        <v>74400</v>
      </c>
      <c r="G24" s="26">
        <f t="shared" si="0"/>
        <v>8.5250000000000004</v>
      </c>
      <c r="H24" s="22"/>
      <c r="I24" s="18" t="s">
        <v>57</v>
      </c>
      <c r="J24" s="9"/>
      <c r="K24" s="27"/>
      <c r="L24" s="9"/>
      <c r="M24" s="27"/>
      <c r="N24" s="9"/>
      <c r="O24" s="27"/>
      <c r="P24" s="9"/>
      <c r="Q24" s="27"/>
      <c r="R24" s="9"/>
      <c r="S24" s="27"/>
      <c r="T24" s="9"/>
      <c r="U24" s="27"/>
    </row>
    <row r="25" spans="1:21" hidden="1">
      <c r="A25" s="114"/>
      <c r="B25" s="3" t="s">
        <v>55</v>
      </c>
      <c r="C25" s="37" t="s">
        <v>69</v>
      </c>
      <c r="D25" s="33">
        <v>1000</v>
      </c>
      <c r="E25" s="42">
        <v>12</v>
      </c>
      <c r="F25" s="31">
        <v>87000</v>
      </c>
      <c r="G25" s="56">
        <f t="shared" si="0"/>
        <v>7.9750000000000005</v>
      </c>
      <c r="H25" s="22"/>
      <c r="I25" s="18" t="s">
        <v>55</v>
      </c>
      <c r="J25" s="9"/>
      <c r="K25" s="27"/>
      <c r="L25" s="9"/>
      <c r="M25" s="27"/>
      <c r="N25" s="9"/>
      <c r="O25" s="27"/>
      <c r="P25" s="9"/>
      <c r="Q25" s="27"/>
      <c r="R25" s="9"/>
      <c r="S25" s="27"/>
      <c r="T25" s="9"/>
      <c r="U25" s="27"/>
    </row>
    <row r="26" spans="1:21" hidden="1">
      <c r="A26" s="114"/>
      <c r="B26" s="3" t="s">
        <v>41</v>
      </c>
      <c r="C26" s="37" t="s">
        <v>69</v>
      </c>
      <c r="D26" s="33">
        <v>1000</v>
      </c>
      <c r="E26" s="42">
        <v>12</v>
      </c>
      <c r="F26" s="31">
        <v>79200</v>
      </c>
      <c r="G26" s="26">
        <f t="shared" si="0"/>
        <v>7.26</v>
      </c>
      <c r="H26" s="22"/>
      <c r="I26" s="18" t="s">
        <v>41</v>
      </c>
      <c r="J26" s="9"/>
      <c r="K26" s="27"/>
      <c r="L26" s="9"/>
      <c r="M26" s="27"/>
      <c r="N26" s="9"/>
      <c r="O26" s="27"/>
      <c r="P26" s="9"/>
      <c r="Q26" s="27"/>
      <c r="R26" s="9"/>
      <c r="S26" s="27"/>
      <c r="T26" s="9"/>
      <c r="U26" s="27"/>
    </row>
    <row r="27" spans="1:21" hidden="1">
      <c r="A27" s="114"/>
      <c r="B27" s="3" t="s">
        <v>45</v>
      </c>
      <c r="C27" s="37" t="s">
        <v>69</v>
      </c>
      <c r="D27" s="33">
        <v>500</v>
      </c>
      <c r="E27" s="42">
        <v>12</v>
      </c>
      <c r="F27" s="31">
        <v>63600</v>
      </c>
      <c r="G27" s="56">
        <f t="shared" si="0"/>
        <v>11.66</v>
      </c>
      <c r="H27" s="22"/>
      <c r="I27" s="18" t="s">
        <v>45</v>
      </c>
      <c r="J27" s="9"/>
      <c r="K27" s="27"/>
      <c r="L27" s="9"/>
      <c r="M27" s="27"/>
      <c r="N27" s="9"/>
      <c r="O27" s="27"/>
      <c r="P27" s="9"/>
      <c r="Q27" s="27"/>
      <c r="R27" s="9"/>
      <c r="S27" s="27"/>
      <c r="T27" s="9"/>
      <c r="U27" s="27"/>
    </row>
    <row r="28" spans="1:21" hidden="1">
      <c r="A28" s="114"/>
      <c r="B28" s="3" t="s">
        <v>47</v>
      </c>
      <c r="C28" s="37" t="s">
        <v>69</v>
      </c>
      <c r="D28" s="33">
        <v>1000</v>
      </c>
      <c r="E28" s="42">
        <v>12</v>
      </c>
      <c r="F28" s="31">
        <v>100800</v>
      </c>
      <c r="G28" s="56">
        <f t="shared" si="0"/>
        <v>9.240000000000002</v>
      </c>
      <c r="H28" s="22"/>
      <c r="I28" s="18" t="s">
        <v>47</v>
      </c>
      <c r="J28" s="9"/>
      <c r="K28" s="27"/>
      <c r="L28" s="9"/>
      <c r="M28" s="27"/>
      <c r="N28" s="9"/>
      <c r="O28" s="27"/>
      <c r="P28" s="9"/>
      <c r="Q28" s="27"/>
      <c r="R28" s="9"/>
      <c r="S28" s="27"/>
      <c r="T28" s="9"/>
      <c r="U28" s="27"/>
    </row>
    <row r="29" spans="1:21" hidden="1">
      <c r="A29" s="114"/>
      <c r="B29" s="3" t="s">
        <v>48</v>
      </c>
      <c r="C29" s="37" t="s">
        <v>69</v>
      </c>
      <c r="D29" s="33">
        <v>800</v>
      </c>
      <c r="E29" s="42">
        <v>12</v>
      </c>
      <c r="F29" s="31">
        <v>54000</v>
      </c>
      <c r="G29" s="26">
        <f t="shared" si="0"/>
        <v>6.1875000000000009</v>
      </c>
      <c r="H29" s="22"/>
      <c r="I29" s="18" t="s">
        <v>48</v>
      </c>
      <c r="J29" s="9"/>
      <c r="K29" s="27"/>
      <c r="L29" s="9"/>
      <c r="M29" s="27"/>
      <c r="N29" s="9"/>
      <c r="O29" s="27"/>
      <c r="P29" s="9"/>
      <c r="Q29" s="27"/>
      <c r="R29" s="9"/>
      <c r="S29" s="27"/>
      <c r="T29" s="9"/>
      <c r="U29" s="27"/>
    </row>
    <row r="30" spans="1:21" hidden="1">
      <c r="A30" s="114"/>
      <c r="B30" s="3" t="s">
        <v>61</v>
      </c>
      <c r="C30" s="37" t="s">
        <v>69</v>
      </c>
      <c r="D30" s="33">
        <v>800</v>
      </c>
      <c r="E30" s="42">
        <v>12</v>
      </c>
      <c r="F30" s="31">
        <v>80400</v>
      </c>
      <c r="G30" s="56">
        <f t="shared" si="0"/>
        <v>9.2125000000000004</v>
      </c>
      <c r="H30" s="22"/>
      <c r="I30" s="18" t="s">
        <v>61</v>
      </c>
      <c r="J30" s="9"/>
      <c r="K30" s="27"/>
      <c r="L30" s="9"/>
      <c r="M30" s="27"/>
      <c r="N30" s="9"/>
      <c r="O30" s="27"/>
      <c r="P30" s="9"/>
      <c r="Q30" s="27"/>
      <c r="R30" s="9"/>
      <c r="S30" s="27"/>
      <c r="T30" s="9"/>
      <c r="U30" s="27"/>
    </row>
    <row r="31" spans="1:21" ht="17.25" hidden="1" thickBot="1">
      <c r="A31" s="113"/>
      <c r="B31" s="5" t="s">
        <v>20</v>
      </c>
      <c r="C31" s="39" t="s">
        <v>69</v>
      </c>
      <c r="D31" s="34">
        <v>500</v>
      </c>
      <c r="E31" s="43">
        <v>6</v>
      </c>
      <c r="F31" s="32">
        <v>39600</v>
      </c>
      <c r="G31" s="26">
        <f t="shared" si="0"/>
        <v>14.52</v>
      </c>
      <c r="H31" s="22"/>
      <c r="I31" s="21" t="s">
        <v>20</v>
      </c>
      <c r="J31" s="51"/>
      <c r="K31" s="49"/>
      <c r="L31" s="51"/>
      <c r="M31" s="49"/>
      <c r="N31" s="51"/>
      <c r="O31" s="49"/>
      <c r="P31" s="51"/>
      <c r="Q31" s="49"/>
      <c r="R31" s="51"/>
      <c r="S31" s="49"/>
      <c r="T31" s="51"/>
      <c r="U31" s="49"/>
    </row>
    <row r="32" spans="1:21">
      <c r="A32" s="112" t="s">
        <v>71</v>
      </c>
      <c r="B32" s="6" t="s">
        <v>42</v>
      </c>
      <c r="C32" s="40" t="s">
        <v>69</v>
      </c>
      <c r="D32" s="35">
        <v>1500</v>
      </c>
      <c r="E32" s="41">
        <v>6</v>
      </c>
      <c r="F32" s="30">
        <v>87000</v>
      </c>
      <c r="G32" s="57">
        <f t="shared" si="0"/>
        <v>10.633333333333333</v>
      </c>
      <c r="H32" s="17"/>
      <c r="I32" s="20" t="s">
        <v>42</v>
      </c>
      <c r="J32" s="50"/>
      <c r="K32" s="48"/>
      <c r="L32" s="50">
        <v>70</v>
      </c>
      <c r="M32" s="48">
        <v>80</v>
      </c>
      <c r="N32" s="50"/>
      <c r="O32" s="48"/>
      <c r="P32" s="50"/>
      <c r="Q32" s="48"/>
      <c r="R32" s="50"/>
      <c r="S32" s="48"/>
      <c r="T32" s="50"/>
      <c r="U32" s="48"/>
    </row>
    <row r="33" spans="1:21">
      <c r="A33" s="114"/>
      <c r="B33" s="3" t="s">
        <v>43</v>
      </c>
      <c r="C33" s="37" t="s">
        <v>69</v>
      </c>
      <c r="D33" s="33">
        <v>1500</v>
      </c>
      <c r="E33" s="42">
        <v>6</v>
      </c>
      <c r="F33" s="31">
        <v>66000</v>
      </c>
      <c r="G33" s="26">
        <f t="shared" si="0"/>
        <v>8.0666666666666664</v>
      </c>
      <c r="H33" s="22"/>
      <c r="I33" s="18" t="s">
        <v>43</v>
      </c>
      <c r="J33" s="9"/>
      <c r="K33" s="27"/>
      <c r="L33" s="9"/>
      <c r="M33" s="27"/>
      <c r="N33" s="9">
        <v>70</v>
      </c>
      <c r="O33" s="27">
        <v>80</v>
      </c>
      <c r="P33" s="9"/>
      <c r="Q33" s="27"/>
      <c r="R33" s="9"/>
      <c r="S33" s="27"/>
      <c r="T33" s="9"/>
      <c r="U33" s="27"/>
    </row>
    <row r="34" spans="1:21">
      <c r="A34" s="114"/>
      <c r="B34" s="3" t="s">
        <v>54</v>
      </c>
      <c r="C34" s="37" t="s">
        <v>69</v>
      </c>
      <c r="D34" s="33">
        <v>1800</v>
      </c>
      <c r="E34" s="42">
        <v>6</v>
      </c>
      <c r="F34" s="31">
        <v>42000</v>
      </c>
      <c r="G34" s="26">
        <f t="shared" si="0"/>
        <v>4.2777777777777777</v>
      </c>
      <c r="H34" s="22"/>
      <c r="I34" s="18" t="s">
        <v>54</v>
      </c>
      <c r="J34" s="9"/>
      <c r="K34" s="27"/>
      <c r="L34" s="9"/>
      <c r="M34" s="27"/>
      <c r="N34" s="9"/>
      <c r="O34" s="27"/>
      <c r="P34" s="9"/>
      <c r="Q34" s="27"/>
      <c r="R34" s="9"/>
      <c r="S34" s="27"/>
      <c r="T34" s="9">
        <v>70</v>
      </c>
      <c r="U34" s="27">
        <v>90</v>
      </c>
    </row>
    <row r="35" spans="1:21" hidden="1">
      <c r="A35" s="114"/>
      <c r="B35" s="3" t="s">
        <v>44</v>
      </c>
      <c r="C35" s="37" t="s">
        <v>69</v>
      </c>
      <c r="D35" s="33">
        <v>1800</v>
      </c>
      <c r="E35" s="42">
        <v>6</v>
      </c>
      <c r="F35" s="31">
        <v>54000</v>
      </c>
      <c r="G35" s="56">
        <f t="shared" si="0"/>
        <v>5.5</v>
      </c>
      <c r="H35" s="22"/>
      <c r="I35" s="18" t="s">
        <v>44</v>
      </c>
      <c r="J35" s="9"/>
      <c r="K35" s="27"/>
      <c r="L35" s="9"/>
      <c r="M35" s="27"/>
      <c r="N35" s="9"/>
      <c r="O35" s="27"/>
      <c r="P35" s="9"/>
      <c r="Q35" s="27"/>
      <c r="R35" s="9"/>
      <c r="S35" s="27"/>
      <c r="T35" s="9"/>
      <c r="U35" s="27"/>
    </row>
    <row r="36" spans="1:21" hidden="1">
      <c r="A36" s="114"/>
      <c r="B36" s="3" t="s">
        <v>59</v>
      </c>
      <c r="C36" s="37" t="s">
        <v>69</v>
      </c>
      <c r="D36" s="33">
        <v>1000</v>
      </c>
      <c r="E36" s="42">
        <v>12</v>
      </c>
      <c r="F36" s="31">
        <v>63600</v>
      </c>
      <c r="G36" s="56">
        <f t="shared" si="0"/>
        <v>5.83</v>
      </c>
      <c r="H36" s="22"/>
      <c r="I36" s="18" t="s">
        <v>59</v>
      </c>
      <c r="J36" s="9"/>
      <c r="K36" s="27"/>
      <c r="L36" s="9"/>
      <c r="M36" s="27"/>
      <c r="N36" s="9"/>
      <c r="O36" s="27"/>
      <c r="P36" s="9"/>
      <c r="Q36" s="27"/>
      <c r="R36" s="9"/>
      <c r="S36" s="27"/>
      <c r="T36" s="9"/>
      <c r="U36" s="27"/>
    </row>
    <row r="37" spans="1:21">
      <c r="A37" s="114"/>
      <c r="B37" s="3" t="s">
        <v>58</v>
      </c>
      <c r="C37" s="37" t="s">
        <v>69</v>
      </c>
      <c r="D37" s="33">
        <v>1000</v>
      </c>
      <c r="E37" s="42">
        <v>12</v>
      </c>
      <c r="F37" s="31">
        <v>80400</v>
      </c>
      <c r="G37" s="26">
        <f t="shared" si="0"/>
        <v>7.370000000000001</v>
      </c>
      <c r="H37" s="22"/>
      <c r="I37" s="18" t="s">
        <v>58</v>
      </c>
      <c r="J37" s="9"/>
      <c r="K37" s="27"/>
      <c r="L37" s="9"/>
      <c r="M37" s="27"/>
      <c r="N37" s="9"/>
      <c r="O37" s="27"/>
      <c r="P37" s="9">
        <v>70</v>
      </c>
      <c r="Q37" s="27">
        <v>70</v>
      </c>
      <c r="R37" s="9"/>
      <c r="S37" s="27"/>
      <c r="T37" s="9"/>
      <c r="U37" s="27"/>
    </row>
    <row r="38" spans="1:21" hidden="1">
      <c r="A38" s="114"/>
      <c r="B38" s="3" t="s">
        <v>18</v>
      </c>
      <c r="C38" s="37" t="s">
        <v>69</v>
      </c>
      <c r="D38" s="33">
        <v>1800</v>
      </c>
      <c r="E38" s="42">
        <v>6</v>
      </c>
      <c r="F38" s="31">
        <v>41400</v>
      </c>
      <c r="G38" s="26">
        <f t="shared" si="0"/>
        <v>4.2166666666666668</v>
      </c>
      <c r="H38" s="22"/>
      <c r="I38" s="18" t="s">
        <v>18</v>
      </c>
      <c r="J38" s="9"/>
      <c r="K38" s="27"/>
      <c r="L38" s="9"/>
      <c r="M38" s="27"/>
      <c r="N38" s="9"/>
      <c r="O38" s="27"/>
      <c r="P38" s="9"/>
      <c r="Q38" s="27"/>
      <c r="R38" s="9"/>
      <c r="S38" s="27"/>
      <c r="T38" s="9"/>
      <c r="U38" s="27"/>
    </row>
    <row r="39" spans="1:21" hidden="1">
      <c r="A39" s="114"/>
      <c r="B39" s="3" t="s">
        <v>17</v>
      </c>
      <c r="C39" s="37" t="s">
        <v>69</v>
      </c>
      <c r="D39" s="33">
        <v>1800</v>
      </c>
      <c r="E39" s="42">
        <v>6</v>
      </c>
      <c r="F39" s="31">
        <v>41400</v>
      </c>
      <c r="G39" s="56">
        <f t="shared" si="0"/>
        <v>4.2166666666666668</v>
      </c>
      <c r="H39" s="22"/>
      <c r="I39" s="18" t="s">
        <v>17</v>
      </c>
      <c r="J39" s="9"/>
      <c r="K39" s="27"/>
      <c r="L39" s="9"/>
      <c r="M39" s="27"/>
      <c r="N39" s="9"/>
      <c r="O39" s="27"/>
      <c r="P39" s="9"/>
      <c r="Q39" s="27"/>
      <c r="R39" s="9"/>
      <c r="S39" s="27"/>
      <c r="T39" s="9"/>
      <c r="U39" s="27"/>
    </row>
    <row r="40" spans="1:21" hidden="1">
      <c r="A40" s="114"/>
      <c r="B40" s="3" t="s">
        <v>19</v>
      </c>
      <c r="C40" s="37" t="s">
        <v>69</v>
      </c>
      <c r="D40" s="33">
        <v>1800</v>
      </c>
      <c r="E40" s="42">
        <v>6</v>
      </c>
      <c r="F40" s="31">
        <v>40800</v>
      </c>
      <c r="G40" s="26">
        <f t="shared" si="0"/>
        <v>4.1555555555555559</v>
      </c>
      <c r="H40" s="22"/>
      <c r="I40" s="18" t="s">
        <v>19</v>
      </c>
      <c r="J40" s="9"/>
      <c r="K40" s="27"/>
      <c r="L40" s="9"/>
      <c r="M40" s="27"/>
      <c r="N40" s="9"/>
      <c r="O40" s="27"/>
      <c r="P40" s="9"/>
      <c r="Q40" s="27"/>
      <c r="R40" s="9"/>
      <c r="S40" s="27"/>
      <c r="T40" s="9"/>
      <c r="U40" s="27"/>
    </row>
    <row r="41" spans="1:21" hidden="1">
      <c r="A41" s="114"/>
      <c r="B41" s="3" t="s">
        <v>46</v>
      </c>
      <c r="C41" s="37" t="s">
        <v>69</v>
      </c>
      <c r="D41" s="33">
        <v>1000</v>
      </c>
      <c r="E41" s="42">
        <v>12</v>
      </c>
      <c r="F41" s="31">
        <v>94800</v>
      </c>
      <c r="G41" s="56">
        <f t="shared" si="0"/>
        <v>8.6900000000000013</v>
      </c>
      <c r="H41" s="22"/>
      <c r="I41" s="18" t="s">
        <v>46</v>
      </c>
      <c r="J41" s="9"/>
      <c r="K41" s="27"/>
      <c r="L41" s="9"/>
      <c r="M41" s="27"/>
      <c r="N41" s="9"/>
      <c r="O41" s="27"/>
      <c r="P41" s="9"/>
      <c r="Q41" s="27"/>
      <c r="R41" s="9"/>
      <c r="S41" s="27"/>
      <c r="T41" s="9"/>
      <c r="U41" s="27"/>
    </row>
    <row r="42" spans="1:21" hidden="1">
      <c r="A42" s="114"/>
      <c r="B42" s="3" t="s">
        <v>49</v>
      </c>
      <c r="C42" s="37" t="s">
        <v>69</v>
      </c>
      <c r="D42" s="33">
        <v>1000</v>
      </c>
      <c r="E42" s="42">
        <v>6</v>
      </c>
      <c r="F42" s="31">
        <v>42000</v>
      </c>
      <c r="G42" s="26">
        <f t="shared" si="0"/>
        <v>7.7000000000000011</v>
      </c>
      <c r="H42" s="22"/>
      <c r="I42" s="18" t="s">
        <v>49</v>
      </c>
      <c r="J42" s="9"/>
      <c r="K42" s="27"/>
      <c r="L42" s="9"/>
      <c r="M42" s="27"/>
      <c r="N42" s="9"/>
      <c r="O42" s="27"/>
      <c r="P42" s="9"/>
      <c r="Q42" s="27"/>
      <c r="R42" s="9"/>
      <c r="S42" s="27"/>
      <c r="T42" s="9"/>
      <c r="U42" s="27"/>
    </row>
    <row r="43" spans="1:21">
      <c r="A43" s="114"/>
      <c r="B43" s="3" t="s">
        <v>24</v>
      </c>
      <c r="C43" s="37" t="s">
        <v>69</v>
      </c>
      <c r="D43" s="33">
        <v>1000</v>
      </c>
      <c r="E43" s="42">
        <v>4</v>
      </c>
      <c r="F43" s="31">
        <v>60000</v>
      </c>
      <c r="G43" s="56">
        <f t="shared" si="0"/>
        <v>16.5</v>
      </c>
      <c r="H43" s="22"/>
      <c r="I43" s="18" t="s">
        <v>24</v>
      </c>
      <c r="J43" s="9">
        <v>70</v>
      </c>
      <c r="K43" s="27">
        <v>80</v>
      </c>
      <c r="L43" s="9"/>
      <c r="M43" s="27"/>
      <c r="N43" s="9"/>
      <c r="O43" s="27"/>
      <c r="P43" s="9"/>
      <c r="Q43" s="27"/>
      <c r="R43" s="9"/>
      <c r="S43" s="27"/>
      <c r="T43" s="9"/>
      <c r="U43" s="27"/>
    </row>
    <row r="44" spans="1:21" ht="17.25" thickBot="1">
      <c r="A44" s="113"/>
      <c r="B44" s="5" t="s">
        <v>23</v>
      </c>
      <c r="C44" s="39" t="s">
        <v>69</v>
      </c>
      <c r="D44" s="34">
        <v>1000</v>
      </c>
      <c r="E44" s="43">
        <v>4</v>
      </c>
      <c r="F44" s="32">
        <v>61200</v>
      </c>
      <c r="G44" s="26">
        <f t="shared" si="0"/>
        <v>16.830000000000002</v>
      </c>
      <c r="H44" s="22"/>
      <c r="I44" s="21" t="s">
        <v>23</v>
      </c>
      <c r="J44" s="51"/>
      <c r="K44" s="49"/>
      <c r="L44" s="51"/>
      <c r="M44" s="49"/>
      <c r="N44" s="51"/>
      <c r="O44" s="49"/>
      <c r="P44" s="51"/>
      <c r="Q44" s="49"/>
      <c r="R44" s="51">
        <v>70</v>
      </c>
      <c r="S44" s="49">
        <v>80</v>
      </c>
      <c r="T44" s="51"/>
      <c r="U44" s="49"/>
    </row>
    <row r="45" spans="1:21" hidden="1">
      <c r="A45" s="112" t="s">
        <v>65</v>
      </c>
      <c r="B45" s="6" t="s">
        <v>26</v>
      </c>
      <c r="C45" s="40" t="s">
        <v>68</v>
      </c>
      <c r="D45" s="35">
        <v>200</v>
      </c>
      <c r="E45" s="41">
        <v>1</v>
      </c>
      <c r="F45" s="30">
        <v>4000</v>
      </c>
      <c r="G45" s="29">
        <f t="shared" si="0"/>
        <v>22</v>
      </c>
      <c r="H45" s="17"/>
      <c r="I45" s="20" t="s">
        <v>26</v>
      </c>
      <c r="J45" s="50"/>
      <c r="K45" s="48"/>
      <c r="L45" s="50"/>
      <c r="M45" s="48"/>
      <c r="N45" s="50"/>
      <c r="O45" s="48"/>
      <c r="P45" s="50"/>
      <c r="Q45" s="48"/>
      <c r="R45" s="50"/>
      <c r="S45" s="48"/>
      <c r="T45" s="50"/>
      <c r="U45" s="48"/>
    </row>
    <row r="46" spans="1:21" hidden="1">
      <c r="A46" s="114"/>
      <c r="B46" s="3" t="s">
        <v>27</v>
      </c>
      <c r="C46" s="37" t="s">
        <v>68</v>
      </c>
      <c r="D46" s="33">
        <v>200</v>
      </c>
      <c r="E46" s="42">
        <v>1</v>
      </c>
      <c r="F46" s="31">
        <v>4000</v>
      </c>
      <c r="G46" s="26">
        <f t="shared" si="0"/>
        <v>22</v>
      </c>
      <c r="H46" s="22"/>
      <c r="I46" s="18" t="s">
        <v>27</v>
      </c>
      <c r="J46" s="9"/>
      <c r="K46" s="27"/>
      <c r="L46" s="9"/>
      <c r="M46" s="27"/>
      <c r="N46" s="9"/>
      <c r="O46" s="27"/>
      <c r="P46" s="9"/>
      <c r="Q46" s="27"/>
      <c r="R46" s="9"/>
      <c r="S46" s="27"/>
      <c r="T46" s="9"/>
      <c r="U46" s="27"/>
    </row>
    <row r="47" spans="1:21" hidden="1">
      <c r="A47" s="114"/>
      <c r="B47" s="3" t="s">
        <v>28</v>
      </c>
      <c r="C47" s="37" t="s">
        <v>68</v>
      </c>
      <c r="D47" s="33">
        <v>200</v>
      </c>
      <c r="E47" s="42">
        <v>1</v>
      </c>
      <c r="F47" s="31">
        <v>4000</v>
      </c>
      <c r="G47" s="56">
        <f t="shared" si="0"/>
        <v>22</v>
      </c>
      <c r="H47" s="22"/>
      <c r="I47" s="18" t="s">
        <v>28</v>
      </c>
      <c r="J47" s="9"/>
      <c r="K47" s="27"/>
      <c r="L47" s="9"/>
      <c r="M47" s="27"/>
      <c r="N47" s="9"/>
      <c r="O47" s="27"/>
      <c r="P47" s="9"/>
      <c r="Q47" s="27"/>
      <c r="R47" s="9"/>
      <c r="S47" s="27"/>
      <c r="T47" s="9"/>
      <c r="U47" s="27"/>
    </row>
    <row r="48" spans="1:21" ht="17.25" hidden="1" thickBot="1">
      <c r="A48" s="113"/>
      <c r="B48" s="5" t="s">
        <v>29</v>
      </c>
      <c r="C48" s="39" t="s">
        <v>68</v>
      </c>
      <c r="D48" s="34">
        <v>200</v>
      </c>
      <c r="E48" s="43">
        <v>1</v>
      </c>
      <c r="F48" s="32">
        <v>4000</v>
      </c>
      <c r="G48" s="26">
        <f t="shared" si="0"/>
        <v>22</v>
      </c>
      <c r="H48" s="22"/>
      <c r="I48" s="21" t="s">
        <v>29</v>
      </c>
      <c r="J48" s="51"/>
      <c r="K48" s="49"/>
      <c r="L48" s="51"/>
      <c r="M48" s="49"/>
      <c r="N48" s="51"/>
      <c r="O48" s="49"/>
      <c r="P48" s="51"/>
      <c r="Q48" s="49"/>
      <c r="R48" s="51"/>
      <c r="S48" s="49"/>
      <c r="T48" s="51"/>
      <c r="U48" s="49"/>
    </row>
    <row r="49" spans="1:21" hidden="1">
      <c r="A49" s="112" t="s">
        <v>25</v>
      </c>
      <c r="B49" s="6" t="s">
        <v>25</v>
      </c>
      <c r="C49" s="40" t="s">
        <v>69</v>
      </c>
      <c r="D49" s="35">
        <v>1000</v>
      </c>
      <c r="E49" s="41">
        <v>10</v>
      </c>
      <c r="F49" s="30">
        <v>140000</v>
      </c>
      <c r="G49" s="29">
        <f t="shared" si="0"/>
        <v>15.400000000000002</v>
      </c>
      <c r="H49" s="17"/>
      <c r="I49" s="20" t="s">
        <v>25</v>
      </c>
      <c r="J49" s="50"/>
      <c r="K49" s="48"/>
      <c r="L49" s="50"/>
      <c r="M49" s="48"/>
      <c r="N49" s="50"/>
      <c r="O49" s="48"/>
      <c r="P49" s="50"/>
      <c r="Q49" s="48"/>
      <c r="R49" s="50"/>
      <c r="S49" s="48"/>
      <c r="T49" s="50"/>
      <c r="U49" s="48"/>
    </row>
    <row r="50" spans="1:21" ht="17.25" hidden="1" thickBot="1">
      <c r="A50" s="113"/>
      <c r="B50" s="5" t="s">
        <v>50</v>
      </c>
      <c r="C50" s="39" t="s">
        <v>69</v>
      </c>
      <c r="D50" s="34">
        <v>1000</v>
      </c>
      <c r="E50" s="43">
        <v>10</v>
      </c>
      <c r="F50" s="32">
        <v>190000</v>
      </c>
      <c r="G50" s="26">
        <f t="shared" si="0"/>
        <v>20.900000000000002</v>
      </c>
      <c r="H50" s="22"/>
      <c r="I50" s="21" t="s">
        <v>50</v>
      </c>
      <c r="J50" s="51"/>
      <c r="K50" s="49"/>
      <c r="L50" s="51"/>
      <c r="M50" s="49"/>
      <c r="N50" s="51"/>
      <c r="O50" s="49"/>
      <c r="P50" s="51"/>
      <c r="Q50" s="49"/>
      <c r="R50" s="51"/>
      <c r="S50" s="49"/>
      <c r="T50" s="51"/>
      <c r="U50" s="49"/>
    </row>
    <row r="51" spans="1:21" hidden="1">
      <c r="A51" s="114" t="s">
        <v>66</v>
      </c>
      <c r="B51" s="63" t="s">
        <v>60</v>
      </c>
      <c r="C51" s="64" t="s">
        <v>70</v>
      </c>
      <c r="D51" s="33">
        <v>900</v>
      </c>
      <c r="E51" s="42">
        <v>1</v>
      </c>
      <c r="F51" s="31">
        <v>2100</v>
      </c>
      <c r="G51" s="29">
        <f>F51/(D51*E51)</f>
        <v>2.3333333333333335</v>
      </c>
      <c r="H51" s="17"/>
      <c r="I51" s="53" t="s">
        <v>60</v>
      </c>
      <c r="J51" s="50"/>
      <c r="K51" s="48"/>
      <c r="L51" s="50"/>
      <c r="M51" s="48"/>
      <c r="N51" s="50"/>
      <c r="O51" s="48"/>
      <c r="P51" s="50"/>
      <c r="Q51" s="48"/>
      <c r="R51" s="50"/>
      <c r="S51" s="48"/>
      <c r="T51" s="50"/>
      <c r="U51" s="48"/>
    </row>
    <row r="52" spans="1:21" ht="17.25" thickBot="1">
      <c r="A52" s="113"/>
      <c r="B52" s="65" t="s">
        <v>51</v>
      </c>
      <c r="C52" s="66" t="s">
        <v>70</v>
      </c>
      <c r="D52" s="34">
        <v>1500</v>
      </c>
      <c r="E52" s="43">
        <v>12</v>
      </c>
      <c r="F52" s="32">
        <v>16200</v>
      </c>
      <c r="G52" s="84">
        <f t="shared" si="0"/>
        <v>0.9900000000000001</v>
      </c>
      <c r="H52" s="22"/>
      <c r="I52" s="52" t="s">
        <v>51</v>
      </c>
      <c r="J52" s="9">
        <v>230</v>
      </c>
      <c r="K52" s="27">
        <v>300</v>
      </c>
      <c r="L52" s="9">
        <v>230</v>
      </c>
      <c r="M52" s="27">
        <v>300</v>
      </c>
      <c r="N52" s="9">
        <v>230</v>
      </c>
      <c r="O52" s="27">
        <v>300</v>
      </c>
      <c r="P52" s="9">
        <v>230</v>
      </c>
      <c r="Q52" s="27">
        <v>300</v>
      </c>
      <c r="R52" s="9">
        <v>230</v>
      </c>
      <c r="S52" s="27">
        <v>300</v>
      </c>
      <c r="T52" s="9">
        <v>230</v>
      </c>
      <c r="U52" s="27">
        <v>300</v>
      </c>
    </row>
    <row r="53" spans="1:21" ht="17.25" thickBot="1">
      <c r="A53" s="60"/>
      <c r="B53" s="61"/>
      <c r="C53" s="60"/>
      <c r="D53" s="60"/>
      <c r="E53" s="60"/>
      <c r="F53" s="60"/>
      <c r="G53" s="61"/>
      <c r="H53" s="60"/>
      <c r="I53" s="76" t="s">
        <v>4</v>
      </c>
      <c r="J53" s="70">
        <f t="shared" ref="J53:U53" si="1">SUMPRODUCT(J5:J52,$G5:$G52)</f>
        <v>1575.95625</v>
      </c>
      <c r="K53" s="71">
        <f t="shared" si="1"/>
        <v>1825.79375</v>
      </c>
      <c r="L53" s="70">
        <f t="shared" si="1"/>
        <v>1165.2895833333332</v>
      </c>
      <c r="M53" s="71">
        <f t="shared" si="1"/>
        <v>1356.4604166666666</v>
      </c>
      <c r="N53" s="70">
        <f t="shared" si="1"/>
        <v>915.22291666666672</v>
      </c>
      <c r="O53" s="71">
        <f t="shared" si="1"/>
        <v>1080.7270833333332</v>
      </c>
      <c r="P53" s="70">
        <f t="shared" si="1"/>
        <v>866.45625000000018</v>
      </c>
      <c r="Q53" s="71">
        <f t="shared" si="1"/>
        <v>951.29375000000005</v>
      </c>
      <c r="R53" s="70">
        <f t="shared" si="1"/>
        <v>1599.0562500000003</v>
      </c>
      <c r="S53" s="71">
        <f t="shared" si="1"/>
        <v>1852.1937500000001</v>
      </c>
      <c r="T53" s="70">
        <f t="shared" si="1"/>
        <v>650.00069444444443</v>
      </c>
      <c r="U53" s="71">
        <f t="shared" si="1"/>
        <v>820.39374999999995</v>
      </c>
    </row>
    <row r="54" spans="1:21" ht="17.25" thickBot="1">
      <c r="A54" s="12"/>
      <c r="B54" s="16"/>
      <c r="C54" s="12"/>
      <c r="D54" s="12"/>
      <c r="E54" s="12"/>
      <c r="F54" s="12"/>
      <c r="G54" s="12"/>
      <c r="H54" s="12"/>
      <c r="I54" s="87" t="s">
        <v>12</v>
      </c>
      <c r="J54" s="88">
        <v>3500</v>
      </c>
      <c r="K54" s="89">
        <v>4000</v>
      </c>
      <c r="L54" s="88">
        <v>3800</v>
      </c>
      <c r="M54" s="89">
        <v>4300</v>
      </c>
      <c r="N54" s="88">
        <v>3800</v>
      </c>
      <c r="O54" s="89">
        <v>4300</v>
      </c>
      <c r="P54" s="88">
        <v>4000</v>
      </c>
      <c r="Q54" s="89">
        <v>4500</v>
      </c>
      <c r="R54" s="88">
        <v>4000</v>
      </c>
      <c r="S54" s="89">
        <v>4500</v>
      </c>
      <c r="T54" s="88">
        <v>3500</v>
      </c>
      <c r="U54" s="89">
        <v>4000</v>
      </c>
    </row>
    <row r="55" spans="1:21" ht="17.25" thickBot="1">
      <c r="A55" s="58"/>
      <c r="B55" s="58"/>
      <c r="C55" s="58"/>
      <c r="D55" s="58"/>
      <c r="E55" s="58"/>
      <c r="F55" s="58"/>
      <c r="G55" s="58"/>
      <c r="H55" s="58"/>
      <c r="I55" s="90" t="s">
        <v>5</v>
      </c>
      <c r="J55" s="91">
        <f t="shared" ref="J55:U55" si="2">(J53)/J54</f>
        <v>0.45027321428571426</v>
      </c>
      <c r="K55" s="92">
        <f t="shared" si="2"/>
        <v>0.45644843750000003</v>
      </c>
      <c r="L55" s="91">
        <f t="shared" si="2"/>
        <v>0.30665515350877187</v>
      </c>
      <c r="M55" s="92">
        <f t="shared" si="2"/>
        <v>0.31545591085271313</v>
      </c>
      <c r="N55" s="91">
        <f t="shared" si="2"/>
        <v>0.24084813596491231</v>
      </c>
      <c r="O55" s="92">
        <f t="shared" si="2"/>
        <v>0.25133187984496119</v>
      </c>
      <c r="P55" s="91">
        <f t="shared" si="2"/>
        <v>0.21661406250000004</v>
      </c>
      <c r="Q55" s="92">
        <f t="shared" si="2"/>
        <v>0.21139861111111113</v>
      </c>
      <c r="R55" s="91">
        <f t="shared" si="2"/>
        <v>0.39976406250000007</v>
      </c>
      <c r="S55" s="92">
        <f t="shared" si="2"/>
        <v>0.41159861111111112</v>
      </c>
      <c r="T55" s="91">
        <f t="shared" si="2"/>
        <v>0.18571448412698413</v>
      </c>
      <c r="U55" s="92">
        <f t="shared" si="2"/>
        <v>0.20509843749999998</v>
      </c>
    </row>
    <row r="56" spans="1:21" ht="17.25" thickBot="1">
      <c r="A56" s="2"/>
      <c r="B56" s="2"/>
      <c r="C56" s="2"/>
      <c r="D56" s="2"/>
      <c r="E56" s="2"/>
      <c r="F56" s="12"/>
      <c r="G56" s="14"/>
      <c r="H56" s="14"/>
      <c r="I56" s="93" t="s">
        <v>130</v>
      </c>
      <c r="J56" s="81">
        <f>AVERAGE(J55:U55)</f>
        <v>0.30426675006718995</v>
      </c>
      <c r="K56" s="2"/>
    </row>
  </sheetData>
  <mergeCells count="26">
    <mergeCell ref="R1:S1"/>
    <mergeCell ref="R2:S2"/>
    <mergeCell ref="R3:S3"/>
    <mergeCell ref="T1:U1"/>
    <mergeCell ref="T2:U2"/>
    <mergeCell ref="T3:U3"/>
    <mergeCell ref="N1:O1"/>
    <mergeCell ref="N2:O2"/>
    <mergeCell ref="N3:O3"/>
    <mergeCell ref="P1:Q1"/>
    <mergeCell ref="P2:Q2"/>
    <mergeCell ref="P3:Q3"/>
    <mergeCell ref="A22:A31"/>
    <mergeCell ref="A32:A44"/>
    <mergeCell ref="A45:A48"/>
    <mergeCell ref="A49:A50"/>
    <mergeCell ref="A51:A52"/>
    <mergeCell ref="A4:B4"/>
    <mergeCell ref="A5:A16"/>
    <mergeCell ref="A17:A21"/>
    <mergeCell ref="L1:M1"/>
    <mergeCell ref="L2:M2"/>
    <mergeCell ref="L3:M3"/>
    <mergeCell ref="J1:K1"/>
    <mergeCell ref="J2:K2"/>
    <mergeCell ref="J3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커피</vt:lpstr>
      <vt:lpstr>논커피</vt:lpstr>
      <vt:lpstr>스무디</vt:lpstr>
      <vt:lpstr>차</vt:lpstr>
      <vt:lpstr>에이드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공예주</dc:creator>
  <cp:lastModifiedBy>PC1</cp:lastModifiedBy>
  <dcterms:created xsi:type="dcterms:W3CDTF">2023-02-06T07:52:42Z</dcterms:created>
  <dcterms:modified xsi:type="dcterms:W3CDTF">2025-01-16T01:56:13Z</dcterms:modified>
</cp:coreProperties>
</file>