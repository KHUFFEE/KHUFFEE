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카페쿠피\"/>
    </mc:Choice>
  </mc:AlternateContent>
  <xr:revisionPtr revIDLastSave="0" documentId="13_ncr:1_{365A6501-27EC-4195-9A29-4C17C54133DB}" xr6:coauthVersionLast="47" xr6:coauthVersionMax="47" xr10:uidLastSave="{00000000-0000-0000-0000-000000000000}"/>
  <bookViews>
    <workbookView xWindow="-120" yWindow="-120" windowWidth="29040" windowHeight="15840" xr2:uid="{50B1F049-3806-44CF-88C1-E3FB7644BE33}"/>
  </bookViews>
  <sheets>
    <sheet name="24년 목표대비 달성률" sheetId="1" r:id="rId1"/>
    <sheet name="매장별 목표 및 23년 대비 차액" sheetId="2" r:id="rId2"/>
    <sheet name="24년 매장별 물류 사용량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N6" i="3"/>
  <c r="M35" i="3" l="1"/>
  <c r="M20" i="3" s="1"/>
  <c r="AB5" i="3" s="1"/>
  <c r="M53" i="3"/>
  <c r="L35" i="3"/>
  <c r="M77" i="3"/>
  <c r="L77" i="3"/>
  <c r="K77" i="3"/>
  <c r="J77" i="3"/>
  <c r="I77" i="3"/>
  <c r="H77" i="3"/>
  <c r="G77" i="3"/>
  <c r="F77" i="3"/>
  <c r="E77" i="3"/>
  <c r="N77" i="3" s="1"/>
  <c r="D77" i="3"/>
  <c r="C77" i="3"/>
  <c r="B77" i="3"/>
  <c r="N76" i="3"/>
  <c r="N75" i="3"/>
  <c r="N74" i="3"/>
  <c r="N73" i="3"/>
  <c r="N72" i="3"/>
  <c r="N71" i="3"/>
  <c r="N70" i="3"/>
  <c r="M69" i="3"/>
  <c r="M78" i="3" s="1"/>
  <c r="L69" i="3"/>
  <c r="L78" i="3" s="1"/>
  <c r="K69" i="3"/>
  <c r="K78" i="3" s="1"/>
  <c r="J69" i="3"/>
  <c r="J78" i="3" s="1"/>
  <c r="I69" i="3"/>
  <c r="I78" i="3" s="1"/>
  <c r="H69" i="3"/>
  <c r="H78" i="3" s="1"/>
  <c r="G69" i="3"/>
  <c r="G78" i="3" s="1"/>
  <c r="F69" i="3"/>
  <c r="F78" i="3" s="1"/>
  <c r="E69" i="3"/>
  <c r="E78" i="3" s="1"/>
  <c r="D69" i="3"/>
  <c r="D78" i="3" s="1"/>
  <c r="C69" i="3"/>
  <c r="C78" i="3" s="1"/>
  <c r="B69" i="3"/>
  <c r="B78" i="3" s="1"/>
  <c r="N68" i="3"/>
  <c r="N67" i="3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N59" i="3"/>
  <c r="N58" i="3"/>
  <c r="N57" i="3"/>
  <c r="N56" i="3"/>
  <c r="N55" i="3"/>
  <c r="N54" i="3"/>
  <c r="M62" i="3"/>
  <c r="M63" i="3" s="1"/>
  <c r="L53" i="3"/>
  <c r="K53" i="3"/>
  <c r="J53" i="3"/>
  <c r="J62" i="3" s="1"/>
  <c r="J63" i="3" s="1"/>
  <c r="I53" i="3"/>
  <c r="I62" i="3" s="1"/>
  <c r="I63" i="3" s="1"/>
  <c r="H53" i="3"/>
  <c r="G53" i="3"/>
  <c r="F53" i="3"/>
  <c r="F62" i="3" s="1"/>
  <c r="F63" i="3" s="1"/>
  <c r="E53" i="3"/>
  <c r="E62" i="3" s="1"/>
  <c r="E63" i="3" s="1"/>
  <c r="D53" i="3"/>
  <c r="C53" i="3"/>
  <c r="B53" i="3"/>
  <c r="N52" i="3"/>
  <c r="N51" i="3"/>
  <c r="AB45" i="3"/>
  <c r="AA45" i="3"/>
  <c r="Z45" i="3"/>
  <c r="Y45" i="3"/>
  <c r="X45" i="3"/>
  <c r="W45" i="3"/>
  <c r="V45" i="3"/>
  <c r="U45" i="3"/>
  <c r="T45" i="3"/>
  <c r="S45" i="3"/>
  <c r="R45" i="3"/>
  <c r="Q45" i="3"/>
  <c r="AC44" i="3"/>
  <c r="M44" i="3"/>
  <c r="M29" i="3" s="1"/>
  <c r="AB14" i="3" s="1"/>
  <c r="L44" i="3"/>
  <c r="L29" i="3" s="1"/>
  <c r="AA14" i="3" s="1"/>
  <c r="K44" i="3"/>
  <c r="J44" i="3"/>
  <c r="I44" i="3"/>
  <c r="I29" i="3" s="1"/>
  <c r="X14" i="3" s="1"/>
  <c r="H44" i="3"/>
  <c r="H29" i="3" s="1"/>
  <c r="W14" i="3" s="1"/>
  <c r="G44" i="3"/>
  <c r="F44" i="3"/>
  <c r="E44" i="3"/>
  <c r="E29" i="3" s="1"/>
  <c r="T14" i="3" s="1"/>
  <c r="D44" i="3"/>
  <c r="D29" i="3" s="1"/>
  <c r="S14" i="3" s="1"/>
  <c r="C44" i="3"/>
  <c r="B44" i="3"/>
  <c r="AC43" i="3"/>
  <c r="M43" i="3"/>
  <c r="M28" i="3" s="1"/>
  <c r="AB13" i="3" s="1"/>
  <c r="L43" i="3"/>
  <c r="K43" i="3"/>
  <c r="J43" i="3"/>
  <c r="J28" i="3" s="1"/>
  <c r="Y13" i="3" s="1"/>
  <c r="I43" i="3"/>
  <c r="H43" i="3"/>
  <c r="G43" i="3"/>
  <c r="F43" i="3"/>
  <c r="F28" i="3" s="1"/>
  <c r="U13" i="3" s="1"/>
  <c r="E43" i="3"/>
  <c r="D43" i="3"/>
  <c r="C43" i="3"/>
  <c r="B43" i="3"/>
  <c r="B28" i="3" s="1"/>
  <c r="Q13" i="3" s="1"/>
  <c r="AC42" i="3"/>
  <c r="M42" i="3"/>
  <c r="M27" i="3" s="1"/>
  <c r="AB12" i="3" s="1"/>
  <c r="L42" i="3"/>
  <c r="K42" i="3"/>
  <c r="K27" i="3" s="1"/>
  <c r="Z12" i="3" s="1"/>
  <c r="J42" i="3"/>
  <c r="I42" i="3"/>
  <c r="H42" i="3"/>
  <c r="G42" i="3"/>
  <c r="G27" i="3" s="1"/>
  <c r="V12" i="3" s="1"/>
  <c r="F42" i="3"/>
  <c r="E42" i="3"/>
  <c r="D42" i="3"/>
  <c r="C42" i="3"/>
  <c r="C27" i="3" s="1"/>
  <c r="R12" i="3" s="1"/>
  <c r="B42" i="3"/>
  <c r="AC41" i="3"/>
  <c r="M41" i="3"/>
  <c r="M26" i="3" s="1"/>
  <c r="AB11" i="3" s="1"/>
  <c r="L41" i="3"/>
  <c r="L26" i="3" s="1"/>
  <c r="AA11" i="3" s="1"/>
  <c r="K41" i="3"/>
  <c r="J41" i="3"/>
  <c r="I41" i="3"/>
  <c r="H41" i="3"/>
  <c r="H26" i="3" s="1"/>
  <c r="W11" i="3" s="1"/>
  <c r="G41" i="3"/>
  <c r="F41" i="3"/>
  <c r="E41" i="3"/>
  <c r="D41" i="3"/>
  <c r="D26" i="3" s="1"/>
  <c r="S11" i="3" s="1"/>
  <c r="C41" i="3"/>
  <c r="N41" i="3" s="1"/>
  <c r="B41" i="3"/>
  <c r="AC40" i="3"/>
  <c r="M40" i="3"/>
  <c r="M25" i="3" s="1"/>
  <c r="AB10" i="3" s="1"/>
  <c r="L40" i="3"/>
  <c r="K40" i="3"/>
  <c r="K25" i="3" s="1"/>
  <c r="Z10" i="3" s="1"/>
  <c r="J40" i="3"/>
  <c r="J25" i="3" s="1"/>
  <c r="Y10" i="3" s="1"/>
  <c r="I40" i="3"/>
  <c r="H40" i="3"/>
  <c r="G40" i="3"/>
  <c r="G25" i="3" s="1"/>
  <c r="V10" i="3" s="1"/>
  <c r="F40" i="3"/>
  <c r="F25" i="3" s="1"/>
  <c r="U10" i="3" s="1"/>
  <c r="E40" i="3"/>
  <c r="D40" i="3"/>
  <c r="C40" i="3"/>
  <c r="C25" i="3" s="1"/>
  <c r="R10" i="3" s="1"/>
  <c r="B40" i="3"/>
  <c r="AC39" i="3"/>
  <c r="M39" i="3"/>
  <c r="M24" i="3" s="1"/>
  <c r="AB9" i="3" s="1"/>
  <c r="L39" i="3"/>
  <c r="L24" i="3" s="1"/>
  <c r="AA9" i="3" s="1"/>
  <c r="K39" i="3"/>
  <c r="K24" i="3" s="1"/>
  <c r="Z9" i="3" s="1"/>
  <c r="J39" i="3"/>
  <c r="I39" i="3"/>
  <c r="H39" i="3"/>
  <c r="H24" i="3" s="1"/>
  <c r="W9" i="3" s="1"/>
  <c r="G39" i="3"/>
  <c r="F39" i="3"/>
  <c r="E39" i="3"/>
  <c r="D39" i="3"/>
  <c r="D24" i="3" s="1"/>
  <c r="S9" i="3" s="1"/>
  <c r="C39" i="3"/>
  <c r="C24" i="3" s="1"/>
  <c r="R9" i="3" s="1"/>
  <c r="B39" i="3"/>
  <c r="AC38" i="3"/>
  <c r="M38" i="3"/>
  <c r="M23" i="3" s="1"/>
  <c r="AB8" i="3" s="1"/>
  <c r="L38" i="3"/>
  <c r="L23" i="3" s="1"/>
  <c r="K38" i="3"/>
  <c r="J38" i="3"/>
  <c r="I38" i="3"/>
  <c r="H38" i="3"/>
  <c r="G38" i="3"/>
  <c r="F38" i="3"/>
  <c r="E38" i="3"/>
  <c r="D38" i="3"/>
  <c r="D23" i="3" s="1"/>
  <c r="S8" i="3" s="1"/>
  <c r="C38" i="3"/>
  <c r="B38" i="3"/>
  <c r="AB37" i="3"/>
  <c r="AA37" i="3"/>
  <c r="AA46" i="3" s="1"/>
  <c r="Z37" i="3"/>
  <c r="Y37" i="3"/>
  <c r="X37" i="3"/>
  <c r="X46" i="3" s="1"/>
  <c r="W37" i="3"/>
  <c r="W46" i="3" s="1"/>
  <c r="V37" i="3"/>
  <c r="U37" i="3"/>
  <c r="T37" i="3"/>
  <c r="T46" i="3" s="1"/>
  <c r="S37" i="3"/>
  <c r="S46" i="3" s="1"/>
  <c r="R37" i="3"/>
  <c r="Q37" i="3"/>
  <c r="AC36" i="3"/>
  <c r="M36" i="3"/>
  <c r="L36" i="3"/>
  <c r="K36" i="3"/>
  <c r="K21" i="3" s="1"/>
  <c r="Z6" i="3" s="1"/>
  <c r="J36" i="3"/>
  <c r="J21" i="3" s="1"/>
  <c r="Y6" i="3" s="1"/>
  <c r="I36" i="3"/>
  <c r="I21" i="3" s="1"/>
  <c r="X6" i="3" s="1"/>
  <c r="H36" i="3"/>
  <c r="G36" i="3"/>
  <c r="G21" i="3" s="1"/>
  <c r="V6" i="3" s="1"/>
  <c r="F36" i="3"/>
  <c r="F21" i="3" s="1"/>
  <c r="U6" i="3" s="1"/>
  <c r="E36" i="3"/>
  <c r="E21" i="3" s="1"/>
  <c r="T6" i="3" s="1"/>
  <c r="D36" i="3"/>
  <c r="C36" i="3"/>
  <c r="C21" i="3" s="1"/>
  <c r="R6" i="3" s="1"/>
  <c r="B36" i="3"/>
  <c r="AC35" i="3"/>
  <c r="L37" i="3"/>
  <c r="K35" i="3"/>
  <c r="J35" i="3"/>
  <c r="J37" i="3" s="1"/>
  <c r="I35" i="3"/>
  <c r="I37" i="3" s="1"/>
  <c r="H35" i="3"/>
  <c r="H37" i="3" s="1"/>
  <c r="G35" i="3"/>
  <c r="F35" i="3"/>
  <c r="F37" i="3" s="1"/>
  <c r="E35" i="3"/>
  <c r="E37" i="3" s="1"/>
  <c r="D35" i="3"/>
  <c r="D37" i="3" s="1"/>
  <c r="C35" i="3"/>
  <c r="B35" i="3"/>
  <c r="K29" i="3"/>
  <c r="Z14" i="3" s="1"/>
  <c r="J29" i="3"/>
  <c r="G29" i="3"/>
  <c r="V14" i="3" s="1"/>
  <c r="F29" i="3"/>
  <c r="C29" i="3"/>
  <c r="B29" i="3"/>
  <c r="L28" i="3"/>
  <c r="AA13" i="3" s="1"/>
  <c r="K28" i="3"/>
  <c r="Z13" i="3" s="1"/>
  <c r="I28" i="3"/>
  <c r="X13" i="3" s="1"/>
  <c r="H28" i="3"/>
  <c r="G28" i="3"/>
  <c r="V13" i="3" s="1"/>
  <c r="E28" i="3"/>
  <c r="T13" i="3" s="1"/>
  <c r="D28" i="3"/>
  <c r="S13" i="3" s="1"/>
  <c r="C28" i="3"/>
  <c r="R13" i="3" s="1"/>
  <c r="L27" i="3"/>
  <c r="AA12" i="3" s="1"/>
  <c r="J27" i="3"/>
  <c r="I27" i="3"/>
  <c r="X12" i="3" s="1"/>
  <c r="H27" i="3"/>
  <c r="F27" i="3"/>
  <c r="E27" i="3"/>
  <c r="D27" i="3"/>
  <c r="S12" i="3" s="1"/>
  <c r="B27" i="3"/>
  <c r="K26" i="3"/>
  <c r="Z11" i="3" s="1"/>
  <c r="J26" i="3"/>
  <c r="Y11" i="3" s="1"/>
  <c r="I26" i="3"/>
  <c r="X11" i="3" s="1"/>
  <c r="G26" i="3"/>
  <c r="V11" i="3" s="1"/>
  <c r="F26" i="3"/>
  <c r="U11" i="3" s="1"/>
  <c r="E26" i="3"/>
  <c r="T11" i="3" s="1"/>
  <c r="C26" i="3"/>
  <c r="R11" i="3" s="1"/>
  <c r="B26" i="3"/>
  <c r="Q11" i="3" s="1"/>
  <c r="L25" i="3"/>
  <c r="AA10" i="3" s="1"/>
  <c r="I25" i="3"/>
  <c r="H25" i="3"/>
  <c r="W10" i="3" s="1"/>
  <c r="E25" i="3"/>
  <c r="D25" i="3"/>
  <c r="S10" i="3" s="1"/>
  <c r="B25" i="3"/>
  <c r="Q10" i="3" s="1"/>
  <c r="J24" i="3"/>
  <c r="I24" i="3"/>
  <c r="X9" i="3" s="1"/>
  <c r="G24" i="3"/>
  <c r="V9" i="3" s="1"/>
  <c r="F24" i="3"/>
  <c r="E24" i="3"/>
  <c r="T9" i="3" s="1"/>
  <c r="B24" i="3"/>
  <c r="Q9" i="3" s="1"/>
  <c r="K23" i="3"/>
  <c r="J23" i="3"/>
  <c r="H23" i="3"/>
  <c r="W8" i="3" s="1"/>
  <c r="G23" i="3"/>
  <c r="F23" i="3"/>
  <c r="C23" i="3"/>
  <c r="R8" i="3" s="1"/>
  <c r="B23" i="3"/>
  <c r="L21" i="3"/>
  <c r="AA6" i="3" s="1"/>
  <c r="H21" i="3"/>
  <c r="W6" i="3" s="1"/>
  <c r="D21" i="3"/>
  <c r="L20" i="3"/>
  <c r="K20" i="3"/>
  <c r="J20" i="3"/>
  <c r="H20" i="3"/>
  <c r="G20" i="3"/>
  <c r="V5" i="3" s="1"/>
  <c r="F20" i="3"/>
  <c r="D20" i="3"/>
  <c r="D22" i="3" s="1"/>
  <c r="C20" i="3"/>
  <c r="R5" i="3" s="1"/>
  <c r="B20" i="3"/>
  <c r="M15" i="3"/>
  <c r="L15" i="3"/>
  <c r="K15" i="3"/>
  <c r="J15" i="3"/>
  <c r="I15" i="3"/>
  <c r="H15" i="3"/>
  <c r="G15" i="3"/>
  <c r="F15" i="3"/>
  <c r="E15" i="3"/>
  <c r="D15" i="3"/>
  <c r="C15" i="3"/>
  <c r="B15" i="3"/>
  <c r="Y14" i="3"/>
  <c r="U14" i="3"/>
  <c r="Q14" i="3"/>
  <c r="N14" i="3"/>
  <c r="W13" i="3"/>
  <c r="N13" i="3"/>
  <c r="Y12" i="3"/>
  <c r="W12" i="3"/>
  <c r="U12" i="3"/>
  <c r="T12" i="3"/>
  <c r="Q12" i="3"/>
  <c r="N12" i="3"/>
  <c r="N11" i="3"/>
  <c r="X10" i="3"/>
  <c r="T10" i="3"/>
  <c r="N10" i="3"/>
  <c r="Y9" i="3"/>
  <c r="U9" i="3"/>
  <c r="N9" i="3"/>
  <c r="Z8" i="3"/>
  <c r="Y8" i="3"/>
  <c r="V8" i="3"/>
  <c r="U8" i="3"/>
  <c r="Q8" i="3"/>
  <c r="N8" i="3"/>
  <c r="M7" i="3"/>
  <c r="L7" i="3"/>
  <c r="K7" i="3"/>
  <c r="K16" i="3" s="1"/>
  <c r="J7" i="3"/>
  <c r="I7" i="3"/>
  <c r="I16" i="3" s="1"/>
  <c r="H7" i="3"/>
  <c r="G7" i="3"/>
  <c r="G16" i="3" s="1"/>
  <c r="F7" i="3"/>
  <c r="E7" i="3"/>
  <c r="E16" i="3" s="1"/>
  <c r="D7" i="3"/>
  <c r="C7" i="3"/>
  <c r="C16" i="3" s="1"/>
  <c r="B7" i="3"/>
  <c r="S6" i="3"/>
  <c r="Z5" i="3"/>
  <c r="Y5" i="3"/>
  <c r="U5" i="3"/>
  <c r="Q5" i="3"/>
  <c r="J11" i="2"/>
  <c r="I11" i="2"/>
  <c r="H11" i="2"/>
  <c r="G11" i="2"/>
  <c r="F11" i="2"/>
  <c r="E11" i="2"/>
  <c r="D11" i="2"/>
  <c r="C11" i="2"/>
  <c r="B11" i="2"/>
  <c r="J5" i="2"/>
  <c r="I5" i="2"/>
  <c r="H5" i="2"/>
  <c r="G5" i="2"/>
  <c r="F5" i="2"/>
  <c r="E5" i="2"/>
  <c r="D5" i="2"/>
  <c r="C5" i="2"/>
  <c r="B5" i="2"/>
  <c r="J10" i="2"/>
  <c r="I10" i="2"/>
  <c r="H10" i="2"/>
  <c r="G10" i="2"/>
  <c r="F10" i="2"/>
  <c r="E10" i="2"/>
  <c r="D10" i="2"/>
  <c r="C10" i="2"/>
  <c r="B10" i="2"/>
  <c r="K40" i="1"/>
  <c r="J40" i="1"/>
  <c r="I40" i="1"/>
  <c r="H40" i="1"/>
  <c r="G40" i="1"/>
  <c r="F40" i="1"/>
  <c r="E40" i="1"/>
  <c r="D40" i="1"/>
  <c r="C40" i="1"/>
  <c r="H22" i="3" l="1"/>
  <c r="N36" i="3"/>
  <c r="E45" i="3"/>
  <c r="E46" i="3" s="1"/>
  <c r="I45" i="3"/>
  <c r="C62" i="3"/>
  <c r="G62" i="3"/>
  <c r="G63" i="3" s="1"/>
  <c r="K62" i="3"/>
  <c r="K63" i="3" s="1"/>
  <c r="E20" i="3"/>
  <c r="T5" i="3" s="1"/>
  <c r="T7" i="3" s="1"/>
  <c r="I20" i="3"/>
  <c r="X5" i="3" s="1"/>
  <c r="N42" i="3"/>
  <c r="B62" i="3"/>
  <c r="X7" i="3"/>
  <c r="N29" i="3"/>
  <c r="B16" i="3"/>
  <c r="F16" i="3"/>
  <c r="J16" i="3"/>
  <c r="V15" i="3"/>
  <c r="Z15" i="3"/>
  <c r="R14" i="3"/>
  <c r="R15" i="3" s="1"/>
  <c r="E22" i="3"/>
  <c r="I22" i="3"/>
  <c r="B21" i="3"/>
  <c r="C30" i="3"/>
  <c r="G30" i="3"/>
  <c r="K30" i="3"/>
  <c r="I46" i="3"/>
  <c r="U46" i="3"/>
  <c r="Y46" i="3"/>
  <c r="B45" i="3"/>
  <c r="F45" i="3"/>
  <c r="F46" i="3" s="1"/>
  <c r="J45" i="3"/>
  <c r="Y7" i="3"/>
  <c r="Q15" i="3"/>
  <c r="U15" i="3"/>
  <c r="F30" i="3"/>
  <c r="Z7" i="3"/>
  <c r="S5" i="3"/>
  <c r="S7" i="3" s="1"/>
  <c r="W5" i="3"/>
  <c r="W7" i="3" s="1"/>
  <c r="W15" i="3"/>
  <c r="F22" i="3"/>
  <c r="D30" i="3"/>
  <c r="D31" i="3" s="1"/>
  <c r="L30" i="3"/>
  <c r="AA8" i="3"/>
  <c r="AA15" i="3" s="1"/>
  <c r="N25" i="3"/>
  <c r="N35" i="3"/>
  <c r="M37" i="3"/>
  <c r="M21" i="3"/>
  <c r="AB6" i="3" s="1"/>
  <c r="AB7" i="3" s="1"/>
  <c r="R46" i="3"/>
  <c r="V46" i="3"/>
  <c r="Z46" i="3"/>
  <c r="C45" i="3"/>
  <c r="G45" i="3"/>
  <c r="K45" i="3"/>
  <c r="D62" i="3"/>
  <c r="D63" i="3" s="1"/>
  <c r="H62" i="3"/>
  <c r="H63" i="3" s="1"/>
  <c r="L62" i="3"/>
  <c r="L63" i="3" s="1"/>
  <c r="U7" i="3"/>
  <c r="U16" i="3" s="1"/>
  <c r="Y15" i="3"/>
  <c r="L22" i="3"/>
  <c r="AA5" i="3"/>
  <c r="AA7" i="3" s="1"/>
  <c r="B30" i="3"/>
  <c r="J30" i="3"/>
  <c r="N27" i="3"/>
  <c r="D46" i="3"/>
  <c r="R7" i="3"/>
  <c r="V7" i="3"/>
  <c r="S15" i="3"/>
  <c r="J22" i="3"/>
  <c r="H30" i="3"/>
  <c r="H31" i="3" s="1"/>
  <c r="D16" i="3"/>
  <c r="H16" i="3"/>
  <c r="L16" i="3"/>
  <c r="C22" i="3"/>
  <c r="G22" i="3"/>
  <c r="G31" i="3" s="1"/>
  <c r="K22" i="3"/>
  <c r="K31" i="3" s="1"/>
  <c r="E23" i="3"/>
  <c r="I23" i="3"/>
  <c r="N24" i="3"/>
  <c r="C37" i="3"/>
  <c r="G37" i="3"/>
  <c r="G46" i="3" s="1"/>
  <c r="K37" i="3"/>
  <c r="D45" i="3"/>
  <c r="H45" i="3"/>
  <c r="H46" i="3" s="1"/>
  <c r="L45" i="3"/>
  <c r="L46" i="3" s="1"/>
  <c r="AB15" i="3"/>
  <c r="M16" i="3"/>
  <c r="N26" i="3"/>
  <c r="AC9" i="3"/>
  <c r="M30" i="3"/>
  <c r="N28" i="3"/>
  <c r="N61" i="3"/>
  <c r="N44" i="3"/>
  <c r="N40" i="3"/>
  <c r="N39" i="3"/>
  <c r="AC45" i="3"/>
  <c r="M45" i="3"/>
  <c r="N43" i="3"/>
  <c r="AB46" i="3"/>
  <c r="AC37" i="3"/>
  <c r="AC14" i="3"/>
  <c r="AC13" i="3"/>
  <c r="AC12" i="3"/>
  <c r="AC10" i="3"/>
  <c r="N15" i="3"/>
  <c r="AC11" i="3"/>
  <c r="F31" i="3"/>
  <c r="J31" i="3"/>
  <c r="N78" i="3"/>
  <c r="J46" i="3"/>
  <c r="AC5" i="3"/>
  <c r="Q46" i="3"/>
  <c r="N53" i="3"/>
  <c r="N69" i="3"/>
  <c r="N7" i="3"/>
  <c r="B37" i="3"/>
  <c r="N38" i="3"/>
  <c r="N20" i="3"/>
  <c r="C38" i="1"/>
  <c r="L36" i="1"/>
  <c r="L3" i="1"/>
  <c r="AB16" i="3" l="1"/>
  <c r="Y16" i="3"/>
  <c r="K46" i="3"/>
  <c r="C31" i="3"/>
  <c r="N63" i="3"/>
  <c r="E30" i="3"/>
  <c r="T8" i="3"/>
  <c r="B46" i="3"/>
  <c r="N46" i="3" s="1"/>
  <c r="N16" i="3"/>
  <c r="L31" i="3"/>
  <c r="S16" i="3"/>
  <c r="E31" i="3"/>
  <c r="R16" i="3"/>
  <c r="N21" i="3"/>
  <c r="Q6" i="3"/>
  <c r="C46" i="3"/>
  <c r="B22" i="3"/>
  <c r="AA16" i="3"/>
  <c r="W16" i="3"/>
  <c r="N23" i="3"/>
  <c r="M46" i="3"/>
  <c r="M22" i="3"/>
  <c r="M31" i="3" s="1"/>
  <c r="I30" i="3"/>
  <c r="I31" i="3" s="1"/>
  <c r="X8" i="3"/>
  <c r="X15" i="3" s="1"/>
  <c r="X16" i="3" s="1"/>
  <c r="V16" i="3"/>
  <c r="Z16" i="3"/>
  <c r="N62" i="3"/>
  <c r="AC46" i="3"/>
  <c r="N45" i="3"/>
  <c r="N37" i="3"/>
  <c r="K38" i="1"/>
  <c r="J38" i="1"/>
  <c r="I38" i="1"/>
  <c r="H38" i="1"/>
  <c r="G38" i="1"/>
  <c r="F38" i="1"/>
  <c r="E38" i="1"/>
  <c r="D38" i="1"/>
  <c r="K35" i="1"/>
  <c r="K32" i="1"/>
  <c r="K26" i="1"/>
  <c r="K23" i="1"/>
  <c r="K20" i="1"/>
  <c r="K17" i="1"/>
  <c r="K14" i="1"/>
  <c r="K11" i="1"/>
  <c r="J35" i="1"/>
  <c r="J32" i="1"/>
  <c r="J26" i="1"/>
  <c r="J23" i="1"/>
  <c r="J20" i="1"/>
  <c r="J17" i="1"/>
  <c r="J14" i="1"/>
  <c r="J11" i="1"/>
  <c r="I35" i="1"/>
  <c r="I32" i="1"/>
  <c r="I29" i="1"/>
  <c r="I23" i="1"/>
  <c r="I20" i="1"/>
  <c r="I17" i="1"/>
  <c r="I14" i="1"/>
  <c r="I11" i="1"/>
  <c r="H35" i="1"/>
  <c r="H32" i="1"/>
  <c r="H26" i="1"/>
  <c r="H23" i="1"/>
  <c r="H20" i="1"/>
  <c r="H17" i="1"/>
  <c r="H14" i="1"/>
  <c r="H11" i="1"/>
  <c r="G35" i="1"/>
  <c r="G32" i="1"/>
  <c r="G26" i="1"/>
  <c r="G23" i="1"/>
  <c r="G20" i="1"/>
  <c r="G17" i="1"/>
  <c r="G14" i="1"/>
  <c r="G11" i="1"/>
  <c r="F35" i="1"/>
  <c r="F32" i="1"/>
  <c r="F26" i="1"/>
  <c r="F23" i="1"/>
  <c r="F20" i="1"/>
  <c r="F17" i="1"/>
  <c r="F14" i="1"/>
  <c r="F11" i="1"/>
  <c r="E35" i="1"/>
  <c r="E32" i="1"/>
  <c r="E26" i="1"/>
  <c r="E23" i="1"/>
  <c r="E20" i="1"/>
  <c r="E17" i="1"/>
  <c r="E14" i="1"/>
  <c r="E11" i="1"/>
  <c r="D35" i="1"/>
  <c r="D32" i="1"/>
  <c r="D29" i="1"/>
  <c r="D23" i="1"/>
  <c r="D20" i="1"/>
  <c r="D17" i="1"/>
  <c r="D14" i="1"/>
  <c r="D11" i="1"/>
  <c r="C11" i="1"/>
  <c r="C35" i="1"/>
  <c r="C32" i="1"/>
  <c r="C29" i="1"/>
  <c r="C23" i="1"/>
  <c r="C20" i="1"/>
  <c r="C17" i="1"/>
  <c r="C14" i="1"/>
  <c r="K8" i="1"/>
  <c r="J8" i="1"/>
  <c r="N30" i="3" l="1"/>
  <c r="Q7" i="3"/>
  <c r="Q16" i="3" s="1"/>
  <c r="AC6" i="3"/>
  <c r="T15" i="3"/>
  <c r="T16" i="3" s="1"/>
  <c r="AC8" i="3"/>
  <c r="N22" i="3"/>
  <c r="B31" i="3"/>
  <c r="N31" i="3" s="1"/>
  <c r="I8" i="1"/>
  <c r="H8" i="1"/>
  <c r="G8" i="1"/>
  <c r="F8" i="1"/>
  <c r="E8" i="1"/>
  <c r="D8" i="1"/>
  <c r="C8" i="1"/>
  <c r="K5" i="1"/>
  <c r="J5" i="1"/>
  <c r="I5" i="1"/>
  <c r="H5" i="1"/>
  <c r="G5" i="1"/>
  <c r="F5" i="1"/>
  <c r="E5" i="1"/>
  <c r="D5" i="1"/>
  <c r="C5" i="1"/>
  <c r="L33" i="1"/>
  <c r="L30" i="1"/>
  <c r="K27" i="1" l="1"/>
  <c r="J27" i="1"/>
  <c r="I24" i="1"/>
  <c r="I39" i="1" s="1"/>
  <c r="H27" i="1"/>
  <c r="G27" i="1"/>
  <c r="F27" i="1"/>
  <c r="E27" i="1"/>
  <c r="D24" i="1"/>
  <c r="C24" i="1"/>
  <c r="L21" i="1"/>
  <c r="L18" i="1"/>
  <c r="L15" i="1"/>
  <c r="L12" i="1"/>
  <c r="L9" i="1"/>
  <c r="I41" i="1" l="1"/>
  <c r="E29" i="1"/>
  <c r="E39" i="1"/>
  <c r="J29" i="1"/>
  <c r="J39" i="1"/>
  <c r="C26" i="1"/>
  <c r="C39" i="1"/>
  <c r="K29" i="1"/>
  <c r="K39" i="1"/>
  <c r="K41" i="1" s="1"/>
  <c r="F29" i="1"/>
  <c r="F39" i="1"/>
  <c r="G29" i="1"/>
  <c r="G39" i="1"/>
  <c r="D26" i="1"/>
  <c r="D39" i="1"/>
  <c r="H29" i="1"/>
  <c r="H39" i="1"/>
  <c r="L27" i="1"/>
  <c r="L24" i="1"/>
  <c r="I26" i="1"/>
  <c r="L6" i="1"/>
  <c r="L5" i="1"/>
  <c r="L37" i="1"/>
  <c r="L38" i="1" s="1"/>
  <c r="L34" i="1"/>
  <c r="L35" i="1" s="1"/>
  <c r="L31" i="1"/>
  <c r="L32" i="1" s="1"/>
  <c r="L28" i="1"/>
  <c r="L25" i="1"/>
  <c r="L22" i="1"/>
  <c r="L23" i="1" s="1"/>
  <c r="L19" i="1"/>
  <c r="L20" i="1" s="1"/>
  <c r="L16" i="1"/>
  <c r="L17" i="1" s="1"/>
  <c r="L13" i="1"/>
  <c r="L14" i="1" s="1"/>
  <c r="L10" i="1"/>
  <c r="L11" i="1" s="1"/>
  <c r="L7" i="1"/>
  <c r="D41" i="1" l="1"/>
  <c r="E41" i="1"/>
  <c r="F41" i="1"/>
  <c r="H41" i="1"/>
  <c r="J41" i="1"/>
  <c r="M40" i="1"/>
  <c r="G41" i="1"/>
  <c r="C41" i="1"/>
  <c r="L39" i="1"/>
  <c r="L29" i="1"/>
  <c r="L8" i="1"/>
  <c r="L26" i="1"/>
  <c r="M42" i="1" l="1"/>
</calcChain>
</file>

<file path=xl/sharedStrings.xml><?xml version="1.0" encoding="utf-8"?>
<sst xmlns="http://schemas.openxmlformats.org/spreadsheetml/2006/main" count="316" uniqueCount="111">
  <si>
    <t xml:space="preserve">점포별 월 매출 현황 및 목표매출 대비 실 목표 달성률 </t>
    <phoneticPr fontId="2" type="noConversion"/>
  </si>
  <si>
    <t>푸른솔</t>
    <phoneticPr fontId="2" type="noConversion"/>
  </si>
  <si>
    <t>의과대학</t>
    <phoneticPr fontId="2" type="noConversion"/>
  </si>
  <si>
    <t>중앙도서관</t>
    <phoneticPr fontId="2" type="noConversion"/>
  </si>
  <si>
    <t>학생회관</t>
    <phoneticPr fontId="2" type="noConversion"/>
  </si>
  <si>
    <t>예술디자인</t>
    <phoneticPr fontId="2" type="noConversion"/>
  </si>
  <si>
    <t>멀티미디어</t>
    <phoneticPr fontId="2" type="noConversion"/>
  </si>
  <si>
    <t>제2기숙사</t>
    <phoneticPr fontId="2" type="noConversion"/>
  </si>
  <si>
    <t>선승관</t>
    <phoneticPr fontId="2" type="noConversion"/>
  </si>
  <si>
    <t>공과대학</t>
    <phoneticPr fontId="2" type="noConversion"/>
  </si>
  <si>
    <t>월별 누계</t>
    <phoneticPr fontId="2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</si>
  <si>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</si>
  <si>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</si>
  <si>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</si>
  <si>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</si>
  <si>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</si>
  <si>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</si>
  <si>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</si>
  <si>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</si>
  <si>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</si>
  <si>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달성률</t>
  </si>
  <si>
    <t>달성률</t>
    <phoneticPr fontId="2" type="noConversion"/>
  </si>
  <si>
    <t>실매출 총누계</t>
    <phoneticPr fontId="2" type="noConversion"/>
  </si>
  <si>
    <t>목표매출 총 누계</t>
    <phoneticPr fontId="2" type="noConversion"/>
  </si>
  <si>
    <t>총 달성률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</si>
  <si>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</si>
  <si>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</si>
  <si>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</si>
  <si>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구분</t>
    <phoneticPr fontId="2" type="noConversion"/>
  </si>
  <si>
    <t>실매출</t>
    <phoneticPr fontId="2" type="noConversion"/>
  </si>
  <si>
    <t>목표매출</t>
    <phoneticPr fontId="2" type="noConversion"/>
  </si>
  <si>
    <t>매장별 실매출 누계</t>
    <phoneticPr fontId="2" type="noConversion"/>
  </si>
  <si>
    <t>매장별 목표매출 누계</t>
    <phoneticPr fontId="2" type="noConversion"/>
  </si>
  <si>
    <t>달성률</t>
    <phoneticPr fontId="2" type="noConversion"/>
  </si>
  <si>
    <t>판정</t>
  </si>
  <si>
    <t>판정</t>
    <phoneticPr fontId="2" type="noConversion"/>
  </si>
  <si>
    <t>미달성</t>
  </si>
  <si>
    <t>미달성</t>
    <phoneticPr fontId="2" type="noConversion"/>
  </si>
  <si>
    <t>달성</t>
  </si>
  <si>
    <t>달성</t>
    <phoneticPr fontId="2" type="noConversion"/>
  </si>
  <si>
    <t>푸른솔</t>
  </si>
  <si>
    <t>의과대학</t>
  </si>
  <si>
    <t>중앙도서관</t>
  </si>
  <si>
    <t>학생회관</t>
  </si>
  <si>
    <t>예술디자인</t>
  </si>
  <si>
    <t>멀티미디어</t>
  </si>
  <si>
    <t>제2기숙사</t>
  </si>
  <si>
    <t>선승관</t>
  </si>
  <si>
    <t>공과대학</t>
  </si>
  <si>
    <t>매장별 2023년 실매출</t>
    <phoneticPr fontId="2" type="noConversion"/>
  </si>
  <si>
    <t>매장별 목표매출</t>
    <phoneticPr fontId="2" type="noConversion"/>
  </si>
  <si>
    <t>매장별 실매출</t>
    <phoneticPr fontId="2" type="noConversion"/>
  </si>
  <si>
    <t>매장별 2024년 실매출</t>
    <phoneticPr fontId="2" type="noConversion"/>
  </si>
  <si>
    <t>전년도 실매출 대비 차액</t>
    <phoneticPr fontId="2" type="noConversion"/>
  </si>
  <si>
    <t>목표매출 대비 차액</t>
    <phoneticPr fontId="2" type="noConversion"/>
  </si>
  <si>
    <t>판정</t>
    <phoneticPr fontId="2" type="noConversion"/>
  </si>
  <si>
    <t>달성</t>
    <phoneticPr fontId="2" type="noConversion"/>
  </si>
  <si>
    <t>미달성</t>
    <phoneticPr fontId="2" type="noConversion"/>
  </si>
  <si>
    <t>2024년 카페쿠피 월별 매장별 물류 사용량</t>
    <phoneticPr fontId="8" type="noConversion"/>
  </si>
  <si>
    <t>매출액</t>
    <phoneticPr fontId="8" type="noConversion"/>
  </si>
  <si>
    <t>원가율</t>
    <phoneticPr fontId="8" type="noConversion"/>
  </si>
  <si>
    <t>2024년</t>
    <phoneticPr fontId="8" type="noConversion"/>
  </si>
  <si>
    <t>1월</t>
    <phoneticPr fontId="8" type="noConversion"/>
  </si>
  <si>
    <t>2월</t>
  </si>
  <si>
    <t>3월</t>
  </si>
  <si>
    <t>계</t>
    <phoneticPr fontId="8" type="noConversion"/>
  </si>
  <si>
    <t>매장 누적 평균</t>
    <phoneticPr fontId="8" type="noConversion"/>
  </si>
  <si>
    <t>푸른솔</t>
    <phoneticPr fontId="8" type="noConversion"/>
  </si>
  <si>
    <t>의과대학</t>
    <phoneticPr fontId="8" type="noConversion"/>
  </si>
  <si>
    <t>서울캠 계</t>
    <phoneticPr fontId="8" type="noConversion"/>
  </si>
  <si>
    <t>중앙도서관</t>
    <phoneticPr fontId="8" type="noConversion"/>
  </si>
  <si>
    <t>학생회관</t>
    <phoneticPr fontId="8" type="noConversion"/>
  </si>
  <si>
    <t>공학관</t>
    <phoneticPr fontId="8" type="noConversion"/>
  </si>
  <si>
    <t>예디대</t>
    <phoneticPr fontId="8" type="noConversion"/>
  </si>
  <si>
    <t>멀티미디어</t>
    <phoneticPr fontId="8" type="noConversion"/>
  </si>
  <si>
    <t>선승관</t>
    <phoneticPr fontId="8" type="noConversion"/>
  </si>
  <si>
    <t>제2기숙사</t>
    <phoneticPr fontId="8" type="noConversion"/>
  </si>
  <si>
    <t>국제캠 계</t>
    <phoneticPr fontId="8" type="noConversion"/>
  </si>
  <si>
    <t>매출 총계</t>
    <phoneticPr fontId="8" type="noConversion"/>
  </si>
  <si>
    <t>원가 월 평균</t>
    <phoneticPr fontId="8" type="noConversion"/>
  </si>
  <si>
    <t>총 물류 사용 비용</t>
    <phoneticPr fontId="8" type="noConversion"/>
  </si>
  <si>
    <t>1월</t>
  </si>
  <si>
    <t>서울캠 계</t>
  </si>
  <si>
    <t>공학관</t>
  </si>
  <si>
    <t>예디대</t>
  </si>
  <si>
    <t>국제캠 계</t>
  </si>
  <si>
    <t>물류 총계</t>
    <phoneticPr fontId="8" type="noConversion"/>
  </si>
  <si>
    <t>우유 비용</t>
    <phoneticPr fontId="8" type="noConversion"/>
  </si>
  <si>
    <t>우유 사용 개수</t>
    <phoneticPr fontId="8" type="noConversion"/>
  </si>
  <si>
    <t>우유 총계</t>
    <phoneticPr fontId="8" type="noConversion"/>
  </si>
  <si>
    <t>창고 비용</t>
    <phoneticPr fontId="8" type="noConversion"/>
  </si>
  <si>
    <t>창고 총계</t>
    <phoneticPr fontId="8" type="noConversion"/>
  </si>
  <si>
    <t>디저트 비용</t>
    <phoneticPr fontId="8" type="noConversion"/>
  </si>
  <si>
    <t>디저트 총계</t>
    <phoneticPr fontId="8" type="noConversion"/>
  </si>
  <si>
    <t>월별 판정</t>
    <phoneticPr fontId="2" type="noConversion"/>
  </si>
  <si>
    <t>4회 달성</t>
    <phoneticPr fontId="2" type="noConversion"/>
  </si>
  <si>
    <t>1회 달성</t>
    <phoneticPr fontId="2" type="noConversion"/>
  </si>
  <si>
    <t>8회 달성</t>
    <phoneticPr fontId="2" type="noConversion"/>
  </si>
  <si>
    <t>3회 달성</t>
    <phoneticPr fontId="2" type="noConversion"/>
  </si>
  <si>
    <t>5회 달성</t>
    <phoneticPr fontId="2" type="noConversion"/>
  </si>
  <si>
    <t>0회 달성</t>
    <phoneticPr fontId="2" type="noConversion"/>
  </si>
  <si>
    <t>2회 달성</t>
    <phoneticPr fontId="2" type="noConversion"/>
  </si>
  <si>
    <t xml:space="preserve">서울캠 </t>
    <phoneticPr fontId="2" type="noConversion"/>
  </si>
  <si>
    <t>국제캠</t>
    <phoneticPr fontId="2" type="noConversion"/>
  </si>
  <si>
    <t>11월 대비 12월 매출 7.4% 감소, 방학 시작으로 우유 사용량 감소 (전월 대비 -15ea)</t>
    <phoneticPr fontId="2" type="noConversion"/>
  </si>
  <si>
    <t>11월 대비 12월 매출 7.7% 감소, 아메리카노 행사, 방학 시작 시기로 우유 사용량 감소 (전월 대비 -270ea)</t>
    <phoneticPr fontId="2" type="noConversion"/>
  </si>
  <si>
    <t>목표매출 대비 차액</t>
    <phoneticPr fontId="2" type="noConversion"/>
  </si>
  <si>
    <t xml:space="preserve">전년도 대비 매출액 </t>
    <phoneticPr fontId="2" type="noConversion"/>
  </si>
  <si>
    <t>매장별 2023년 실매출</t>
  </si>
  <si>
    <t>달성률</t>
    <phoneticPr fontId="2" type="noConversion"/>
  </si>
  <si>
    <t>전년도 실매출 대비 차액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</si>
</sst>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theme="4" tint="-0.499984740745262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  <font>
      <sz val="16"/>
      <color rgb="FFC00000"/>
      <name val="맑은 고딕"/>
      <family val="3"/>
      <charset val="129"/>
      <scheme val="minor"/>
    </font>
    <font>
      <sz val="16"/>
      <color theme="3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11" xfId="1" applyNumberFormat="1" applyFont="1" applyBorder="1">
      <alignment vertical="center"/>
    </xf>
    <xf numFmtId="41" fontId="3" fillId="0" borderId="11" xfId="2" applyFont="1" applyBorder="1">
      <alignment vertical="center"/>
    </xf>
    <xf numFmtId="41" fontId="3" fillId="0" borderId="20" xfId="2" applyFont="1" applyBorder="1">
      <alignment vertical="center"/>
    </xf>
    <xf numFmtId="41" fontId="3" fillId="0" borderId="33" xfId="0" applyNumberFormat="1" applyFont="1" applyBorder="1">
      <alignment vertical="center"/>
    </xf>
    <xf numFmtId="41" fontId="3" fillId="0" borderId="34" xfId="0" applyNumberFormat="1" applyFont="1" applyBorder="1">
      <alignment vertical="center"/>
    </xf>
    <xf numFmtId="41" fontId="3" fillId="0" borderId="35" xfId="0" applyNumberFormat="1" applyFont="1" applyBorder="1">
      <alignment vertical="center"/>
    </xf>
    <xf numFmtId="42" fontId="0" fillId="0" borderId="0" xfId="3" applyFont="1">
      <alignment vertical="center"/>
    </xf>
    <xf numFmtId="41" fontId="0" fillId="0" borderId="0" xfId="3" applyNumberFormat="1" applyFont="1">
      <alignment vertical="center"/>
    </xf>
    <xf numFmtId="41" fontId="0" fillId="0" borderId="11" xfId="3" applyNumberFormat="1" applyFont="1" applyBorder="1">
      <alignment vertical="center"/>
    </xf>
    <xf numFmtId="0" fontId="0" fillId="0" borderId="11" xfId="0" applyBorder="1">
      <alignment vertic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176" fontId="0" fillId="0" borderId="20" xfId="1" applyNumberFormat="1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5" fillId="0" borderId="11" xfId="0" applyFont="1" applyBorder="1">
      <alignment vertical="center"/>
    </xf>
    <xf numFmtId="176" fontId="6" fillId="0" borderId="11" xfId="1" applyNumberFormat="1" applyFont="1" applyBorder="1">
      <alignment vertical="center"/>
    </xf>
    <xf numFmtId="41" fontId="0" fillId="5" borderId="11" xfId="3" applyNumberFormat="1" applyFont="1" applyFill="1" applyBorder="1">
      <alignment vertical="center"/>
    </xf>
    <xf numFmtId="0" fontId="6" fillId="0" borderId="11" xfId="0" applyFont="1" applyBorder="1">
      <alignment vertical="center"/>
    </xf>
    <xf numFmtId="0" fontId="7" fillId="0" borderId="11" xfId="0" applyFont="1" applyBorder="1">
      <alignment vertical="center"/>
    </xf>
    <xf numFmtId="0" fontId="0" fillId="5" borderId="20" xfId="0" applyFill="1" applyBorder="1" applyAlignment="1">
      <alignment horizontal="center" vertical="center"/>
    </xf>
    <xf numFmtId="41" fontId="9" fillId="0" borderId="0" xfId="2" applyFont="1">
      <alignment vertical="center"/>
    </xf>
    <xf numFmtId="41" fontId="10" fillId="0" borderId="0" xfId="2" applyFont="1" applyAlignment="1">
      <alignment horizontal="center" vertical="center"/>
    </xf>
    <xf numFmtId="41" fontId="10" fillId="0" borderId="0" xfId="2" applyFont="1">
      <alignment vertical="center"/>
    </xf>
    <xf numFmtId="41" fontId="9" fillId="0" borderId="0" xfId="2" applyFont="1" applyAlignment="1">
      <alignment horizontal="center" vertical="center"/>
    </xf>
    <xf numFmtId="41" fontId="10" fillId="0" borderId="12" xfId="2" applyFont="1" applyBorder="1" applyAlignment="1">
      <alignment horizontal="center" vertical="center"/>
    </xf>
    <xf numFmtId="41" fontId="9" fillId="0" borderId="1" xfId="2" applyFont="1" applyBorder="1" applyAlignment="1">
      <alignment horizontal="center" vertical="center"/>
    </xf>
    <xf numFmtId="41" fontId="10" fillId="0" borderId="12" xfId="2" applyFont="1" applyBorder="1">
      <alignment vertical="center"/>
    </xf>
    <xf numFmtId="9" fontId="10" fillId="0" borderId="2" xfId="2" applyNumberFormat="1" applyFont="1" applyBorder="1">
      <alignment vertical="center"/>
    </xf>
    <xf numFmtId="41" fontId="10" fillId="5" borderId="12" xfId="2" applyFont="1" applyFill="1" applyBorder="1">
      <alignment vertical="center"/>
    </xf>
    <xf numFmtId="9" fontId="10" fillId="7" borderId="2" xfId="2" applyNumberFormat="1" applyFont="1" applyFill="1" applyBorder="1">
      <alignment vertical="center"/>
    </xf>
    <xf numFmtId="41" fontId="10" fillId="2" borderId="12" xfId="2" applyFont="1" applyFill="1" applyBorder="1">
      <alignment vertical="center"/>
    </xf>
    <xf numFmtId="9" fontId="10" fillId="7" borderId="3" xfId="2" applyNumberFormat="1" applyFont="1" applyFill="1" applyBorder="1">
      <alignment vertical="center"/>
    </xf>
    <xf numFmtId="41" fontId="9" fillId="0" borderId="0" xfId="2" applyFont="1" applyAlignment="1">
      <alignment vertical="center"/>
    </xf>
    <xf numFmtId="41" fontId="11" fillId="0" borderId="0" xfId="2" applyFont="1" applyAlignment="1">
      <alignment horizontal="center" vertical="center"/>
    </xf>
    <xf numFmtId="41" fontId="3" fillId="0" borderId="0" xfId="2" applyFont="1">
      <alignment vertical="center"/>
    </xf>
    <xf numFmtId="41" fontId="11" fillId="6" borderId="0" xfId="2" applyFont="1" applyFill="1" applyAlignment="1">
      <alignment horizontal="center" vertical="center"/>
    </xf>
    <xf numFmtId="9" fontId="3" fillId="0" borderId="0" xfId="1" applyFont="1">
      <alignment vertical="center"/>
    </xf>
    <xf numFmtId="41" fontId="11" fillId="0" borderId="0" xfId="2" applyFont="1">
      <alignment vertical="center"/>
    </xf>
    <xf numFmtId="41" fontId="11" fillId="0" borderId="11" xfId="2" applyFont="1" applyBorder="1" applyAlignment="1">
      <alignment horizontal="center" vertical="center"/>
    </xf>
    <xf numFmtId="41" fontId="11" fillId="0" borderId="20" xfId="2" applyFont="1" applyBorder="1" applyAlignment="1">
      <alignment horizontal="center" vertical="center"/>
    </xf>
    <xf numFmtId="41" fontId="11" fillId="0" borderId="12" xfId="2" applyFont="1" applyBorder="1" applyAlignment="1">
      <alignment horizontal="center" vertical="center"/>
    </xf>
    <xf numFmtId="41" fontId="12" fillId="0" borderId="11" xfId="2" applyFont="1" applyBorder="1" applyAlignment="1">
      <alignment horizontal="right" vertical="center"/>
    </xf>
    <xf numFmtId="41" fontId="11" fillId="0" borderId="12" xfId="2" applyFont="1" applyBorder="1">
      <alignment vertical="center"/>
    </xf>
    <xf numFmtId="9" fontId="12" fillId="0" borderId="11" xfId="1" applyFont="1" applyBorder="1" applyAlignment="1">
      <alignment horizontal="right" vertical="center"/>
    </xf>
    <xf numFmtId="41" fontId="11" fillId="5" borderId="11" xfId="2" applyFont="1" applyFill="1" applyBorder="1" applyAlignment="1">
      <alignment horizontal="center" vertical="center"/>
    </xf>
    <xf numFmtId="41" fontId="12" fillId="5" borderId="11" xfId="2" applyFont="1" applyFill="1" applyBorder="1" applyAlignment="1">
      <alignment horizontal="right" vertical="center"/>
    </xf>
    <xf numFmtId="41" fontId="12" fillId="5" borderId="20" xfId="2" applyFont="1" applyFill="1" applyBorder="1" applyAlignment="1">
      <alignment horizontal="right" vertical="center"/>
    </xf>
    <xf numFmtId="41" fontId="11" fillId="5" borderId="12" xfId="2" applyFont="1" applyFill="1" applyBorder="1">
      <alignment vertical="center"/>
    </xf>
    <xf numFmtId="9" fontId="12" fillId="5" borderId="11" xfId="1" applyFont="1" applyFill="1" applyBorder="1" applyAlignment="1">
      <alignment horizontal="right" vertical="center"/>
    </xf>
    <xf numFmtId="41" fontId="13" fillId="0" borderId="11" xfId="2" applyFont="1" applyBorder="1" applyAlignment="1">
      <alignment horizontal="center" vertical="center"/>
    </xf>
    <xf numFmtId="9" fontId="3" fillId="0" borderId="11" xfId="1" applyFont="1" applyBorder="1">
      <alignment vertical="center"/>
    </xf>
    <xf numFmtId="41" fontId="3" fillId="5" borderId="11" xfId="2" applyFont="1" applyFill="1" applyBorder="1">
      <alignment vertical="center"/>
    </xf>
    <xf numFmtId="41" fontId="3" fillId="5" borderId="20" xfId="2" applyFont="1" applyFill="1" applyBorder="1">
      <alignment vertical="center"/>
    </xf>
    <xf numFmtId="41" fontId="11" fillId="2" borderId="11" xfId="2" applyFont="1" applyFill="1" applyBorder="1" applyAlignment="1">
      <alignment horizontal="center" vertical="center"/>
    </xf>
    <xf numFmtId="41" fontId="3" fillId="2" borderId="11" xfId="2" applyFont="1" applyFill="1" applyBorder="1">
      <alignment vertical="center"/>
    </xf>
    <xf numFmtId="41" fontId="3" fillId="2" borderId="20" xfId="2" applyFont="1" applyFill="1" applyBorder="1">
      <alignment vertical="center"/>
    </xf>
    <xf numFmtId="41" fontId="11" fillId="2" borderId="12" xfId="2" applyFont="1" applyFill="1" applyBorder="1">
      <alignment vertical="center"/>
    </xf>
    <xf numFmtId="9" fontId="3" fillId="2" borderId="11" xfId="2" applyNumberFormat="1" applyFont="1" applyFill="1" applyBorder="1">
      <alignment vertical="center"/>
    </xf>
    <xf numFmtId="41" fontId="11" fillId="0" borderId="0" xfId="2" applyFont="1" applyAlignment="1">
      <alignment horizontal="left" vertical="center"/>
    </xf>
    <xf numFmtId="41" fontId="3" fillId="0" borderId="11" xfId="3" applyNumberFormat="1" applyFont="1" applyBorder="1">
      <alignment vertical="center"/>
    </xf>
    <xf numFmtId="9" fontId="11" fillId="0" borderId="0" xfId="1" applyFont="1" applyAlignment="1">
      <alignment horizontal="left" vertical="center"/>
    </xf>
    <xf numFmtId="41" fontId="3" fillId="0" borderId="0" xfId="2" applyFont="1" applyAlignment="1">
      <alignment vertical="center"/>
    </xf>
    <xf numFmtId="41" fontId="11" fillId="6" borderId="40" xfId="2" applyFont="1" applyFill="1" applyBorder="1" applyAlignment="1">
      <alignment horizontal="left" vertical="center"/>
    </xf>
    <xf numFmtId="41" fontId="12" fillId="0" borderId="20" xfId="2" applyFont="1" applyBorder="1" applyAlignment="1">
      <alignment horizontal="right" vertical="center"/>
    </xf>
    <xf numFmtId="41" fontId="11" fillId="6" borderId="0" xfId="2" applyFont="1" applyFill="1" applyAlignment="1">
      <alignment horizontal="left" vertical="center"/>
    </xf>
    <xf numFmtId="41" fontId="11" fillId="8" borderId="11" xfId="2" applyFont="1" applyFill="1" applyBorder="1" applyAlignment="1">
      <alignment horizontal="center" vertical="center"/>
    </xf>
    <xf numFmtId="41" fontId="11" fillId="0" borderId="1" xfId="2" applyFont="1" applyBorder="1" applyAlignment="1">
      <alignment horizontal="center" vertical="center"/>
    </xf>
    <xf numFmtId="41" fontId="11" fillId="0" borderId="2" xfId="2" applyFont="1" applyBorder="1" applyAlignment="1">
      <alignment horizontal="center" vertical="center"/>
    </xf>
    <xf numFmtId="41" fontId="11" fillId="5" borderId="2" xfId="2" applyFont="1" applyFill="1" applyBorder="1" applyAlignment="1">
      <alignment horizontal="center" vertical="center"/>
    </xf>
    <xf numFmtId="41" fontId="13" fillId="0" borderId="2" xfId="2" applyFont="1" applyBorder="1" applyAlignment="1">
      <alignment horizontal="center" vertical="center"/>
    </xf>
    <xf numFmtId="41" fontId="11" fillId="2" borderId="3" xfId="2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41" fontId="15" fillId="0" borderId="0" xfId="0" applyNumberFormat="1" applyFont="1">
      <alignment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41" fontId="11" fillId="0" borderId="0" xfId="2" applyFont="1" applyAlignment="1">
      <alignment horizontal="center" vertical="center"/>
    </xf>
    <xf numFmtId="0" fontId="15" fillId="0" borderId="0" xfId="0" applyFont="1" applyBorder="1">
      <alignment vertical="center"/>
    </xf>
    <xf numFmtId="176" fontId="15" fillId="0" borderId="0" xfId="0" applyNumberFormat="1" applyFont="1" applyBorder="1">
      <alignment vertical="center"/>
    </xf>
    <xf numFmtId="176" fontId="15" fillId="0" borderId="0" xfId="1" applyNumberFormat="1" applyFont="1" applyBorder="1">
      <alignment vertical="center"/>
    </xf>
    <xf numFmtId="0" fontId="15" fillId="0" borderId="0" xfId="0" applyFont="1" applyBorder="1" applyAlignment="1">
      <alignment vertical="center"/>
    </xf>
    <xf numFmtId="0" fontId="14" fillId="0" borderId="0" xfId="0" applyFont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41" fontId="14" fillId="0" borderId="46" xfId="0" applyNumberFormat="1" applyFont="1" applyBorder="1">
      <alignment vertical="center"/>
    </xf>
    <xf numFmtId="41" fontId="14" fillId="0" borderId="44" xfId="0" applyNumberFormat="1" applyFont="1" applyBorder="1">
      <alignment vertical="center"/>
    </xf>
    <xf numFmtId="41" fontId="14" fillId="0" borderId="45" xfId="0" applyNumberFormat="1" applyFont="1" applyBorder="1" applyAlignment="1">
      <alignment vertical="center"/>
    </xf>
    <xf numFmtId="41" fontId="14" fillId="3" borderId="8" xfId="3" applyNumberFormat="1" applyFont="1" applyFill="1" applyBorder="1">
      <alignment vertical="center"/>
    </xf>
    <xf numFmtId="41" fontId="14" fillId="3" borderId="37" xfId="1" applyNumberFormat="1" applyFont="1" applyFill="1" applyBorder="1">
      <alignment vertical="center"/>
    </xf>
    <xf numFmtId="176" fontId="14" fillId="5" borderId="9" xfId="0" applyNumberFormat="1" applyFont="1" applyFill="1" applyBorder="1">
      <alignment vertical="center"/>
    </xf>
    <xf numFmtId="176" fontId="14" fillId="5" borderId="4" xfId="0" applyNumberFormat="1" applyFont="1" applyFill="1" applyBorder="1">
      <alignment vertical="center"/>
    </xf>
    <xf numFmtId="176" fontId="14" fillId="5" borderId="16" xfId="0" applyNumberFormat="1" applyFont="1" applyFill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1" fontId="16" fillId="0" borderId="33" xfId="0" applyNumberFormat="1" applyFont="1" applyBorder="1">
      <alignment vertical="center"/>
    </xf>
    <xf numFmtId="41" fontId="16" fillId="0" borderId="34" xfId="0" applyNumberFormat="1" applyFont="1" applyBorder="1">
      <alignment vertical="center"/>
    </xf>
    <xf numFmtId="41" fontId="16" fillId="0" borderId="35" xfId="0" applyNumberFormat="1" applyFont="1" applyBorder="1">
      <alignment vertical="center"/>
    </xf>
    <xf numFmtId="41" fontId="16" fillId="0" borderId="1" xfId="0" applyNumberFormat="1" applyFont="1" applyBorder="1">
      <alignment vertical="center"/>
    </xf>
    <xf numFmtId="0" fontId="16" fillId="0" borderId="2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1" fontId="16" fillId="0" borderId="24" xfId="0" applyNumberFormat="1" applyFont="1" applyBorder="1">
      <alignment vertical="center"/>
    </xf>
    <xf numFmtId="41" fontId="16" fillId="0" borderId="11" xfId="0" applyNumberFormat="1" applyFont="1" applyBorder="1">
      <alignment vertical="center"/>
    </xf>
    <xf numFmtId="41" fontId="16" fillId="0" borderId="20" xfId="0" applyNumberFormat="1" applyFont="1" applyBorder="1">
      <alignment vertical="center"/>
    </xf>
    <xf numFmtId="41" fontId="16" fillId="0" borderId="2" xfId="0" applyNumberFormat="1" applyFont="1" applyBorder="1">
      <alignment vertical="center"/>
    </xf>
    <xf numFmtId="176" fontId="16" fillId="0" borderId="0" xfId="1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9" fontId="17" fillId="5" borderId="17" xfId="1" applyFont="1" applyFill="1" applyBorder="1">
      <alignment vertical="center"/>
    </xf>
    <xf numFmtId="9" fontId="17" fillId="5" borderId="36" xfId="1" applyFont="1" applyFill="1" applyBorder="1">
      <alignment vertical="center"/>
    </xf>
    <xf numFmtId="9" fontId="18" fillId="5" borderId="36" xfId="1" applyFont="1" applyFill="1" applyBorder="1">
      <alignment vertical="center"/>
    </xf>
    <xf numFmtId="9" fontId="17" fillId="5" borderId="38" xfId="1" applyFont="1" applyFill="1" applyBorder="1">
      <alignment vertical="center"/>
    </xf>
    <xf numFmtId="9" fontId="17" fillId="5" borderId="3" xfId="1" applyFont="1" applyFill="1" applyBorder="1">
      <alignment vertical="center"/>
    </xf>
    <xf numFmtId="41" fontId="16" fillId="0" borderId="24" xfId="2" applyFont="1" applyBorder="1">
      <alignment vertical="center"/>
    </xf>
    <xf numFmtId="41" fontId="16" fillId="0" borderId="11" xfId="2" applyFont="1" applyBorder="1">
      <alignment vertical="center"/>
    </xf>
    <xf numFmtId="41" fontId="16" fillId="0" borderId="20" xfId="2" applyFont="1" applyBorder="1">
      <alignment vertical="center"/>
    </xf>
    <xf numFmtId="176" fontId="16" fillId="5" borderId="3" xfId="0" applyNumberFormat="1" applyFont="1" applyFill="1" applyBorder="1" applyAlignment="1">
      <alignment horizontal="center" vertical="center"/>
    </xf>
    <xf numFmtId="176" fontId="18" fillId="5" borderId="17" xfId="1" applyNumberFormat="1" applyFont="1" applyFill="1" applyBorder="1">
      <alignment vertical="center"/>
    </xf>
    <xf numFmtId="176" fontId="18" fillId="5" borderId="36" xfId="1" applyNumberFormat="1" applyFont="1" applyFill="1" applyBorder="1">
      <alignment vertical="center"/>
    </xf>
    <xf numFmtId="176" fontId="19" fillId="5" borderId="36" xfId="1" applyNumberFormat="1" applyFont="1" applyFill="1" applyBorder="1">
      <alignment vertical="center"/>
    </xf>
    <xf numFmtId="176" fontId="18" fillId="5" borderId="38" xfId="1" applyNumberFormat="1" applyFont="1" applyFill="1" applyBorder="1">
      <alignment vertical="center"/>
    </xf>
    <xf numFmtId="176" fontId="18" fillId="5" borderId="3" xfId="1" applyNumberFormat="1" applyFont="1" applyFill="1" applyBorder="1">
      <alignment vertical="center"/>
    </xf>
    <xf numFmtId="41" fontId="16" fillId="0" borderId="33" xfId="2" applyFont="1" applyBorder="1">
      <alignment vertical="center"/>
    </xf>
    <xf numFmtId="41" fontId="16" fillId="0" borderId="34" xfId="2" applyFont="1" applyBorder="1">
      <alignment vertical="center"/>
    </xf>
    <xf numFmtId="41" fontId="16" fillId="0" borderId="35" xfId="2" applyFont="1" applyBorder="1">
      <alignment vertical="center"/>
    </xf>
    <xf numFmtId="176" fontId="16" fillId="5" borderId="3" xfId="1" applyNumberFormat="1" applyFont="1" applyFill="1" applyBorder="1" applyAlignment="1">
      <alignment horizontal="center" vertical="center"/>
    </xf>
    <xf numFmtId="176" fontId="17" fillId="5" borderId="17" xfId="1" applyNumberFormat="1" applyFont="1" applyFill="1" applyBorder="1">
      <alignment vertical="center"/>
    </xf>
    <xf numFmtId="176" fontId="17" fillId="5" borderId="36" xfId="1" applyNumberFormat="1" applyFont="1" applyFill="1" applyBorder="1">
      <alignment vertical="center"/>
    </xf>
    <xf numFmtId="176" fontId="16" fillId="5" borderId="36" xfId="1" applyNumberFormat="1" applyFont="1" applyFill="1" applyBorder="1">
      <alignment vertical="center"/>
    </xf>
    <xf numFmtId="176" fontId="17" fillId="5" borderId="38" xfId="1" applyNumberFormat="1" applyFont="1" applyFill="1" applyBorder="1">
      <alignment vertical="center"/>
    </xf>
    <xf numFmtId="176" fontId="20" fillId="5" borderId="38" xfId="1" applyNumberFormat="1" applyFont="1" applyFill="1" applyBorder="1">
      <alignment vertical="center"/>
    </xf>
    <xf numFmtId="0" fontId="16" fillId="0" borderId="26" xfId="0" applyFont="1" applyBorder="1" applyAlignment="1">
      <alignment horizontal="center" vertical="center"/>
    </xf>
    <xf numFmtId="41" fontId="16" fillId="0" borderId="23" xfId="0" applyNumberFormat="1" applyFont="1" applyBorder="1">
      <alignment vertical="center"/>
    </xf>
    <xf numFmtId="41" fontId="16" fillId="0" borderId="19" xfId="0" applyNumberFormat="1" applyFont="1" applyBorder="1">
      <alignment vertical="center"/>
    </xf>
    <xf numFmtId="41" fontId="16" fillId="0" borderId="21" xfId="0" applyNumberFormat="1" applyFont="1" applyBorder="1">
      <alignment vertical="center"/>
    </xf>
    <xf numFmtId="41" fontId="16" fillId="0" borderId="26" xfId="0" applyNumberFormat="1" applyFont="1" applyBorder="1">
      <alignment vertical="center"/>
    </xf>
    <xf numFmtId="0" fontId="16" fillId="0" borderId="31" xfId="0" applyFont="1" applyBorder="1" applyAlignment="1">
      <alignment horizontal="center" vertical="center"/>
    </xf>
    <xf numFmtId="176" fontId="16" fillId="5" borderId="18" xfId="1" applyNumberFormat="1" applyFont="1" applyFill="1" applyBorder="1" applyAlignment="1">
      <alignment horizontal="center" vertical="center"/>
    </xf>
    <xf numFmtId="176" fontId="18" fillId="5" borderId="22" xfId="1" applyNumberFormat="1" applyFont="1" applyFill="1" applyBorder="1">
      <alignment vertical="center"/>
    </xf>
    <xf numFmtId="176" fontId="19" fillId="5" borderId="32" xfId="1" applyNumberFormat="1" applyFont="1" applyFill="1" applyBorder="1">
      <alignment vertical="center"/>
    </xf>
    <xf numFmtId="176" fontId="18" fillId="5" borderId="32" xfId="1" applyNumberFormat="1" applyFont="1" applyFill="1" applyBorder="1">
      <alignment vertical="center"/>
    </xf>
    <xf numFmtId="176" fontId="17" fillId="5" borderId="32" xfId="1" applyNumberFormat="1" applyFont="1" applyFill="1" applyBorder="1">
      <alignment vertical="center"/>
    </xf>
    <xf numFmtId="176" fontId="18" fillId="5" borderId="27" xfId="1" applyNumberFormat="1" applyFont="1" applyFill="1" applyBorder="1">
      <alignment vertical="center"/>
    </xf>
    <xf numFmtId="176" fontId="18" fillId="5" borderId="18" xfId="1" applyNumberFormat="1" applyFont="1" applyFill="1" applyBorder="1">
      <alignment vertical="center"/>
    </xf>
    <xf numFmtId="41" fontId="16" fillId="0" borderId="3" xfId="0" applyNumberFormat="1" applyFont="1" applyBorder="1">
      <alignment vertical="center"/>
    </xf>
    <xf numFmtId="176" fontId="16" fillId="5" borderId="38" xfId="1" applyNumberFormat="1" applyFont="1" applyFill="1" applyBorder="1">
      <alignment vertical="center"/>
    </xf>
    <xf numFmtId="176" fontId="16" fillId="5" borderId="25" xfId="1" applyNumberFormat="1" applyFont="1" applyFill="1" applyBorder="1">
      <alignment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41" fontId="16" fillId="2" borderId="10" xfId="0" applyNumberFormat="1" applyFont="1" applyFill="1" applyBorder="1">
      <alignment vertical="center"/>
    </xf>
    <xf numFmtId="41" fontId="16" fillId="2" borderId="8" xfId="0" applyNumberFormat="1" applyFont="1" applyFill="1" applyBorder="1">
      <alignment vertical="center"/>
    </xf>
    <xf numFmtId="41" fontId="16" fillId="2" borderId="14" xfId="0" applyNumberFormat="1" applyFont="1" applyFill="1" applyBorder="1">
      <alignment vertical="center"/>
    </xf>
    <xf numFmtId="41" fontId="16" fillId="2" borderId="47" xfId="0" applyNumberFormat="1" applyFont="1" applyFill="1" applyBorder="1">
      <alignment vertical="center"/>
    </xf>
    <xf numFmtId="176" fontId="16" fillId="0" borderId="0" xfId="1" applyNumberFormat="1" applyFont="1" applyBorder="1">
      <alignment vertical="center"/>
    </xf>
    <xf numFmtId="0" fontId="16" fillId="0" borderId="4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1" fontId="16" fillId="0" borderId="0" xfId="0" applyNumberFormat="1" applyFont="1">
      <alignment vertical="center"/>
    </xf>
    <xf numFmtId="176" fontId="16" fillId="2" borderId="28" xfId="1" applyNumberFormat="1" applyFont="1" applyFill="1" applyBorder="1" applyAlignment="1">
      <alignment horizontal="center" vertical="center"/>
    </xf>
    <xf numFmtId="41" fontId="16" fillId="2" borderId="1" xfId="0" applyNumberFormat="1" applyFont="1" applyFill="1" applyBorder="1">
      <alignment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176" fontId="16" fillId="5" borderId="46" xfId="1" applyNumberFormat="1" applyFont="1" applyFill="1" applyBorder="1">
      <alignment vertical="center"/>
    </xf>
    <xf numFmtId="176" fontId="16" fillId="5" borderId="44" xfId="1" applyNumberFormat="1" applyFont="1" applyFill="1" applyBorder="1">
      <alignment vertical="center"/>
    </xf>
    <xf numFmtId="176" fontId="16" fillId="5" borderId="45" xfId="1" applyNumberFormat="1" applyFont="1" applyFill="1" applyBorder="1">
      <alignment vertical="center"/>
    </xf>
    <xf numFmtId="0" fontId="16" fillId="2" borderId="31" xfId="0" applyFont="1" applyFill="1" applyBorder="1" applyAlignment="1">
      <alignment horizontal="center" vertical="center"/>
    </xf>
    <xf numFmtId="41" fontId="16" fillId="2" borderId="18" xfId="0" applyNumberFormat="1" applyFont="1" applyFill="1" applyBorder="1">
      <alignment vertical="center"/>
    </xf>
    <xf numFmtId="41" fontId="16" fillId="3" borderId="46" xfId="3" applyNumberFormat="1" applyFont="1" applyFill="1" applyBorder="1">
      <alignment vertical="center"/>
    </xf>
    <xf numFmtId="41" fontId="16" fillId="3" borderId="44" xfId="3" applyNumberFormat="1" applyFont="1" applyFill="1" applyBorder="1">
      <alignment vertical="center"/>
    </xf>
    <xf numFmtId="41" fontId="16" fillId="3" borderId="45" xfId="3" applyNumberFormat="1" applyFont="1" applyFill="1" applyBorder="1">
      <alignment vertical="center"/>
    </xf>
    <xf numFmtId="0" fontId="16" fillId="4" borderId="50" xfId="0" applyFont="1" applyFill="1" applyBorder="1" applyAlignment="1">
      <alignment horizontal="center" vertical="center"/>
    </xf>
    <xf numFmtId="9" fontId="16" fillId="4" borderId="50" xfId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76" fontId="18" fillId="0" borderId="7" xfId="1" applyNumberFormat="1" applyFont="1" applyBorder="1" applyAlignment="1">
      <alignment horizontal="center" vertical="center"/>
    </xf>
    <xf numFmtId="176" fontId="18" fillId="0" borderId="4" xfId="1" applyNumberFormat="1" applyFont="1" applyBorder="1" applyAlignment="1">
      <alignment horizontal="center" vertical="center"/>
    </xf>
    <xf numFmtId="176" fontId="16" fillId="0" borderId="4" xfId="1" applyNumberFormat="1" applyFont="1" applyBorder="1" applyAlignment="1">
      <alignment horizontal="center" vertical="center"/>
    </xf>
    <xf numFmtId="176" fontId="18" fillId="0" borderId="16" xfId="1" applyNumberFormat="1" applyFont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9" fontId="16" fillId="4" borderId="25" xfId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76" fontId="16" fillId="0" borderId="10" xfId="1" applyNumberFormat="1" applyFont="1" applyBorder="1" applyAlignment="1">
      <alignment horizontal="center" vertical="center"/>
    </xf>
    <xf numFmtId="176" fontId="16" fillId="0" borderId="8" xfId="1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</cellXfs>
  <cellStyles count="4">
    <cellStyle name="백분율" xfId="1" builtinId="5"/>
    <cellStyle name="쉼표 [0]" xfId="2" builtinId="6"/>
    <cellStyle name="통화 [0]" xfId="3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23</a:t>
            </a:r>
            <a:r>
              <a:rPr lang="ko-KR" altLang="en-US"/>
              <a:t>년 실매출 대비 </a:t>
            </a:r>
            <a:r>
              <a:rPr lang="en-US" altLang="ko-KR"/>
              <a:t>24</a:t>
            </a:r>
            <a:r>
              <a:rPr lang="ko-KR" altLang="en-US"/>
              <a:t>년 실매출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'매장별 목표 및 23년 대비 차액'!$A$8</c:f>
              <c:strCache>
                <c:ptCount val="1"/>
                <c:pt idx="0">
                  <c:v>매장별 2024년 실매출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'매장별 목표 및 23년 대비 차액'!$B$1:$J$1</c:f>
              <c:strCache>
                <c:ptCount val="9"/>
                <c:pt idx="0">
                  <c:v>푸른솔</c:v>
                </c:pt>
                <c:pt idx="1">
                  <c:v>의과대학</c:v>
                </c:pt>
                <c:pt idx="2">
                  <c:v>중앙도서관</c:v>
                </c:pt>
                <c:pt idx="3">
                  <c:v>학생회관</c:v>
                </c:pt>
                <c:pt idx="4">
                  <c:v>예술디자인</c:v>
                </c:pt>
                <c:pt idx="5">
                  <c:v>멀티미디어</c:v>
                </c:pt>
                <c:pt idx="6">
                  <c:v>제2기숙사</c:v>
                </c:pt>
                <c:pt idx="7">
                  <c:v>선승관</c:v>
                </c:pt>
                <c:pt idx="8">
                  <c:v>공과대학</c:v>
                </c:pt>
              </c:strCache>
            </c:strRef>
          </c:cat>
          <c:val>
            <c:numRef>
              <c:f>'매장별 목표 및 23년 대비 차액'!$B$8:$J$8</c:f>
              <c:numCache>
                <c:formatCode>_(* #,##0_);_(* \(#,##0\);_(* "-"_);_(@_)</c:formatCode>
                <c:ptCount val="9"/>
                <c:pt idx="0">
                  <c:v>72496834</c:v>
                </c:pt>
                <c:pt idx="1">
                  <c:v>15813677</c:v>
                </c:pt>
                <c:pt idx="2">
                  <c:v>84746027</c:v>
                </c:pt>
                <c:pt idx="3">
                  <c:v>77521612</c:v>
                </c:pt>
                <c:pt idx="4">
                  <c:v>157147450</c:v>
                </c:pt>
                <c:pt idx="5">
                  <c:v>97621190</c:v>
                </c:pt>
                <c:pt idx="6">
                  <c:v>5272887</c:v>
                </c:pt>
                <c:pt idx="7">
                  <c:v>47001443</c:v>
                </c:pt>
                <c:pt idx="8">
                  <c:v>63962752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0-4EF1-AEA3-90D1499D8C95}"/>
            </c:ext>
          </c:extLst>
        </c:ser>
        <c:ser>
          <c:idx val="1"/>
          <c:order val="1"/>
          <c:tx>
            <c:strRef>
              <c:f>'매장별 목표 및 23년 대비 차액'!$A$9</c:f>
              <c:strCache>
                <c:ptCount val="1"/>
                <c:pt idx="0">
                  <c:v>매장별 2023년 실매출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'매장별 목표 및 23년 대비 차액'!$B$1:$J$1</c:f>
              <c:strCache>
                <c:ptCount val="9"/>
                <c:pt idx="0">
                  <c:v>푸른솔</c:v>
                </c:pt>
                <c:pt idx="1">
                  <c:v>의과대학</c:v>
                </c:pt>
                <c:pt idx="2">
                  <c:v>중앙도서관</c:v>
                </c:pt>
                <c:pt idx="3">
                  <c:v>학생회관</c:v>
                </c:pt>
                <c:pt idx="4">
                  <c:v>예술디자인</c:v>
                </c:pt>
                <c:pt idx="5">
                  <c:v>멀티미디어</c:v>
                </c:pt>
                <c:pt idx="6">
                  <c:v>제2기숙사</c:v>
                </c:pt>
                <c:pt idx="7">
                  <c:v>선승관</c:v>
                </c:pt>
                <c:pt idx="8">
                  <c:v>공과대학</c:v>
                </c:pt>
              </c:strCache>
            </c:strRef>
          </c:cat>
          <c:val>
            <c:numRef>
              <c:f>'매장별 목표 및 23년 대비 차액'!$B$9:$J$9</c:f>
              <c:numCache>
                <c:formatCode>_(* #,##0_);_(* \(#,##0\);_(* "-"_);_(@_)</c:formatCode>
                <c:ptCount val="9"/>
                <c:pt idx="0">
                  <c:v>76303589</c:v>
                </c:pt>
                <c:pt idx="1">
                  <c:v>26625551</c:v>
                </c:pt>
                <c:pt idx="2">
                  <c:v>75741265</c:v>
                </c:pt>
                <c:pt idx="3">
                  <c:v>75062883</c:v>
                </c:pt>
                <c:pt idx="4">
                  <c:v>163836592</c:v>
                </c:pt>
                <c:pt idx="5">
                  <c:v>111022455</c:v>
                </c:pt>
                <c:pt idx="6">
                  <c:v>11461994</c:v>
                </c:pt>
                <c:pt idx="7">
                  <c:v>54141552</c:v>
                </c:pt>
                <c:pt idx="8">
                  <c:v>72172636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0-4EF1-AEA3-90D1499D8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410480"/>
        <c:axId val="565412640"/>
      </c:barChart>
      <c:catAx>
        <c:axId val="5654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412640"/>
        <c:crosses val="autoZero"/>
        <c:auto val="1"/>
        <c:lblAlgn val="ctr"/>
        <c:lblOffset val="100"/>
        <c:noMultiLvlLbl val="0"/>
      </c:catAx>
      <c:valAx>
        <c:axId val="5654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41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217714</xdr:rowOff>
    </xdr:from>
    <xdr:to>
      <xdr:col>12</xdr:col>
      <xdr:colOff>921309</xdr:colOff>
      <xdr:row>67</xdr:row>
      <xdr:rowOff>54429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704FB0-9E2F-0785-99FC-27631AEC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3214"/>
          <a:ext cx="18460916" cy="492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12</xdr:row>
      <xdr:rowOff>180974</xdr:rowOff>
    </xdr:from>
    <xdr:to>
      <xdr:col>6</xdr:col>
      <xdr:colOff>1066800</xdr:colOff>
      <xdr:row>30</xdr:row>
      <xdr:rowOff>95249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A9501C1-BFCA-CF8B-FC0C-8CBFC70D0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C8B0-7E18-43E3-B934-B26FFF19072D}">
  <sheetPr>
    <pageSetUpPr fitToPage="1"/>
  </sheetPr>
  <dimension ref="A1:T165"/>
  <sheetViews>
    <sheetView tabSelected="1" zoomScale="70" zoomScaleNormal="70" workbookViewId="0">
      <pane ySplit="2" topLeftCell="A3" activePane="bottomLeft" state="frozen"/>
      <selection activeCell="A2" sqref="A2"/>
      <selection pane="bottomLeft" activeCell="L49" sqref="L49"/>
    </sheetView>
  </sheetViews>
  <sheetFormatPr defaultRowHeight="16.5" x14ac:dyDescent="0.3"/>
  <cols>
    <col min="1" max="1" width="8.75" customWidth="1"/>
    <col min="2" max="2" width="21.875" customWidth="1"/>
    <col min="3" max="11" width="19.625" customWidth="1"/>
    <col min="12" max="12" width="22.625" customWidth="1"/>
    <col min="13" max="14" width="17.625" customWidth="1"/>
    <col min="20" max="20" width="9" customWidth="1"/>
  </cols>
  <sheetData>
    <row r="1" spans="1:14" ht="27" thickBot="1" x14ac:dyDescent="0.3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  <c r="N1" s="100"/>
    </row>
    <row r="2" spans="1:14" ht="27" thickBot="1" x14ac:dyDescent="0.35">
      <c r="A2" s="101" t="s">
        <v>28</v>
      </c>
      <c r="B2" s="102"/>
      <c r="C2" s="103" t="s">
        <v>1</v>
      </c>
      <c r="D2" s="104" t="s">
        <v>2</v>
      </c>
      <c r="E2" s="105" t="s">
        <v>3</v>
      </c>
      <c r="F2" s="104" t="s">
        <v>4</v>
      </c>
      <c r="G2" s="104" t="s">
        <v>5</v>
      </c>
      <c r="H2" s="104" t="s">
        <v>6</v>
      </c>
      <c r="I2" s="104" t="s">
        <v>7</v>
      </c>
      <c r="J2" s="104" t="s">
        <v>8</v>
      </c>
      <c r="K2" s="106" t="s">
        <v>9</v>
      </c>
      <c r="L2" s="107" t="s">
        <v>10</v>
      </c>
      <c r="M2" s="108"/>
      <c r="N2" s="108"/>
    </row>
    <row r="3" spans="1:14" ht="26.25" x14ac:dyDescent="0.3">
      <c r="A3" s="109" t="s">
        <v>25</v>
      </c>
      <c r="B3" s="110" t="s">
        <v>29</v>
      </c>
      <c r="C3" s="111">
        <v>3624546</v>
      </c>
      <c r="D3" s="112">
        <v>1197909</v>
      </c>
      <c r="E3" s="112">
        <v>3360549</v>
      </c>
      <c r="F3" s="112">
        <v>2822363</v>
      </c>
      <c r="G3" s="112">
        <v>4932183</v>
      </c>
      <c r="H3" s="112">
        <v>1732454</v>
      </c>
      <c r="I3" s="112">
        <v>164999</v>
      </c>
      <c r="J3" s="112">
        <v>2597093</v>
      </c>
      <c r="K3" s="113">
        <v>2646093</v>
      </c>
      <c r="L3" s="114">
        <f>SUM(C3:K3)</f>
        <v>23078189</v>
      </c>
      <c r="M3" s="100"/>
      <c r="N3" s="100"/>
    </row>
    <row r="4" spans="1:14" ht="26.25" x14ac:dyDescent="0.3">
      <c r="A4" s="115"/>
      <c r="B4" s="116" t="s">
        <v>30</v>
      </c>
      <c r="C4" s="117">
        <v>2866865.6457827166</v>
      </c>
      <c r="D4" s="118">
        <v>1127424.5663422917</v>
      </c>
      <c r="E4" s="118">
        <v>2595717.4866740298</v>
      </c>
      <c r="F4" s="118">
        <v>3029516.3503431845</v>
      </c>
      <c r="G4" s="118">
        <v>3595237.807198693</v>
      </c>
      <c r="H4" s="118">
        <v>1714817.2860474156</v>
      </c>
      <c r="I4" s="118">
        <v>207370.38598240004</v>
      </c>
      <c r="J4" s="118">
        <v>1852749.7577493382</v>
      </c>
      <c r="K4" s="119">
        <v>2397969.5482130186</v>
      </c>
      <c r="L4" s="120">
        <v>19387668.834333088</v>
      </c>
      <c r="M4" s="121"/>
      <c r="N4" s="121"/>
    </row>
    <row r="5" spans="1:14" ht="27" thickBot="1" x14ac:dyDescent="0.35">
      <c r="A5" s="122"/>
      <c r="B5" s="123" t="s">
        <v>21</v>
      </c>
      <c r="C5" s="124">
        <f t="shared" ref="C5:L5" si="0">C3/C4</f>
        <v>1.2642887556770803</v>
      </c>
      <c r="D5" s="125">
        <f t="shared" si="0"/>
        <v>1.0625180927947857</v>
      </c>
      <c r="E5" s="125">
        <f t="shared" si="0"/>
        <v>1.2946512928515852</v>
      </c>
      <c r="F5" s="126">
        <f t="shared" si="0"/>
        <v>0.93162164306533013</v>
      </c>
      <c r="G5" s="125">
        <f t="shared" si="0"/>
        <v>1.3718655801083202</v>
      </c>
      <c r="H5" s="125">
        <f t="shared" si="0"/>
        <v>1.010284893962806</v>
      </c>
      <c r="I5" s="126">
        <f t="shared" si="0"/>
        <v>0.79567291741456181</v>
      </c>
      <c r="J5" s="125">
        <f t="shared" si="0"/>
        <v>1.4017505543516391</v>
      </c>
      <c r="K5" s="127">
        <f t="shared" si="0"/>
        <v>1.1034723113860576</v>
      </c>
      <c r="L5" s="128">
        <f t="shared" si="0"/>
        <v>1.1903539923856896</v>
      </c>
      <c r="M5" s="121"/>
      <c r="N5" s="121"/>
    </row>
    <row r="6" spans="1:14" ht="26.25" x14ac:dyDescent="0.3">
      <c r="A6" s="109" t="s">
        <v>26</v>
      </c>
      <c r="B6" s="110" t="s">
        <v>29</v>
      </c>
      <c r="C6" s="111">
        <v>4074318</v>
      </c>
      <c r="D6" s="112">
        <v>1103727</v>
      </c>
      <c r="E6" s="112">
        <v>3516907</v>
      </c>
      <c r="F6" s="112">
        <v>3608272</v>
      </c>
      <c r="G6" s="112">
        <v>6015365</v>
      </c>
      <c r="H6" s="112">
        <v>2347365</v>
      </c>
      <c r="I6" s="112">
        <v>194547</v>
      </c>
      <c r="J6" s="112">
        <v>2444455</v>
      </c>
      <c r="K6" s="113">
        <v>2592181</v>
      </c>
      <c r="L6" s="114">
        <f>SUM(C6:K6)</f>
        <v>25897137</v>
      </c>
      <c r="M6" s="121"/>
      <c r="N6" s="121"/>
    </row>
    <row r="7" spans="1:14" ht="26.25" x14ac:dyDescent="0.3">
      <c r="A7" s="115"/>
      <c r="B7" s="116" t="s">
        <v>30</v>
      </c>
      <c r="C7" s="129">
        <v>3958344.0608309684</v>
      </c>
      <c r="D7" s="130">
        <v>1492256.6752623229</v>
      </c>
      <c r="E7" s="130">
        <v>3229245.4419877958</v>
      </c>
      <c r="F7" s="130">
        <v>4348177.7210061522</v>
      </c>
      <c r="G7" s="130">
        <v>5142941.8644900005</v>
      </c>
      <c r="H7" s="130">
        <v>773818.30026510532</v>
      </c>
      <c r="I7" s="130">
        <v>240108.70883720188</v>
      </c>
      <c r="J7" s="130">
        <v>2691619.2072309745</v>
      </c>
      <c r="K7" s="131">
        <v>2240224.5068787802</v>
      </c>
      <c r="L7" s="120">
        <f t="shared" ref="L7" si="1">SUM(C7:K7)</f>
        <v>24116736.486789301</v>
      </c>
      <c r="M7" s="121"/>
      <c r="N7" s="121"/>
    </row>
    <row r="8" spans="1:14" ht="27" thickBot="1" x14ac:dyDescent="0.35">
      <c r="A8" s="122"/>
      <c r="B8" s="123" t="s">
        <v>20</v>
      </c>
      <c r="C8" s="124">
        <f t="shared" ref="C8:L8" si="2">C6/C7</f>
        <v>1.0292985999667461</v>
      </c>
      <c r="D8" s="126">
        <f t="shared" si="2"/>
        <v>0.73963616199336246</v>
      </c>
      <c r="E8" s="125">
        <f t="shared" si="2"/>
        <v>1.089080115828895</v>
      </c>
      <c r="F8" s="126">
        <f t="shared" si="2"/>
        <v>0.82983544636833728</v>
      </c>
      <c r="G8" s="125">
        <f t="shared" si="2"/>
        <v>1.1696350373963469</v>
      </c>
      <c r="H8" s="125">
        <f t="shared" si="2"/>
        <v>3.0334834407454663</v>
      </c>
      <c r="I8" s="126">
        <f t="shared" si="2"/>
        <v>0.81024549647595845</v>
      </c>
      <c r="J8" s="126">
        <f t="shared" si="2"/>
        <v>0.9081726692368024</v>
      </c>
      <c r="K8" s="127">
        <f t="shared" si="2"/>
        <v>1.1571076881091651</v>
      </c>
      <c r="L8" s="128">
        <f t="shared" si="2"/>
        <v>1.073824271960925</v>
      </c>
      <c r="M8" s="121"/>
      <c r="N8" s="121"/>
    </row>
    <row r="9" spans="1:14" ht="26.25" x14ac:dyDescent="0.3">
      <c r="A9" s="109" t="s">
        <v>27</v>
      </c>
      <c r="B9" s="110" t="s">
        <v>29</v>
      </c>
      <c r="C9" s="111">
        <v>7202364</v>
      </c>
      <c r="D9" s="112">
        <v>1365455</v>
      </c>
      <c r="E9" s="112">
        <v>8444181</v>
      </c>
      <c r="F9" s="112">
        <v>7909000</v>
      </c>
      <c r="G9" s="112">
        <v>17752909</v>
      </c>
      <c r="H9" s="112">
        <v>13360907</v>
      </c>
      <c r="I9" s="112">
        <v>982272</v>
      </c>
      <c r="J9" s="112">
        <v>4590365</v>
      </c>
      <c r="K9" s="113">
        <v>7700272</v>
      </c>
      <c r="L9" s="114">
        <f>SUM(C9:K9)</f>
        <v>69307725</v>
      </c>
      <c r="M9" s="121"/>
      <c r="N9" s="121"/>
    </row>
    <row r="10" spans="1:14" ht="26.25" x14ac:dyDescent="0.3">
      <c r="A10" s="115"/>
      <c r="B10" s="116" t="s">
        <v>30</v>
      </c>
      <c r="C10" s="129">
        <v>9485835.1266114563</v>
      </c>
      <c r="D10" s="130">
        <v>3130938.1095505035</v>
      </c>
      <c r="E10" s="130">
        <v>9274805.4707886297</v>
      </c>
      <c r="F10" s="130">
        <v>11025360.31106885</v>
      </c>
      <c r="G10" s="130">
        <v>21642754.584579699</v>
      </c>
      <c r="H10" s="130">
        <v>18907992.108543783</v>
      </c>
      <c r="I10" s="130">
        <v>2829061.8390677017</v>
      </c>
      <c r="J10" s="130">
        <v>6158614.4470102312</v>
      </c>
      <c r="K10" s="131">
        <v>10956206.752981303</v>
      </c>
      <c r="L10" s="120">
        <f t="shared" ref="L10" si="3">SUM(C10:K10)</f>
        <v>93411568.750202164</v>
      </c>
      <c r="M10" s="121"/>
      <c r="N10" s="121"/>
    </row>
    <row r="11" spans="1:14" ht="27" thickBot="1" x14ac:dyDescent="0.35">
      <c r="A11" s="122"/>
      <c r="B11" s="132" t="s">
        <v>21</v>
      </c>
      <c r="C11" s="133">
        <f t="shared" ref="C11:L11" si="4">C9/C10</f>
        <v>0.75927568884204699</v>
      </c>
      <c r="D11" s="134">
        <f t="shared" si="4"/>
        <v>0.43611689283632404</v>
      </c>
      <c r="E11" s="134">
        <f t="shared" si="4"/>
        <v>0.91044292266778915</v>
      </c>
      <c r="F11" s="134">
        <f t="shared" si="4"/>
        <v>0.71734617072421691</v>
      </c>
      <c r="G11" s="134">
        <f t="shared" si="4"/>
        <v>0.82027030942950374</v>
      </c>
      <c r="H11" s="134">
        <f t="shared" si="4"/>
        <v>0.7066274897567113</v>
      </c>
      <c r="I11" s="135">
        <f t="shared" si="4"/>
        <v>0.34720768080619302</v>
      </c>
      <c r="J11" s="134">
        <f t="shared" si="4"/>
        <v>0.74535677456289606</v>
      </c>
      <c r="K11" s="136">
        <f t="shared" si="4"/>
        <v>0.70282280844186074</v>
      </c>
      <c r="L11" s="137">
        <f t="shared" si="4"/>
        <v>0.74196082912749506</v>
      </c>
      <c r="M11" s="121"/>
      <c r="N11" s="121"/>
    </row>
    <row r="12" spans="1:14" ht="26.25" x14ac:dyDescent="0.3">
      <c r="A12" s="109" t="s">
        <v>11</v>
      </c>
      <c r="B12" s="110" t="s">
        <v>29</v>
      </c>
      <c r="C12" s="138">
        <v>8964091</v>
      </c>
      <c r="D12" s="139">
        <v>1352271</v>
      </c>
      <c r="E12" s="139">
        <v>11285638</v>
      </c>
      <c r="F12" s="139">
        <v>11143817</v>
      </c>
      <c r="G12" s="139">
        <v>19533271</v>
      </c>
      <c r="H12" s="139">
        <v>13656454</v>
      </c>
      <c r="I12" s="139">
        <v>1203817</v>
      </c>
      <c r="J12" s="139">
        <v>5830092</v>
      </c>
      <c r="K12" s="140">
        <v>7630453</v>
      </c>
      <c r="L12" s="114">
        <f>SUM(C12:K12)</f>
        <v>80599904</v>
      </c>
      <c r="M12" s="121"/>
      <c r="N12" s="121"/>
    </row>
    <row r="13" spans="1:14" ht="26.25" x14ac:dyDescent="0.3">
      <c r="A13" s="115"/>
      <c r="B13" s="116" t="s">
        <v>30</v>
      </c>
      <c r="C13" s="129">
        <v>8765698.9168272391</v>
      </c>
      <c r="D13" s="130">
        <v>2362779.9504395882</v>
      </c>
      <c r="E13" s="130">
        <v>9784514.9844145887</v>
      </c>
      <c r="F13" s="130">
        <v>9560369.6586418804</v>
      </c>
      <c r="G13" s="130">
        <v>19107953.666565098</v>
      </c>
      <c r="H13" s="130">
        <v>15935647.957721014</v>
      </c>
      <c r="I13" s="130">
        <v>2532270.7705752798</v>
      </c>
      <c r="J13" s="130">
        <v>6542269.0678689396</v>
      </c>
      <c r="K13" s="131">
        <v>9048264.911098823</v>
      </c>
      <c r="L13" s="120">
        <f t="shared" ref="L13" si="5">SUM(C13:K13)</f>
        <v>83639769.884152442</v>
      </c>
      <c r="M13" s="121"/>
      <c r="N13" s="121"/>
    </row>
    <row r="14" spans="1:14" ht="27" thickBot="1" x14ac:dyDescent="0.35">
      <c r="A14" s="122"/>
      <c r="B14" s="141" t="s">
        <v>20</v>
      </c>
      <c r="C14" s="142">
        <f t="shared" ref="C14:L14" si="6">C12/C13</f>
        <v>1.0226327740725745</v>
      </c>
      <c r="D14" s="134">
        <f t="shared" si="6"/>
        <v>0.57232202251776088</v>
      </c>
      <c r="E14" s="143">
        <f t="shared" si="6"/>
        <v>1.153418234626499</v>
      </c>
      <c r="F14" s="143">
        <f t="shared" si="6"/>
        <v>1.1656261627840716</v>
      </c>
      <c r="G14" s="143">
        <f t="shared" si="6"/>
        <v>1.0222586542157635</v>
      </c>
      <c r="H14" s="134">
        <f t="shared" si="6"/>
        <v>0.85697513124235924</v>
      </c>
      <c r="I14" s="135">
        <f t="shared" si="6"/>
        <v>0.47539031528074605</v>
      </c>
      <c r="J14" s="134">
        <f t="shared" si="6"/>
        <v>0.89114219233711189</v>
      </c>
      <c r="K14" s="136">
        <f t="shared" si="6"/>
        <v>0.84330565859541751</v>
      </c>
      <c r="L14" s="137">
        <f t="shared" si="6"/>
        <v>0.96365525767989446</v>
      </c>
      <c r="M14" s="121"/>
      <c r="N14" s="121"/>
    </row>
    <row r="15" spans="1:14" ht="26.25" x14ac:dyDescent="0.3">
      <c r="A15" s="109" t="s">
        <v>12</v>
      </c>
      <c r="B15" s="110" t="s">
        <v>29</v>
      </c>
      <c r="C15" s="111">
        <v>8007862</v>
      </c>
      <c r="D15" s="112">
        <v>1300363</v>
      </c>
      <c r="E15" s="112">
        <v>7367820</v>
      </c>
      <c r="F15" s="112">
        <v>7698545</v>
      </c>
      <c r="G15" s="112">
        <v>17614911</v>
      </c>
      <c r="H15" s="112">
        <v>11682090</v>
      </c>
      <c r="I15" s="112">
        <v>452182</v>
      </c>
      <c r="J15" s="112">
        <v>5519092</v>
      </c>
      <c r="K15" s="113">
        <v>5715364</v>
      </c>
      <c r="L15" s="114">
        <f>SUM(C15:K15)</f>
        <v>65358229</v>
      </c>
      <c r="M15" s="121"/>
      <c r="N15" s="121"/>
    </row>
    <row r="16" spans="1:14" ht="26.25" x14ac:dyDescent="0.3">
      <c r="A16" s="115"/>
      <c r="B16" s="116" t="s">
        <v>30</v>
      </c>
      <c r="C16" s="129">
        <v>8575311.0299000666</v>
      </c>
      <c r="D16" s="130">
        <v>2427027.8453009045</v>
      </c>
      <c r="E16" s="130">
        <v>6689219.989631352</v>
      </c>
      <c r="F16" s="130">
        <v>8054715.0328293955</v>
      </c>
      <c r="G16" s="130">
        <v>19211873.40152565</v>
      </c>
      <c r="H16" s="130">
        <v>15788845.440833015</v>
      </c>
      <c r="I16" s="130">
        <v>1943519.5754812972</v>
      </c>
      <c r="J16" s="130">
        <v>7283774.5417723153</v>
      </c>
      <c r="K16" s="131">
        <v>7266838.7435517004</v>
      </c>
      <c r="L16" s="120">
        <f t="shared" ref="L16" si="7">SUM(C16:K16)</f>
        <v>77241125.600825697</v>
      </c>
      <c r="M16" s="121"/>
      <c r="N16" s="121"/>
    </row>
    <row r="17" spans="1:14" ht="27" thickBot="1" x14ac:dyDescent="0.35">
      <c r="A17" s="122"/>
      <c r="B17" s="141" t="s">
        <v>21</v>
      </c>
      <c r="C17" s="133">
        <f t="shared" ref="C17:L17" si="8">C15/C16</f>
        <v>0.93382758620398643</v>
      </c>
      <c r="D17" s="134">
        <f t="shared" si="8"/>
        <v>0.53578412893683969</v>
      </c>
      <c r="E17" s="143">
        <f t="shared" si="8"/>
        <v>1.1014468071644399</v>
      </c>
      <c r="F17" s="134">
        <f t="shared" si="8"/>
        <v>0.95578117520263373</v>
      </c>
      <c r="G17" s="134">
        <f t="shared" si="8"/>
        <v>0.91687627915563752</v>
      </c>
      <c r="H17" s="134">
        <f t="shared" si="8"/>
        <v>0.73989513950069141</v>
      </c>
      <c r="I17" s="134">
        <f t="shared" si="8"/>
        <v>0.23266140753329984</v>
      </c>
      <c r="J17" s="134">
        <f t="shared" si="8"/>
        <v>0.75772416737340054</v>
      </c>
      <c r="K17" s="136">
        <f t="shared" si="8"/>
        <v>0.78649935710649743</v>
      </c>
      <c r="L17" s="137">
        <f t="shared" si="8"/>
        <v>0.84615842262274499</v>
      </c>
      <c r="M17" s="121"/>
      <c r="N17" s="121"/>
    </row>
    <row r="18" spans="1:14" ht="26.25" x14ac:dyDescent="0.3">
      <c r="A18" s="109" t="s">
        <v>13</v>
      </c>
      <c r="B18" s="110" t="s">
        <v>29</v>
      </c>
      <c r="C18" s="111">
        <v>7583773</v>
      </c>
      <c r="D18" s="112">
        <v>1886002</v>
      </c>
      <c r="E18" s="112">
        <v>8433726</v>
      </c>
      <c r="F18" s="112">
        <v>6648544</v>
      </c>
      <c r="G18" s="112">
        <v>12735090</v>
      </c>
      <c r="H18" s="112">
        <v>8934997</v>
      </c>
      <c r="I18" s="112">
        <v>443818</v>
      </c>
      <c r="J18" s="112">
        <v>4183181</v>
      </c>
      <c r="K18" s="113">
        <v>5542271</v>
      </c>
      <c r="L18" s="114">
        <f>SUM(C18:K18)</f>
        <v>56391402</v>
      </c>
      <c r="M18" s="121"/>
      <c r="N18" s="121"/>
    </row>
    <row r="19" spans="1:14" ht="26.25" x14ac:dyDescent="0.3">
      <c r="A19" s="115"/>
      <c r="B19" s="116" t="s">
        <v>30</v>
      </c>
      <c r="C19" s="129">
        <v>6384617.4282039125</v>
      </c>
      <c r="D19" s="130">
        <v>2123426.7573266714</v>
      </c>
      <c r="E19" s="130">
        <v>7661106.9074217612</v>
      </c>
      <c r="F19" s="130">
        <v>6675860.4375451971</v>
      </c>
      <c r="G19" s="130">
        <v>14636984.92223246</v>
      </c>
      <c r="H19" s="130">
        <v>12491481.1236933</v>
      </c>
      <c r="I19" s="130">
        <v>1433102.2847619837</v>
      </c>
      <c r="J19" s="130">
        <v>5071333.9180948529</v>
      </c>
      <c r="K19" s="131">
        <v>6771903.2984022833</v>
      </c>
      <c r="L19" s="120">
        <f t="shared" ref="L19" si="9">SUM(C19:K19)</f>
        <v>63249817.077682421</v>
      </c>
      <c r="M19" s="121"/>
      <c r="N19" s="121"/>
    </row>
    <row r="20" spans="1:14" ht="27" thickBot="1" x14ac:dyDescent="0.35">
      <c r="A20" s="122"/>
      <c r="B20" s="141" t="s">
        <v>20</v>
      </c>
      <c r="C20" s="142">
        <f t="shared" ref="C20:L20" si="10">C18/C19</f>
        <v>1.1878194872724626</v>
      </c>
      <c r="D20" s="134">
        <f t="shared" si="10"/>
        <v>0.8881879224195226</v>
      </c>
      <c r="E20" s="143">
        <f t="shared" si="10"/>
        <v>1.1008495380517087</v>
      </c>
      <c r="F20" s="134">
        <f t="shared" si="10"/>
        <v>0.99590817726033209</v>
      </c>
      <c r="G20" s="134">
        <f t="shared" si="10"/>
        <v>0.8700623842726225</v>
      </c>
      <c r="H20" s="134">
        <f t="shared" si="10"/>
        <v>0.71528723547862427</v>
      </c>
      <c r="I20" s="135">
        <f t="shared" si="10"/>
        <v>0.30969038617764216</v>
      </c>
      <c r="J20" s="134">
        <f t="shared" si="10"/>
        <v>0.82486798691644714</v>
      </c>
      <c r="K20" s="136">
        <f t="shared" si="10"/>
        <v>0.81842146229518742</v>
      </c>
      <c r="L20" s="137">
        <f t="shared" si="10"/>
        <v>0.89156624644053872</v>
      </c>
      <c r="M20" s="121"/>
      <c r="N20" s="121"/>
    </row>
    <row r="21" spans="1:14" ht="26.25" x14ac:dyDescent="0.3">
      <c r="A21" s="109" t="s">
        <v>14</v>
      </c>
      <c r="B21" s="110" t="s">
        <v>29</v>
      </c>
      <c r="C21" s="111">
        <v>4597229</v>
      </c>
      <c r="D21" s="112">
        <v>1493638</v>
      </c>
      <c r="E21" s="112">
        <v>4740636</v>
      </c>
      <c r="F21" s="112">
        <v>4315363</v>
      </c>
      <c r="G21" s="112">
        <v>5619544</v>
      </c>
      <c r="H21" s="112">
        <v>4806544</v>
      </c>
      <c r="I21" s="112">
        <v>127818</v>
      </c>
      <c r="J21" s="112">
        <v>2313725</v>
      </c>
      <c r="K21" s="113">
        <v>3792089</v>
      </c>
      <c r="L21" s="114">
        <f>SUM(C21:K21)</f>
        <v>31806586</v>
      </c>
      <c r="M21" s="121"/>
      <c r="N21" s="121"/>
    </row>
    <row r="22" spans="1:14" ht="26.25" x14ac:dyDescent="0.3">
      <c r="A22" s="115"/>
      <c r="B22" s="116" t="s">
        <v>30</v>
      </c>
      <c r="C22" s="129">
        <v>5432014.8417166146</v>
      </c>
      <c r="D22" s="130">
        <v>1955774.9122781132</v>
      </c>
      <c r="E22" s="130">
        <v>4797543.529543817</v>
      </c>
      <c r="F22" s="130">
        <v>4343648.7778457403</v>
      </c>
      <c r="G22" s="130">
        <v>5658348.8799378341</v>
      </c>
      <c r="H22" s="130">
        <v>4405916.5573197817</v>
      </c>
      <c r="I22" s="130">
        <v>353322.94768057932</v>
      </c>
      <c r="J22" s="130">
        <v>3277266.3535181801</v>
      </c>
      <c r="K22" s="131">
        <v>3360478.9384146356</v>
      </c>
      <c r="L22" s="120">
        <f t="shared" ref="L22" si="11">SUM(C22:K22)</f>
        <v>33584315.738255292</v>
      </c>
      <c r="M22" s="121"/>
      <c r="N22" s="121"/>
    </row>
    <row r="23" spans="1:14" ht="27" thickBot="1" x14ac:dyDescent="0.35">
      <c r="A23" s="122"/>
      <c r="B23" s="141" t="s">
        <v>21</v>
      </c>
      <c r="C23" s="133">
        <f t="shared" ref="C23:L23" si="12">C21/C22</f>
        <v>0.84632114122633595</v>
      </c>
      <c r="D23" s="134">
        <f t="shared" si="12"/>
        <v>0.76370649333066154</v>
      </c>
      <c r="E23" s="134">
        <f t="shared" si="12"/>
        <v>0.98813819422515414</v>
      </c>
      <c r="F23" s="134">
        <f t="shared" si="12"/>
        <v>0.99348801450292012</v>
      </c>
      <c r="G23" s="134">
        <f t="shared" si="12"/>
        <v>0.99314201355179421</v>
      </c>
      <c r="H23" s="144">
        <f t="shared" si="12"/>
        <v>1.0909294212607441</v>
      </c>
      <c r="I23" s="135">
        <f t="shared" si="12"/>
        <v>0.36175968993543417</v>
      </c>
      <c r="J23" s="134">
        <f t="shared" si="12"/>
        <v>0.70599235778202518</v>
      </c>
      <c r="K23" s="145">
        <f t="shared" si="12"/>
        <v>1.1284370678987157</v>
      </c>
      <c r="L23" s="137">
        <f t="shared" si="12"/>
        <v>0.94706666790205551</v>
      </c>
      <c r="M23" s="121"/>
      <c r="N23" s="121"/>
    </row>
    <row r="24" spans="1:14" ht="26.25" x14ac:dyDescent="0.3">
      <c r="A24" s="109" t="s">
        <v>15</v>
      </c>
      <c r="B24" s="110" t="s">
        <v>29</v>
      </c>
      <c r="C24" s="111">
        <f>2878864+1637791</f>
        <v>4516655</v>
      </c>
      <c r="D24" s="112">
        <f>909364+402260</f>
        <v>1311624</v>
      </c>
      <c r="E24" s="112">
        <v>5262000</v>
      </c>
      <c r="F24" s="112">
        <v>4259366</v>
      </c>
      <c r="G24" s="112">
        <v>5366273</v>
      </c>
      <c r="H24" s="112">
        <v>1793091</v>
      </c>
      <c r="I24" s="112">
        <f>122635+2727</f>
        <v>125362</v>
      </c>
      <c r="J24" s="112">
        <v>3240365</v>
      </c>
      <c r="K24" s="113">
        <v>3247454</v>
      </c>
      <c r="L24" s="114">
        <f>SUM(C24:K24)</f>
        <v>29122190</v>
      </c>
      <c r="M24" s="121"/>
      <c r="N24" s="121"/>
    </row>
    <row r="25" spans="1:14" ht="26.25" x14ac:dyDescent="0.3">
      <c r="A25" s="115"/>
      <c r="B25" s="116" t="s">
        <v>30</v>
      </c>
      <c r="C25" s="129">
        <v>4850848.8999588955</v>
      </c>
      <c r="D25" s="130">
        <v>1841995.0744378467</v>
      </c>
      <c r="E25" s="130">
        <v>3943153.8360282765</v>
      </c>
      <c r="F25" s="130">
        <v>4505507.6438105628</v>
      </c>
      <c r="G25" s="130">
        <v>5808451.5891379584</v>
      </c>
      <c r="H25" s="130">
        <v>1414705.269316378</v>
      </c>
      <c r="I25" s="130">
        <v>407665.07662389986</v>
      </c>
      <c r="J25" s="130">
        <v>3496619.1358640301</v>
      </c>
      <c r="K25" s="131">
        <v>3247075.8206401868</v>
      </c>
      <c r="L25" s="120">
        <f t="shared" ref="L25" si="13">SUM(C25:K25)</f>
        <v>29516022.345818035</v>
      </c>
      <c r="M25" s="121"/>
      <c r="N25" s="121"/>
    </row>
    <row r="26" spans="1:14" ht="27" thickBot="1" x14ac:dyDescent="0.35">
      <c r="A26" s="122"/>
      <c r="B26" s="141" t="s">
        <v>20</v>
      </c>
      <c r="C26" s="133">
        <f t="shared" ref="C26:L26" si="14">C24/C25</f>
        <v>0.93110609980827741</v>
      </c>
      <c r="D26" s="134">
        <f t="shared" si="14"/>
        <v>0.71206705066803222</v>
      </c>
      <c r="E26" s="143">
        <f t="shared" si="14"/>
        <v>1.3344648012262501</v>
      </c>
      <c r="F26" s="134">
        <f t="shared" si="14"/>
        <v>0.94536872129188376</v>
      </c>
      <c r="G26" s="134">
        <f t="shared" si="14"/>
        <v>0.92387324188689968</v>
      </c>
      <c r="H26" s="143">
        <f t="shared" si="14"/>
        <v>1.2674661209585143</v>
      </c>
      <c r="I26" s="135">
        <f t="shared" si="14"/>
        <v>0.30751223783550974</v>
      </c>
      <c r="J26" s="134">
        <f t="shared" si="14"/>
        <v>0.92671374092886194</v>
      </c>
      <c r="K26" s="146">
        <f t="shared" si="14"/>
        <v>1.0001164676714382</v>
      </c>
      <c r="L26" s="137">
        <f t="shared" si="14"/>
        <v>0.98665699797880002</v>
      </c>
      <c r="M26" s="121"/>
      <c r="N26" s="121"/>
    </row>
    <row r="27" spans="1:14" ht="26.25" x14ac:dyDescent="0.3">
      <c r="A27" s="109" t="s">
        <v>16</v>
      </c>
      <c r="B27" s="110" t="s">
        <v>29</v>
      </c>
      <c r="C27" s="111">
        <v>6702394</v>
      </c>
      <c r="D27" s="112">
        <v>1304142</v>
      </c>
      <c r="E27" s="112">
        <f>2132909+5178629</f>
        <v>7311538</v>
      </c>
      <c r="F27" s="112">
        <f>3927910+3420366</f>
        <v>7348276</v>
      </c>
      <c r="G27" s="112">
        <f>9125545+8099593</f>
        <v>17225138</v>
      </c>
      <c r="H27" s="112">
        <f>2129545+9105829</f>
        <v>11235374</v>
      </c>
      <c r="I27" s="112">
        <v>385356</v>
      </c>
      <c r="J27" s="112">
        <f>2369181+1909046</f>
        <v>4278227</v>
      </c>
      <c r="K27" s="113">
        <f>1412728+4964380</f>
        <v>6377108</v>
      </c>
      <c r="L27" s="114">
        <f>SUM(C27:K27)</f>
        <v>62167553</v>
      </c>
      <c r="M27" s="121"/>
      <c r="N27" s="121"/>
    </row>
    <row r="28" spans="1:14" ht="26.25" x14ac:dyDescent="0.3">
      <c r="A28" s="115"/>
      <c r="B28" s="116" t="s">
        <v>30</v>
      </c>
      <c r="C28" s="129">
        <v>8774755.76535175</v>
      </c>
      <c r="D28" s="130">
        <v>3353875.4404014139</v>
      </c>
      <c r="E28" s="130">
        <v>7365900.5539169535</v>
      </c>
      <c r="F28" s="130">
        <v>7437886.2581742443</v>
      </c>
      <c r="G28" s="130">
        <v>20102019.329607833</v>
      </c>
      <c r="H28" s="130">
        <v>14027985.283049844</v>
      </c>
      <c r="I28" s="130">
        <v>602110.74718013813</v>
      </c>
      <c r="J28" s="130">
        <v>5769818.5831596097</v>
      </c>
      <c r="K28" s="131">
        <v>8417187.1929073613</v>
      </c>
      <c r="L28" s="120">
        <f t="shared" ref="L28" si="15">SUM(C28:K28)</f>
        <v>75851539.153749153</v>
      </c>
      <c r="M28" s="121"/>
      <c r="N28" s="121"/>
    </row>
    <row r="29" spans="1:14" ht="27" thickBot="1" x14ac:dyDescent="0.35">
      <c r="A29" s="122"/>
      <c r="B29" s="141" t="s">
        <v>21</v>
      </c>
      <c r="C29" s="133">
        <f t="shared" ref="C29:L29" si="16">C27/C28</f>
        <v>0.76382684364449926</v>
      </c>
      <c r="D29" s="135">
        <f t="shared" si="16"/>
        <v>0.38884628340398703</v>
      </c>
      <c r="E29" s="134">
        <f t="shared" si="16"/>
        <v>0.99261970026352786</v>
      </c>
      <c r="F29" s="134">
        <f t="shared" si="16"/>
        <v>0.98795218761570025</v>
      </c>
      <c r="G29" s="134">
        <f t="shared" si="16"/>
        <v>0.85688595347381169</v>
      </c>
      <c r="H29" s="134">
        <f t="shared" si="16"/>
        <v>0.80092570481776992</v>
      </c>
      <c r="I29" s="134">
        <f t="shared" si="16"/>
        <v>0.64000850641636209</v>
      </c>
      <c r="J29" s="134">
        <f t="shared" si="16"/>
        <v>0.74148379855250157</v>
      </c>
      <c r="K29" s="136">
        <f t="shared" si="16"/>
        <v>0.7576293426589813</v>
      </c>
      <c r="L29" s="137">
        <f t="shared" si="16"/>
        <v>0.81959514195206962</v>
      </c>
      <c r="M29" s="121"/>
      <c r="N29" s="121"/>
    </row>
    <row r="30" spans="1:14" ht="26.25" x14ac:dyDescent="0.3">
      <c r="A30" s="109" t="s">
        <v>17</v>
      </c>
      <c r="B30" s="110" t="s">
        <v>29</v>
      </c>
      <c r="C30" s="111">
        <v>6322082</v>
      </c>
      <c r="D30" s="112">
        <v>1210235</v>
      </c>
      <c r="E30" s="112">
        <v>11156999</v>
      </c>
      <c r="F30" s="112">
        <v>7535118</v>
      </c>
      <c r="G30" s="112">
        <v>18969952</v>
      </c>
      <c r="H30" s="112">
        <v>10851174</v>
      </c>
      <c r="I30" s="112">
        <v>471086</v>
      </c>
      <c r="J30" s="112">
        <v>3848540</v>
      </c>
      <c r="K30" s="113">
        <v>6407784</v>
      </c>
      <c r="L30" s="114">
        <f>SUM(C30:K30)</f>
        <v>66772970</v>
      </c>
      <c r="M30" s="121"/>
      <c r="N30" s="121"/>
    </row>
    <row r="31" spans="1:14" ht="26.25" x14ac:dyDescent="0.3">
      <c r="A31" s="115"/>
      <c r="B31" s="116" t="s">
        <v>30</v>
      </c>
      <c r="C31" s="129">
        <v>7233911.5417658277</v>
      </c>
      <c r="D31" s="130">
        <v>2756293.6363816876</v>
      </c>
      <c r="E31" s="130">
        <v>8069243.1435770141</v>
      </c>
      <c r="F31" s="130">
        <v>5883078.4850412719</v>
      </c>
      <c r="G31" s="130">
        <v>20205761.601396881</v>
      </c>
      <c r="H31" s="130">
        <v>11444627.95060141</v>
      </c>
      <c r="I31" s="130">
        <v>492764.375238423</v>
      </c>
      <c r="J31" s="130">
        <v>4912267.7620394398</v>
      </c>
      <c r="K31" s="131">
        <v>7576006.5710109128</v>
      </c>
      <c r="L31" s="120">
        <f t="shared" ref="L31" si="17">SUM(C31:K31)</f>
        <v>68573955.067052871</v>
      </c>
      <c r="M31" s="121"/>
      <c r="N31" s="121"/>
    </row>
    <row r="32" spans="1:14" ht="27" thickBot="1" x14ac:dyDescent="0.35">
      <c r="A32" s="122"/>
      <c r="B32" s="141" t="s">
        <v>20</v>
      </c>
      <c r="C32" s="133">
        <f t="shared" ref="C32:L32" si="18">C30/C31</f>
        <v>0.87395069230508637</v>
      </c>
      <c r="D32" s="135">
        <f t="shared" si="18"/>
        <v>0.43908057691151176</v>
      </c>
      <c r="E32" s="143">
        <f t="shared" si="18"/>
        <v>1.3826574316180804</v>
      </c>
      <c r="F32" s="143">
        <f t="shared" si="18"/>
        <v>1.2808120814908928</v>
      </c>
      <c r="G32" s="134">
        <f t="shared" si="18"/>
        <v>0.9388387517493304</v>
      </c>
      <c r="H32" s="134">
        <f t="shared" si="18"/>
        <v>0.94814563189271484</v>
      </c>
      <c r="I32" s="134">
        <f t="shared" si="18"/>
        <v>0.95600661020201805</v>
      </c>
      <c r="J32" s="134">
        <f t="shared" si="18"/>
        <v>0.78345484945677946</v>
      </c>
      <c r="K32" s="136">
        <f t="shared" si="18"/>
        <v>0.84579968878577283</v>
      </c>
      <c r="L32" s="137">
        <f t="shared" si="18"/>
        <v>0.97373660210656021</v>
      </c>
      <c r="M32" s="121"/>
      <c r="N32" s="121"/>
    </row>
    <row r="33" spans="1:20" ht="26.25" x14ac:dyDescent="0.3">
      <c r="A33" s="109" t="s">
        <v>18</v>
      </c>
      <c r="B33" s="147" t="s">
        <v>29</v>
      </c>
      <c r="C33" s="148">
        <v>5677278</v>
      </c>
      <c r="D33" s="149">
        <v>1170610</v>
      </c>
      <c r="E33" s="149">
        <v>6409748</v>
      </c>
      <c r="F33" s="149">
        <v>9404923</v>
      </c>
      <c r="G33" s="149">
        <v>18389207</v>
      </c>
      <c r="H33" s="149">
        <v>10095581</v>
      </c>
      <c r="I33" s="149">
        <v>351541</v>
      </c>
      <c r="J33" s="149">
        <v>4354398</v>
      </c>
      <c r="K33" s="150">
        <v>6508703</v>
      </c>
      <c r="L33" s="151">
        <f>SUM(C33:K33)</f>
        <v>62361989</v>
      </c>
      <c r="M33" s="121"/>
      <c r="N33" s="121"/>
    </row>
    <row r="34" spans="1:20" ht="26.25" x14ac:dyDescent="0.3">
      <c r="A34" s="115"/>
      <c r="B34" s="116" t="s">
        <v>30</v>
      </c>
      <c r="C34" s="129">
        <v>7613179.3975605909</v>
      </c>
      <c r="D34" s="130">
        <v>3069612.6491391701</v>
      </c>
      <c r="E34" s="130">
        <v>8952153.555684315</v>
      </c>
      <c r="F34" s="130">
        <v>8622964.5615315512</v>
      </c>
      <c r="G34" s="130">
        <v>20975561.554293267</v>
      </c>
      <c r="H34" s="130">
        <v>11518783.686973372</v>
      </c>
      <c r="I34" s="130">
        <v>440403.39947870164</v>
      </c>
      <c r="J34" s="130">
        <v>5632403.9718236513</v>
      </c>
      <c r="K34" s="131">
        <v>7891025.4941480402</v>
      </c>
      <c r="L34" s="120">
        <f>SUM(C34:K34)</f>
        <v>74716088.270632669</v>
      </c>
      <c r="M34" s="121"/>
      <c r="N34" s="121"/>
    </row>
    <row r="35" spans="1:20" ht="27" thickBot="1" x14ac:dyDescent="0.35">
      <c r="A35" s="152"/>
      <c r="B35" s="153" t="s">
        <v>21</v>
      </c>
      <c r="C35" s="154">
        <f t="shared" ref="C35:L35" si="19">C33/C34</f>
        <v>0.74571709183933177</v>
      </c>
      <c r="D35" s="155">
        <f t="shared" si="19"/>
        <v>0.38135430551091887</v>
      </c>
      <c r="E35" s="156">
        <f t="shared" si="19"/>
        <v>0.71600067627638342</v>
      </c>
      <c r="F35" s="157">
        <f t="shared" si="19"/>
        <v>1.0906832485380831</v>
      </c>
      <c r="G35" s="156">
        <f t="shared" si="19"/>
        <v>0.87669676696861099</v>
      </c>
      <c r="H35" s="156">
        <f t="shared" si="19"/>
        <v>0.87644505482094637</v>
      </c>
      <c r="I35" s="156">
        <f t="shared" si="19"/>
        <v>0.79822499194173657</v>
      </c>
      <c r="J35" s="156">
        <f t="shared" si="19"/>
        <v>0.77309760126991378</v>
      </c>
      <c r="K35" s="158">
        <f t="shared" si="19"/>
        <v>0.82482346620560709</v>
      </c>
      <c r="L35" s="159">
        <f t="shared" si="19"/>
        <v>0.83465275609873602</v>
      </c>
      <c r="M35" s="121"/>
      <c r="N35" s="121"/>
    </row>
    <row r="36" spans="1:20" ht="26.25" x14ac:dyDescent="0.3">
      <c r="A36" s="109" t="s">
        <v>19</v>
      </c>
      <c r="B36" s="110" t="s">
        <v>29</v>
      </c>
      <c r="C36" s="111">
        <v>5224242</v>
      </c>
      <c r="D36" s="112">
        <v>1117701</v>
      </c>
      <c r="E36" s="112">
        <v>7456285</v>
      </c>
      <c r="F36" s="112">
        <v>4828025</v>
      </c>
      <c r="G36" s="112">
        <v>12993607</v>
      </c>
      <c r="H36" s="112">
        <v>7125159</v>
      </c>
      <c r="I36" s="112">
        <v>370089</v>
      </c>
      <c r="J36" s="112">
        <v>3801910</v>
      </c>
      <c r="K36" s="113">
        <v>5802980</v>
      </c>
      <c r="L36" s="114">
        <f>SUM(C36:K36)</f>
        <v>48719998</v>
      </c>
      <c r="M36" s="121"/>
      <c r="N36" s="121"/>
    </row>
    <row r="37" spans="1:20" ht="27" thickBot="1" x14ac:dyDescent="0.35">
      <c r="A37" s="115"/>
      <c r="B37" s="116" t="s">
        <v>30</v>
      </c>
      <c r="C37" s="129">
        <v>5246201.5609881291</v>
      </c>
      <c r="D37" s="130">
        <v>1990493.3505201901</v>
      </c>
      <c r="E37" s="130">
        <v>6241401.5354136201</v>
      </c>
      <c r="F37" s="130">
        <v>4412898.8509914717</v>
      </c>
      <c r="G37" s="130">
        <v>13941123.806276206</v>
      </c>
      <c r="H37" s="130">
        <v>6794074.7790803397</v>
      </c>
      <c r="I37" s="130">
        <v>413515.134505486</v>
      </c>
      <c r="J37" s="130">
        <v>3499166.9258408444</v>
      </c>
      <c r="K37" s="131">
        <v>5727314.5968906339</v>
      </c>
      <c r="L37" s="160">
        <f t="shared" ref="L37" si="20">SUM(C37:K37)</f>
        <v>48266190.540506929</v>
      </c>
      <c r="M37" s="121"/>
      <c r="N37" s="121"/>
    </row>
    <row r="38" spans="1:20" ht="27" thickBot="1" x14ac:dyDescent="0.35">
      <c r="A38" s="122"/>
      <c r="B38" s="141" t="s">
        <v>20</v>
      </c>
      <c r="C38" s="133">
        <f t="shared" ref="C38:L38" si="21">C36/C37</f>
        <v>0.99581419799966797</v>
      </c>
      <c r="D38" s="134">
        <f t="shared" si="21"/>
        <v>0.56151958493501275</v>
      </c>
      <c r="E38" s="144">
        <f t="shared" si="21"/>
        <v>1.1946491437368914</v>
      </c>
      <c r="F38" s="144">
        <f t="shared" si="21"/>
        <v>1.0940710773180897</v>
      </c>
      <c r="G38" s="134">
        <f t="shared" si="21"/>
        <v>0.932034402717976</v>
      </c>
      <c r="H38" s="144">
        <f t="shared" si="21"/>
        <v>1.0487313183450826</v>
      </c>
      <c r="I38" s="134">
        <f t="shared" si="21"/>
        <v>0.89498296221390206</v>
      </c>
      <c r="J38" s="144">
        <f t="shared" si="21"/>
        <v>1.0865186144517547</v>
      </c>
      <c r="K38" s="161">
        <f t="shared" si="21"/>
        <v>1.0132113230082462</v>
      </c>
      <c r="L38" s="162">
        <f t="shared" si="21"/>
        <v>1.0094021809969076</v>
      </c>
      <c r="M38" s="121"/>
      <c r="N38" s="121"/>
    </row>
    <row r="39" spans="1:20" ht="27" thickBot="1" x14ac:dyDescent="0.35">
      <c r="A39" s="163" t="s">
        <v>31</v>
      </c>
      <c r="B39" s="164"/>
      <c r="C39" s="165">
        <f t="shared" ref="C39:G40" si="22">SUM(C3,C6,C9,C12,C15,C18,C21,C24,C27,C30,C33,C36)</f>
        <v>72496834</v>
      </c>
      <c r="D39" s="166">
        <f t="shared" si="22"/>
        <v>15813677</v>
      </c>
      <c r="E39" s="166">
        <f t="shared" si="22"/>
        <v>84746027</v>
      </c>
      <c r="F39" s="166">
        <f t="shared" si="22"/>
        <v>77521612</v>
      </c>
      <c r="G39" s="166">
        <f t="shared" si="22"/>
        <v>157147450</v>
      </c>
      <c r="H39" s="166">
        <f>SUM(H3,H6,H18,H9,H12,H15,H21,H24,H27,H30,H33,H36)</f>
        <v>97621190</v>
      </c>
      <c r="I39" s="166">
        <f t="shared" ref="I39:K40" si="23">SUM(I3,I6,I9,I12,I15,I18,I21,I24,I27,I30,I33,I36)</f>
        <v>5272887</v>
      </c>
      <c r="J39" s="166">
        <f t="shared" si="23"/>
        <v>47001443</v>
      </c>
      <c r="K39" s="167">
        <f t="shared" si="23"/>
        <v>63962752</v>
      </c>
      <c r="L39" s="168">
        <f>SUM(C39:K39)</f>
        <v>621583872</v>
      </c>
      <c r="M39" s="169"/>
      <c r="N39" s="169"/>
    </row>
    <row r="40" spans="1:20" ht="27" thickBot="1" x14ac:dyDescent="0.35">
      <c r="A40" s="170" t="s">
        <v>32</v>
      </c>
      <c r="B40" s="171"/>
      <c r="C40" s="172">
        <f t="shared" si="22"/>
        <v>79187584.215498179</v>
      </c>
      <c r="D40" s="172">
        <f t="shared" si="22"/>
        <v>27631898.967380702</v>
      </c>
      <c r="E40" s="172">
        <f t="shared" si="22"/>
        <v>78604006.435082167</v>
      </c>
      <c r="F40" s="172">
        <f t="shared" si="22"/>
        <v>77899984.088829502</v>
      </c>
      <c r="G40" s="172">
        <f t="shared" si="22"/>
        <v>170029013.00724158</v>
      </c>
      <c r="H40" s="172">
        <f>SUM(H4,H7,H10,H13,H16,H19,H22,H25,H28,H31,H34,H37)</f>
        <v>115218695.74344479</v>
      </c>
      <c r="I40" s="172">
        <f t="shared" si="23"/>
        <v>11895215.245413093</v>
      </c>
      <c r="J40" s="172">
        <f t="shared" si="23"/>
        <v>56187903.671972401</v>
      </c>
      <c r="K40" s="172">
        <f t="shared" si="23"/>
        <v>74900496.375137672</v>
      </c>
      <c r="L40" s="173" t="s">
        <v>22</v>
      </c>
      <c r="M40" s="174">
        <f>SUM(L3,L6,L9,L12,L15,L18,L21,L24,L27,L30,L33,L36)</f>
        <v>621583872</v>
      </c>
      <c r="N40" s="99"/>
    </row>
    <row r="41" spans="1:20" ht="27" thickBot="1" x14ac:dyDescent="0.35">
      <c r="A41" s="175" t="s">
        <v>33</v>
      </c>
      <c r="B41" s="176"/>
      <c r="C41" s="177">
        <f>C39/C40</f>
        <v>0.91550758516271669</v>
      </c>
      <c r="D41" s="178">
        <f>D39/D40</f>
        <v>0.57229787278347954</v>
      </c>
      <c r="E41" s="178">
        <f>E39/E40</f>
        <v>1.0781387723536768</v>
      </c>
      <c r="F41" s="178">
        <f>F39/F40</f>
        <v>0.99514284767506445</v>
      </c>
      <c r="G41" s="178">
        <f>G39/G40</f>
        <v>0.92423902968434601</v>
      </c>
      <c r="H41" s="178">
        <f>H39/H40</f>
        <v>0.84726866043833016</v>
      </c>
      <c r="I41" s="178">
        <f>I39/I40</f>
        <v>0.44327798120620598</v>
      </c>
      <c r="J41" s="178">
        <f>J39/J40</f>
        <v>0.83650465542186114</v>
      </c>
      <c r="K41" s="179">
        <f t="shared" ref="K41" si="24">K39/K40</f>
        <v>0.8539696676994476</v>
      </c>
      <c r="L41" s="180" t="s">
        <v>23</v>
      </c>
      <c r="M41" s="181">
        <v>691554798</v>
      </c>
      <c r="N41" s="99"/>
    </row>
    <row r="42" spans="1:20" ht="27" thickBot="1" x14ac:dyDescent="0.35">
      <c r="A42" s="101" t="s">
        <v>106</v>
      </c>
      <c r="B42" s="102"/>
      <c r="C42" s="182">
        <v>-6690750.2154981792</v>
      </c>
      <c r="D42" s="183">
        <v>-11818221.967380702</v>
      </c>
      <c r="E42" s="183">
        <v>6142020.5649178326</v>
      </c>
      <c r="F42" s="183">
        <v>-378372.08882950246</v>
      </c>
      <c r="G42" s="183">
        <v>-12881563.007241577</v>
      </c>
      <c r="H42" s="183">
        <v>-17597505.743444785</v>
      </c>
      <c r="I42" s="183">
        <v>-6622328.2454130929</v>
      </c>
      <c r="J42" s="183">
        <v>-9186460.6719724014</v>
      </c>
      <c r="K42" s="184">
        <v>-10937744.375137672</v>
      </c>
      <c r="L42" s="185" t="s">
        <v>24</v>
      </c>
      <c r="M42" s="186">
        <f>M40/M41</f>
        <v>0.89882085092554009</v>
      </c>
      <c r="N42" s="99"/>
    </row>
    <row r="43" spans="1:20" ht="27" thickBot="1" x14ac:dyDescent="0.35">
      <c r="A43" s="187" t="s">
        <v>35</v>
      </c>
      <c r="B43" s="188"/>
      <c r="C43" s="189" t="s">
        <v>37</v>
      </c>
      <c r="D43" s="190" t="s">
        <v>37</v>
      </c>
      <c r="E43" s="191" t="s">
        <v>39</v>
      </c>
      <c r="F43" s="190" t="s">
        <v>37</v>
      </c>
      <c r="G43" s="190" t="s">
        <v>37</v>
      </c>
      <c r="H43" s="190" t="s">
        <v>37</v>
      </c>
      <c r="I43" s="190" t="s">
        <v>37</v>
      </c>
      <c r="J43" s="190" t="s">
        <v>37</v>
      </c>
      <c r="K43" s="192" t="s">
        <v>37</v>
      </c>
      <c r="L43" s="193"/>
      <c r="M43" s="194"/>
      <c r="N43" s="99"/>
    </row>
    <row r="44" spans="1:20" ht="27" thickBot="1" x14ac:dyDescent="0.35">
      <c r="A44" s="187" t="s">
        <v>94</v>
      </c>
      <c r="B44" s="195"/>
      <c r="C44" s="196" t="s">
        <v>95</v>
      </c>
      <c r="D44" s="197" t="s">
        <v>96</v>
      </c>
      <c r="E44" s="197" t="s">
        <v>97</v>
      </c>
      <c r="F44" s="197" t="s">
        <v>95</v>
      </c>
      <c r="G44" s="197" t="s">
        <v>98</v>
      </c>
      <c r="H44" s="197" t="s">
        <v>99</v>
      </c>
      <c r="I44" s="197" t="s">
        <v>100</v>
      </c>
      <c r="J44" s="197" t="s">
        <v>101</v>
      </c>
      <c r="K44" s="198" t="s">
        <v>99</v>
      </c>
      <c r="L44" s="99"/>
      <c r="M44" s="99"/>
      <c r="N44" s="99"/>
    </row>
    <row r="45" spans="1:20" ht="27" thickBot="1" x14ac:dyDescent="0.3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</row>
    <row r="46" spans="1:20" ht="24.75" thickBot="1" x14ac:dyDescent="0.35">
      <c r="A46" s="85" t="s">
        <v>107</v>
      </c>
      <c r="B46" s="86"/>
      <c r="C46" s="84"/>
      <c r="D46" s="84"/>
      <c r="E46" s="84"/>
      <c r="F46" s="84"/>
      <c r="G46" s="84"/>
      <c r="H46" s="84"/>
      <c r="I46" s="84"/>
      <c r="J46" s="84"/>
      <c r="K46" s="84"/>
      <c r="L46" s="80"/>
      <c r="M46" s="75"/>
      <c r="N46" s="75"/>
    </row>
    <row r="47" spans="1:20" ht="24.75" thickBot="1" x14ac:dyDescent="0.35">
      <c r="A47" s="89" t="s">
        <v>108</v>
      </c>
      <c r="B47" s="90"/>
      <c r="C47" s="91">
        <v>76303589</v>
      </c>
      <c r="D47" s="92">
        <v>26625551</v>
      </c>
      <c r="E47" s="92">
        <v>75741265</v>
      </c>
      <c r="F47" s="92">
        <v>75062883</v>
      </c>
      <c r="G47" s="92">
        <v>163836592</v>
      </c>
      <c r="H47" s="92">
        <v>111022455</v>
      </c>
      <c r="I47" s="92">
        <v>11461994</v>
      </c>
      <c r="J47" s="92">
        <v>54141552</v>
      </c>
      <c r="K47" s="93">
        <v>72172636</v>
      </c>
      <c r="L47" s="83"/>
      <c r="M47" s="80"/>
      <c r="N47" s="80"/>
      <c r="O47" s="80"/>
      <c r="P47" s="80"/>
      <c r="Q47" s="80"/>
      <c r="R47" s="80"/>
      <c r="S47" s="80"/>
      <c r="T47" s="80"/>
    </row>
    <row r="48" spans="1:20" ht="24.75" thickBot="1" x14ac:dyDescent="0.35">
      <c r="A48" s="77" t="s">
        <v>109</v>
      </c>
      <c r="B48" s="78"/>
      <c r="C48" s="96">
        <v>0.95011040699540361</v>
      </c>
      <c r="D48" s="97">
        <v>0.59392862893241161</v>
      </c>
      <c r="E48" s="97">
        <v>1.1188884553222078</v>
      </c>
      <c r="F48" s="97">
        <v>1.0327555897366745</v>
      </c>
      <c r="G48" s="97">
        <v>0.95917186802811427</v>
      </c>
      <c r="H48" s="97">
        <v>0.87929230172400707</v>
      </c>
      <c r="I48" s="97">
        <v>0.46003225965743832</v>
      </c>
      <c r="J48" s="97">
        <v>0.86812145688029041</v>
      </c>
      <c r="K48" s="98">
        <v>0.88624658243049348</v>
      </c>
      <c r="L48" s="81"/>
      <c r="M48" s="75"/>
      <c r="N48" s="75"/>
    </row>
    <row r="49" spans="1:14" ht="24.75" thickBot="1" x14ac:dyDescent="0.35">
      <c r="A49" s="87" t="s">
        <v>110</v>
      </c>
      <c r="B49" s="88"/>
      <c r="C49" s="94">
        <v>-3806755</v>
      </c>
      <c r="D49" s="94">
        <v>-10811874</v>
      </c>
      <c r="E49" s="94">
        <v>9004762</v>
      </c>
      <c r="F49" s="94">
        <v>2458729</v>
      </c>
      <c r="G49" s="94">
        <v>-6689142</v>
      </c>
      <c r="H49" s="94">
        <v>-13401265</v>
      </c>
      <c r="I49" s="94">
        <v>-6189107</v>
      </c>
      <c r="J49" s="94">
        <v>-7140109</v>
      </c>
      <c r="K49" s="95">
        <v>-8209884</v>
      </c>
      <c r="L49" s="82"/>
      <c r="M49" s="75"/>
      <c r="N49" s="75"/>
    </row>
    <row r="50" spans="1:14" ht="24" x14ac:dyDescent="0.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0"/>
      <c r="M50" s="75"/>
      <c r="N50" s="75"/>
    </row>
    <row r="51" spans="1:14" ht="24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5"/>
      <c r="M51" s="75"/>
      <c r="N51" s="75"/>
    </row>
    <row r="52" spans="1:14" ht="24" x14ac:dyDescent="0.3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</row>
    <row r="53" spans="1:14" ht="24" x14ac:dyDescent="0.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</row>
    <row r="54" spans="1:14" ht="24" x14ac:dyDescent="0.3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</row>
    <row r="55" spans="1:14" ht="24" x14ac:dyDescent="0.3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</row>
    <row r="56" spans="1:14" ht="24" x14ac:dyDescent="0.3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</row>
    <row r="57" spans="1:14" ht="24" x14ac:dyDescent="0.3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</row>
    <row r="58" spans="1:14" ht="24" x14ac:dyDescent="0.3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</row>
    <row r="59" spans="1:14" ht="24" x14ac:dyDescent="0.3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</row>
    <row r="60" spans="1:14" ht="24" x14ac:dyDescent="0.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</row>
    <row r="61" spans="1:14" ht="24" x14ac:dyDescent="0.3">
      <c r="A61" s="75"/>
      <c r="B61" s="75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5"/>
      <c r="N61" s="75"/>
    </row>
    <row r="62" spans="1:14" ht="24" x14ac:dyDescent="0.3">
      <c r="A62" s="75"/>
      <c r="B62" s="75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5"/>
      <c r="N62" s="75"/>
    </row>
    <row r="63" spans="1:14" ht="24" x14ac:dyDescent="0.3">
      <c r="A63" s="75"/>
      <c r="B63" s="75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5"/>
      <c r="N63" s="75"/>
    </row>
    <row r="64" spans="1:14" ht="24" x14ac:dyDescent="0.3">
      <c r="A64" s="75"/>
      <c r="B64" s="75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5"/>
      <c r="N64" s="75"/>
    </row>
    <row r="65" spans="1:14" ht="24" x14ac:dyDescent="0.3">
      <c r="A65" s="75"/>
      <c r="B65" s="75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5"/>
      <c r="N65" s="75"/>
    </row>
    <row r="66" spans="1:14" ht="24" x14ac:dyDescent="0.3">
      <c r="A66" s="75"/>
      <c r="B66" s="75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5"/>
      <c r="N66" s="75"/>
    </row>
    <row r="67" spans="1:14" ht="24" x14ac:dyDescent="0.3">
      <c r="A67" s="75"/>
      <c r="B67" s="75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5"/>
      <c r="N67" s="75"/>
    </row>
    <row r="68" spans="1:14" ht="24" x14ac:dyDescent="0.3">
      <c r="A68" s="75"/>
      <c r="B68" s="75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5"/>
      <c r="N68" s="75"/>
    </row>
    <row r="69" spans="1:14" ht="24" x14ac:dyDescent="0.3">
      <c r="A69" s="75"/>
      <c r="B69" s="75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5"/>
      <c r="N69" s="75"/>
    </row>
    <row r="70" spans="1:14" ht="24" x14ac:dyDescent="0.3">
      <c r="A70" s="75"/>
      <c r="B70" s="75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5"/>
      <c r="N70" s="75"/>
    </row>
    <row r="71" spans="1:14" ht="24" x14ac:dyDescent="0.3">
      <c r="A71" s="75"/>
      <c r="B71" s="75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5"/>
      <c r="N71" s="75"/>
    </row>
    <row r="72" spans="1:14" ht="24" x14ac:dyDescent="0.3">
      <c r="A72" s="75"/>
      <c r="B72" s="75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5"/>
      <c r="N72" s="75"/>
    </row>
    <row r="73" spans="1:14" ht="24" x14ac:dyDescent="0.3">
      <c r="A73" s="75"/>
      <c r="B73" s="75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5"/>
      <c r="N73" s="75"/>
    </row>
    <row r="74" spans="1:14" ht="24" x14ac:dyDescent="0.3">
      <c r="A74" s="75"/>
      <c r="B74" s="75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5"/>
      <c r="N74" s="75"/>
    </row>
    <row r="75" spans="1:14" ht="24" x14ac:dyDescent="0.3">
      <c r="A75" s="75"/>
      <c r="B75" s="75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5"/>
      <c r="N75" s="75"/>
    </row>
    <row r="76" spans="1:14" ht="24" x14ac:dyDescent="0.3">
      <c r="A76" s="75"/>
      <c r="B76" s="75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5"/>
      <c r="N76" s="75"/>
    </row>
    <row r="77" spans="1:14" ht="24" x14ac:dyDescent="0.3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6"/>
      <c r="M77" s="75"/>
      <c r="N77" s="75"/>
    </row>
    <row r="78" spans="1:14" ht="24" x14ac:dyDescent="0.3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</row>
    <row r="79" spans="1:14" ht="24" x14ac:dyDescent="0.3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</row>
    <row r="80" spans="1:14" ht="24" x14ac:dyDescent="0.3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</row>
    <row r="81" spans="1:14" ht="24" x14ac:dyDescent="0.3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</row>
    <row r="82" spans="1:14" ht="24" x14ac:dyDescent="0.3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</row>
    <row r="83" spans="1:14" ht="24" x14ac:dyDescent="0.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</row>
    <row r="84" spans="1:14" ht="24" x14ac:dyDescent="0.3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</row>
    <row r="85" spans="1:14" ht="24" x14ac:dyDescent="0.3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</row>
    <row r="86" spans="1:14" ht="24" x14ac:dyDescent="0.3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</row>
    <row r="87" spans="1:14" ht="24" x14ac:dyDescent="0.3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</row>
    <row r="88" spans="1:14" ht="24" x14ac:dyDescent="0.3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</row>
    <row r="89" spans="1:14" ht="24" x14ac:dyDescent="0.3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</row>
    <row r="90" spans="1:14" ht="24" x14ac:dyDescent="0.3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</row>
    <row r="91" spans="1:14" ht="24" x14ac:dyDescent="0.3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</row>
    <row r="92" spans="1:14" ht="24" x14ac:dyDescent="0.3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</row>
    <row r="93" spans="1:14" ht="24" x14ac:dyDescent="0.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</row>
    <row r="94" spans="1:14" ht="24" x14ac:dyDescent="0.3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</row>
    <row r="95" spans="1:14" ht="24" x14ac:dyDescent="0.3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</row>
    <row r="96" spans="1:14" ht="24" x14ac:dyDescent="0.3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</row>
    <row r="97" spans="1:14" ht="24" x14ac:dyDescent="0.3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</row>
    <row r="98" spans="1:14" ht="24" x14ac:dyDescent="0.3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</row>
    <row r="99" spans="1:14" ht="24" x14ac:dyDescent="0.3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</row>
    <row r="100" spans="1:14" ht="24" x14ac:dyDescent="0.3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</row>
    <row r="101" spans="1:14" ht="24" x14ac:dyDescent="0.3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</row>
    <row r="102" spans="1:14" ht="24" x14ac:dyDescent="0.3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</row>
    <row r="103" spans="1:14" ht="24" x14ac:dyDescent="0.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</row>
    <row r="104" spans="1:14" ht="24" x14ac:dyDescent="0.3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</row>
    <row r="105" spans="1:14" ht="24" x14ac:dyDescent="0.3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</row>
    <row r="106" spans="1:14" ht="24" x14ac:dyDescent="0.3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</row>
    <row r="107" spans="1:14" ht="24" x14ac:dyDescent="0.3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</row>
    <row r="108" spans="1:14" ht="24" x14ac:dyDescent="0.3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</row>
    <row r="109" spans="1:14" ht="24" x14ac:dyDescent="0.3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</row>
    <row r="110" spans="1:14" ht="24" x14ac:dyDescent="0.3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</row>
    <row r="111" spans="1:14" ht="24" x14ac:dyDescent="0.3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</row>
    <row r="112" spans="1:14" ht="24" x14ac:dyDescent="0.3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</row>
    <row r="113" spans="1:14" ht="24" x14ac:dyDescent="0.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</sheetData>
  <mergeCells count="62">
    <mergeCell ref="A46:B46"/>
    <mergeCell ref="M42:M43"/>
    <mergeCell ref="L42:L43"/>
    <mergeCell ref="A48:B48"/>
    <mergeCell ref="A49:B49"/>
    <mergeCell ref="A47:B47"/>
    <mergeCell ref="N31:N32"/>
    <mergeCell ref="M34:M35"/>
    <mergeCell ref="N34:N35"/>
    <mergeCell ref="M37:M38"/>
    <mergeCell ref="N37:N38"/>
    <mergeCell ref="A33:A35"/>
    <mergeCell ref="A36:A38"/>
    <mergeCell ref="A30:A32"/>
    <mergeCell ref="M33:N33"/>
    <mergeCell ref="M36:N36"/>
    <mergeCell ref="A43:B43"/>
    <mergeCell ref="A44:B44"/>
    <mergeCell ref="A42:B42"/>
    <mergeCell ref="A2:B2"/>
    <mergeCell ref="A18:A20"/>
    <mergeCell ref="A21:A23"/>
    <mergeCell ref="A24:A26"/>
    <mergeCell ref="A27:A29"/>
    <mergeCell ref="A6:A8"/>
    <mergeCell ref="A3:A5"/>
    <mergeCell ref="A9:A11"/>
    <mergeCell ref="A12:A14"/>
    <mergeCell ref="A15:A17"/>
    <mergeCell ref="M1:N1"/>
    <mergeCell ref="M3:N3"/>
    <mergeCell ref="M6:N6"/>
    <mergeCell ref="M9:N9"/>
    <mergeCell ref="M30:N30"/>
    <mergeCell ref="M4:M5"/>
    <mergeCell ref="N4:N5"/>
    <mergeCell ref="M7:M8"/>
    <mergeCell ref="N7:N8"/>
    <mergeCell ref="M10:M11"/>
    <mergeCell ref="N10:N11"/>
    <mergeCell ref="M13:M14"/>
    <mergeCell ref="N13:N14"/>
    <mergeCell ref="M16:M17"/>
    <mergeCell ref="N16:N17"/>
    <mergeCell ref="M19:M20"/>
    <mergeCell ref="M12:N12"/>
    <mergeCell ref="M15:N15"/>
    <mergeCell ref="M18:N18"/>
    <mergeCell ref="M21:N21"/>
    <mergeCell ref="M24:N24"/>
    <mergeCell ref="M27:N27"/>
    <mergeCell ref="N19:N20"/>
    <mergeCell ref="M22:M23"/>
    <mergeCell ref="N22:N23"/>
    <mergeCell ref="M25:M26"/>
    <mergeCell ref="N25:N26"/>
    <mergeCell ref="M28:M29"/>
    <mergeCell ref="N28:N29"/>
    <mergeCell ref="M31:M32"/>
    <mergeCell ref="A40:B40"/>
    <mergeCell ref="A41:B41"/>
    <mergeCell ref="A39:B39"/>
  </mergeCells>
  <phoneticPr fontId="2" type="noConversion"/>
  <pageMargins left="0.25" right="0.25" top="0.75" bottom="0.75" header="0.3" footer="0.3"/>
  <pageSetup paperSize="9" scale="27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1E76-5164-44BA-9B41-5D6300B766D9}">
  <sheetPr>
    <pageSetUpPr fitToPage="1"/>
  </sheetPr>
  <dimension ref="A1:L14"/>
  <sheetViews>
    <sheetView workbookViewId="0">
      <pane ySplit="1" topLeftCell="A2" activePane="bottomLeft" state="frozen"/>
      <selection pane="bottomLeft" activeCell="B10" sqref="B10:J11"/>
    </sheetView>
  </sheetViews>
  <sheetFormatPr defaultRowHeight="16.5" x14ac:dyDescent="0.3"/>
  <cols>
    <col min="1" max="1" width="21.75" customWidth="1"/>
    <col min="2" max="2" width="14.75" bestFit="1" customWidth="1"/>
    <col min="3" max="5" width="13.5" bestFit="1" customWidth="1"/>
    <col min="6" max="7" width="14.625" bestFit="1" customWidth="1"/>
    <col min="8" max="10" width="13.5" bestFit="1" customWidth="1"/>
    <col min="11" max="11" width="18.5" customWidth="1"/>
    <col min="12" max="12" width="22.25" customWidth="1"/>
  </cols>
  <sheetData>
    <row r="1" spans="1:12" x14ac:dyDescent="0.3">
      <c r="A1" s="14"/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</row>
    <row r="2" spans="1:12" x14ac:dyDescent="0.3">
      <c r="A2" s="13" t="s">
        <v>51</v>
      </c>
      <c r="B2" s="10">
        <v>72496834</v>
      </c>
      <c r="C2" s="10">
        <v>15813677</v>
      </c>
      <c r="D2" s="10">
        <v>84746027</v>
      </c>
      <c r="E2" s="10">
        <v>77521612</v>
      </c>
      <c r="F2" s="10">
        <v>157147450</v>
      </c>
      <c r="G2" s="10">
        <v>97621190</v>
      </c>
      <c r="H2" s="10">
        <v>5272887</v>
      </c>
      <c r="I2" s="10">
        <v>47001443</v>
      </c>
      <c r="J2" s="10">
        <v>63962752</v>
      </c>
      <c r="K2" s="9"/>
    </row>
    <row r="3" spans="1:12" x14ac:dyDescent="0.3">
      <c r="A3" s="13" t="s">
        <v>50</v>
      </c>
      <c r="B3" s="10">
        <v>79187584.215498179</v>
      </c>
      <c r="C3" s="10">
        <v>27631898.967380702</v>
      </c>
      <c r="D3" s="10">
        <v>78604006.435082167</v>
      </c>
      <c r="E3" s="10">
        <v>77899984.088829502</v>
      </c>
      <c r="F3" s="10">
        <v>170029013.00724158</v>
      </c>
      <c r="G3" s="10">
        <v>115218695.74344479</v>
      </c>
      <c r="H3" s="10">
        <v>11895215.245413093</v>
      </c>
      <c r="I3" s="10">
        <v>56187903.671972401</v>
      </c>
      <c r="J3" s="10">
        <v>74900496.375137672</v>
      </c>
      <c r="K3" s="9"/>
    </row>
    <row r="4" spans="1:12" x14ac:dyDescent="0.3">
      <c r="A4" s="13" t="s">
        <v>20</v>
      </c>
      <c r="B4" s="2">
        <v>0.91550758516271669</v>
      </c>
      <c r="C4" s="2">
        <v>0.57229787278347954</v>
      </c>
      <c r="D4" s="18">
        <v>1.0781387723536768</v>
      </c>
      <c r="E4" s="2">
        <v>0.99514284767506445</v>
      </c>
      <c r="F4" s="2">
        <v>0.92423902968434601</v>
      </c>
      <c r="G4" s="2">
        <v>0.84726866043833016</v>
      </c>
      <c r="H4" s="2">
        <v>0.44327798120620598</v>
      </c>
      <c r="I4" s="2">
        <v>0.83650465542186114</v>
      </c>
      <c r="J4" s="2">
        <v>0.8539696676994476</v>
      </c>
    </row>
    <row r="5" spans="1:12" x14ac:dyDescent="0.3">
      <c r="A5" s="22" t="s">
        <v>54</v>
      </c>
      <c r="B5" s="19">
        <f t="shared" ref="B5:J5" si="0">B2-B3</f>
        <v>-6690750.2154981792</v>
      </c>
      <c r="C5" s="19">
        <f t="shared" si="0"/>
        <v>-11818221.967380702</v>
      </c>
      <c r="D5" s="19">
        <f t="shared" si="0"/>
        <v>6142020.5649178326</v>
      </c>
      <c r="E5" s="19">
        <f t="shared" si="0"/>
        <v>-378372.08882950246</v>
      </c>
      <c r="F5" s="19">
        <f t="shared" si="0"/>
        <v>-12881563.007241577</v>
      </c>
      <c r="G5" s="19">
        <f t="shared" si="0"/>
        <v>-17597505.743444785</v>
      </c>
      <c r="H5" s="19">
        <f t="shared" si="0"/>
        <v>-6622328.2454130929</v>
      </c>
      <c r="I5" s="19">
        <f t="shared" si="0"/>
        <v>-9186460.6719724014</v>
      </c>
      <c r="J5" s="19">
        <f t="shared" si="0"/>
        <v>-10937744.375137672</v>
      </c>
    </row>
    <row r="6" spans="1:12" x14ac:dyDescent="0.3">
      <c r="A6" s="13" t="s">
        <v>34</v>
      </c>
      <c r="B6" s="16" t="s">
        <v>36</v>
      </c>
      <c r="C6" s="17" t="s">
        <v>36</v>
      </c>
      <c r="D6" s="20" t="s">
        <v>38</v>
      </c>
      <c r="E6" s="16" t="s">
        <v>36</v>
      </c>
      <c r="F6" s="16" t="s">
        <v>36</v>
      </c>
      <c r="G6" s="17" t="s">
        <v>36</v>
      </c>
      <c r="H6" s="17" t="s">
        <v>36</v>
      </c>
      <c r="I6" s="17" t="s">
        <v>36</v>
      </c>
      <c r="J6" s="17" t="s">
        <v>36</v>
      </c>
    </row>
    <row r="7" spans="1:12" x14ac:dyDescent="0.3">
      <c r="A7" s="12"/>
    </row>
    <row r="8" spans="1:12" x14ac:dyDescent="0.3">
      <c r="A8" s="13" t="s">
        <v>52</v>
      </c>
      <c r="B8" s="10">
        <v>72496834</v>
      </c>
      <c r="C8" s="10">
        <v>15813677</v>
      </c>
      <c r="D8" s="10">
        <v>84746027</v>
      </c>
      <c r="E8" s="10">
        <v>77521612</v>
      </c>
      <c r="F8" s="10">
        <v>157147450</v>
      </c>
      <c r="G8" s="10">
        <v>97621190</v>
      </c>
      <c r="H8" s="10">
        <v>5272887</v>
      </c>
      <c r="I8" s="10">
        <v>47001443</v>
      </c>
      <c r="J8" s="10">
        <v>63962752</v>
      </c>
    </row>
    <row r="9" spans="1:12" x14ac:dyDescent="0.3">
      <c r="A9" s="13" t="s">
        <v>49</v>
      </c>
      <c r="B9" s="10">
        <v>76303589</v>
      </c>
      <c r="C9" s="10">
        <v>26625551</v>
      </c>
      <c r="D9" s="10">
        <v>75741265</v>
      </c>
      <c r="E9" s="10">
        <v>75062883</v>
      </c>
      <c r="F9" s="10">
        <v>163836592</v>
      </c>
      <c r="G9" s="10">
        <v>111022455</v>
      </c>
      <c r="H9" s="10">
        <v>11461994</v>
      </c>
      <c r="I9" s="10">
        <v>54141552</v>
      </c>
      <c r="J9" s="10">
        <v>72172636</v>
      </c>
    </row>
    <row r="10" spans="1:12" x14ac:dyDescent="0.3">
      <c r="A10" s="15" t="s">
        <v>21</v>
      </c>
      <c r="B10" s="2">
        <f t="shared" ref="B10:J10" si="1">B8/B9</f>
        <v>0.95011040699540361</v>
      </c>
      <c r="C10" s="2">
        <f t="shared" si="1"/>
        <v>0.59392862893241161</v>
      </c>
      <c r="D10" s="18">
        <f t="shared" si="1"/>
        <v>1.1188884553222078</v>
      </c>
      <c r="E10" s="18">
        <f t="shared" si="1"/>
        <v>1.0327555897366745</v>
      </c>
      <c r="F10" s="2">
        <f t="shared" si="1"/>
        <v>0.95917186802811427</v>
      </c>
      <c r="G10" s="2">
        <f t="shared" si="1"/>
        <v>0.87929230172400707</v>
      </c>
      <c r="H10" s="2">
        <f t="shared" si="1"/>
        <v>0.46003225965743832</v>
      </c>
      <c r="I10" s="2">
        <f t="shared" si="1"/>
        <v>0.86812145688029041</v>
      </c>
      <c r="J10" s="2">
        <f t="shared" si="1"/>
        <v>0.88624658243049348</v>
      </c>
    </row>
    <row r="11" spans="1:12" x14ac:dyDescent="0.3">
      <c r="A11" s="22" t="s">
        <v>53</v>
      </c>
      <c r="B11" s="19">
        <f t="shared" ref="B11:J11" si="2">B8-B9</f>
        <v>-3806755</v>
      </c>
      <c r="C11" s="19">
        <f t="shared" si="2"/>
        <v>-10811874</v>
      </c>
      <c r="D11" s="19">
        <f t="shared" si="2"/>
        <v>9004762</v>
      </c>
      <c r="E11" s="19">
        <f t="shared" si="2"/>
        <v>2458729</v>
      </c>
      <c r="F11" s="19">
        <f t="shared" si="2"/>
        <v>-6689142</v>
      </c>
      <c r="G11" s="19">
        <f t="shared" si="2"/>
        <v>-13401265</v>
      </c>
      <c r="H11" s="19">
        <f t="shared" si="2"/>
        <v>-6189107</v>
      </c>
      <c r="I11" s="19">
        <f t="shared" si="2"/>
        <v>-7140109</v>
      </c>
      <c r="J11" s="19">
        <f t="shared" si="2"/>
        <v>-8209884</v>
      </c>
    </row>
    <row r="12" spans="1:12" x14ac:dyDescent="0.3">
      <c r="A12" s="13" t="s">
        <v>55</v>
      </c>
      <c r="B12" s="16" t="s">
        <v>57</v>
      </c>
      <c r="C12" s="17" t="s">
        <v>57</v>
      </c>
      <c r="D12" s="20" t="s">
        <v>56</v>
      </c>
      <c r="E12" s="21" t="s">
        <v>56</v>
      </c>
      <c r="F12" s="16" t="s">
        <v>57</v>
      </c>
      <c r="G12" s="17" t="s">
        <v>57</v>
      </c>
      <c r="H12" s="17" t="s">
        <v>57</v>
      </c>
      <c r="I12" s="17" t="s">
        <v>57</v>
      </c>
      <c r="J12" s="17" t="s">
        <v>57</v>
      </c>
      <c r="L12" s="8"/>
    </row>
    <row r="13" spans="1:12" x14ac:dyDescent="0.3">
      <c r="L13" s="8"/>
    </row>
    <row r="14" spans="1:12" x14ac:dyDescent="0.3">
      <c r="L14" s="1"/>
    </row>
  </sheetData>
  <phoneticPr fontId="2" type="noConversion"/>
  <pageMargins left="0.7" right="0.7" top="0.75" bottom="0.75" header="0.3" footer="0.3"/>
  <pageSetup paperSize="9"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4EAA-FEA1-4435-805F-1F305205A692}">
  <sheetPr>
    <pageSetUpPr fitToPage="1"/>
  </sheetPr>
  <dimension ref="A1:AC294"/>
  <sheetViews>
    <sheetView topLeftCell="L1" zoomScaleNormal="100" workbookViewId="0">
      <selection activeCell="S20" sqref="S20"/>
    </sheetView>
  </sheetViews>
  <sheetFormatPr defaultRowHeight="12" x14ac:dyDescent="0.3"/>
  <cols>
    <col min="1" max="1" width="17.125" style="24" customWidth="1"/>
    <col min="2" max="13" width="13.625" style="23" customWidth="1"/>
    <col min="14" max="14" width="13.625" style="25" customWidth="1"/>
    <col min="15" max="27" width="10.625" style="23" customWidth="1"/>
    <col min="28" max="28" width="14.5" style="23" customWidth="1"/>
    <col min="29" max="29" width="11.75" style="23" customWidth="1"/>
    <col min="30" max="254" width="9" style="23"/>
    <col min="255" max="268" width="10.625" style="23" customWidth="1"/>
    <col min="269" max="269" width="12.375" style="23" customWidth="1"/>
    <col min="270" max="284" width="10.625" style="23" customWidth="1"/>
    <col min="285" max="285" width="11.75" style="23" customWidth="1"/>
    <col min="286" max="510" width="9" style="23"/>
    <col min="511" max="524" width="10.625" style="23" customWidth="1"/>
    <col min="525" max="525" width="12.375" style="23" customWidth="1"/>
    <col min="526" max="540" width="10.625" style="23" customWidth="1"/>
    <col min="541" max="541" width="11.75" style="23" customWidth="1"/>
    <col min="542" max="766" width="9" style="23"/>
    <col min="767" max="780" width="10.625" style="23" customWidth="1"/>
    <col min="781" max="781" width="12.375" style="23" customWidth="1"/>
    <col min="782" max="796" width="10.625" style="23" customWidth="1"/>
    <col min="797" max="797" width="11.75" style="23" customWidth="1"/>
    <col min="798" max="1022" width="9" style="23"/>
    <col min="1023" max="1036" width="10.625" style="23" customWidth="1"/>
    <col min="1037" max="1037" width="12.375" style="23" customWidth="1"/>
    <col min="1038" max="1052" width="10.625" style="23" customWidth="1"/>
    <col min="1053" max="1053" width="11.75" style="23" customWidth="1"/>
    <col min="1054" max="1278" width="9" style="23"/>
    <col min="1279" max="1292" width="10.625" style="23" customWidth="1"/>
    <col min="1293" max="1293" width="12.375" style="23" customWidth="1"/>
    <col min="1294" max="1308" width="10.625" style="23" customWidth="1"/>
    <col min="1309" max="1309" width="11.75" style="23" customWidth="1"/>
    <col min="1310" max="1534" width="9" style="23"/>
    <col min="1535" max="1548" width="10.625" style="23" customWidth="1"/>
    <col min="1549" max="1549" width="12.375" style="23" customWidth="1"/>
    <col min="1550" max="1564" width="10.625" style="23" customWidth="1"/>
    <col min="1565" max="1565" width="11.75" style="23" customWidth="1"/>
    <col min="1566" max="1790" width="9" style="23"/>
    <col min="1791" max="1804" width="10.625" style="23" customWidth="1"/>
    <col min="1805" max="1805" width="12.375" style="23" customWidth="1"/>
    <col min="1806" max="1820" width="10.625" style="23" customWidth="1"/>
    <col min="1821" max="1821" width="11.75" style="23" customWidth="1"/>
    <col min="1822" max="2046" width="9" style="23"/>
    <col min="2047" max="2060" width="10.625" style="23" customWidth="1"/>
    <col min="2061" max="2061" width="12.375" style="23" customWidth="1"/>
    <col min="2062" max="2076" width="10.625" style="23" customWidth="1"/>
    <col min="2077" max="2077" width="11.75" style="23" customWidth="1"/>
    <col min="2078" max="2302" width="9" style="23"/>
    <col min="2303" max="2316" width="10.625" style="23" customWidth="1"/>
    <col min="2317" max="2317" width="12.375" style="23" customWidth="1"/>
    <col min="2318" max="2332" width="10.625" style="23" customWidth="1"/>
    <col min="2333" max="2333" width="11.75" style="23" customWidth="1"/>
    <col min="2334" max="2558" width="9" style="23"/>
    <col min="2559" max="2572" width="10.625" style="23" customWidth="1"/>
    <col min="2573" max="2573" width="12.375" style="23" customWidth="1"/>
    <col min="2574" max="2588" width="10.625" style="23" customWidth="1"/>
    <col min="2589" max="2589" width="11.75" style="23" customWidth="1"/>
    <col min="2590" max="2814" width="9" style="23"/>
    <col min="2815" max="2828" width="10.625" style="23" customWidth="1"/>
    <col min="2829" max="2829" width="12.375" style="23" customWidth="1"/>
    <col min="2830" max="2844" width="10.625" style="23" customWidth="1"/>
    <col min="2845" max="2845" width="11.75" style="23" customWidth="1"/>
    <col min="2846" max="3070" width="9" style="23"/>
    <col min="3071" max="3084" width="10.625" style="23" customWidth="1"/>
    <col min="3085" max="3085" width="12.375" style="23" customWidth="1"/>
    <col min="3086" max="3100" width="10.625" style="23" customWidth="1"/>
    <col min="3101" max="3101" width="11.75" style="23" customWidth="1"/>
    <col min="3102" max="3326" width="9" style="23"/>
    <col min="3327" max="3340" width="10.625" style="23" customWidth="1"/>
    <col min="3341" max="3341" width="12.375" style="23" customWidth="1"/>
    <col min="3342" max="3356" width="10.625" style="23" customWidth="1"/>
    <col min="3357" max="3357" width="11.75" style="23" customWidth="1"/>
    <col min="3358" max="3582" width="9" style="23"/>
    <col min="3583" max="3596" width="10.625" style="23" customWidth="1"/>
    <col min="3597" max="3597" width="12.375" style="23" customWidth="1"/>
    <col min="3598" max="3612" width="10.625" style="23" customWidth="1"/>
    <col min="3613" max="3613" width="11.75" style="23" customWidth="1"/>
    <col min="3614" max="3838" width="9" style="23"/>
    <col min="3839" max="3852" width="10.625" style="23" customWidth="1"/>
    <col min="3853" max="3853" width="12.375" style="23" customWidth="1"/>
    <col min="3854" max="3868" width="10.625" style="23" customWidth="1"/>
    <col min="3869" max="3869" width="11.75" style="23" customWidth="1"/>
    <col min="3870" max="4094" width="9" style="23"/>
    <col min="4095" max="4108" width="10.625" style="23" customWidth="1"/>
    <col min="4109" max="4109" width="12.375" style="23" customWidth="1"/>
    <col min="4110" max="4124" width="10.625" style="23" customWidth="1"/>
    <col min="4125" max="4125" width="11.75" style="23" customWidth="1"/>
    <col min="4126" max="4350" width="9" style="23"/>
    <col min="4351" max="4364" width="10.625" style="23" customWidth="1"/>
    <col min="4365" max="4365" width="12.375" style="23" customWidth="1"/>
    <col min="4366" max="4380" width="10.625" style="23" customWidth="1"/>
    <col min="4381" max="4381" width="11.75" style="23" customWidth="1"/>
    <col min="4382" max="4606" width="9" style="23"/>
    <col min="4607" max="4620" width="10.625" style="23" customWidth="1"/>
    <col min="4621" max="4621" width="12.375" style="23" customWidth="1"/>
    <col min="4622" max="4636" width="10.625" style="23" customWidth="1"/>
    <col min="4637" max="4637" width="11.75" style="23" customWidth="1"/>
    <col min="4638" max="4862" width="9" style="23"/>
    <col min="4863" max="4876" width="10.625" style="23" customWidth="1"/>
    <col min="4877" max="4877" width="12.375" style="23" customWidth="1"/>
    <col min="4878" max="4892" width="10.625" style="23" customWidth="1"/>
    <col min="4893" max="4893" width="11.75" style="23" customWidth="1"/>
    <col min="4894" max="5118" width="9" style="23"/>
    <col min="5119" max="5132" width="10.625" style="23" customWidth="1"/>
    <col min="5133" max="5133" width="12.375" style="23" customWidth="1"/>
    <col min="5134" max="5148" width="10.625" style="23" customWidth="1"/>
    <col min="5149" max="5149" width="11.75" style="23" customWidth="1"/>
    <col min="5150" max="5374" width="9" style="23"/>
    <col min="5375" max="5388" width="10.625" style="23" customWidth="1"/>
    <col min="5389" max="5389" width="12.375" style="23" customWidth="1"/>
    <col min="5390" max="5404" width="10.625" style="23" customWidth="1"/>
    <col min="5405" max="5405" width="11.75" style="23" customWidth="1"/>
    <col min="5406" max="5630" width="9" style="23"/>
    <col min="5631" max="5644" width="10.625" style="23" customWidth="1"/>
    <col min="5645" max="5645" width="12.375" style="23" customWidth="1"/>
    <col min="5646" max="5660" width="10.625" style="23" customWidth="1"/>
    <col min="5661" max="5661" width="11.75" style="23" customWidth="1"/>
    <col min="5662" max="5886" width="9" style="23"/>
    <col min="5887" max="5900" width="10.625" style="23" customWidth="1"/>
    <col min="5901" max="5901" width="12.375" style="23" customWidth="1"/>
    <col min="5902" max="5916" width="10.625" style="23" customWidth="1"/>
    <col min="5917" max="5917" width="11.75" style="23" customWidth="1"/>
    <col min="5918" max="6142" width="9" style="23"/>
    <col min="6143" max="6156" width="10.625" style="23" customWidth="1"/>
    <col min="6157" max="6157" width="12.375" style="23" customWidth="1"/>
    <col min="6158" max="6172" width="10.625" style="23" customWidth="1"/>
    <col min="6173" max="6173" width="11.75" style="23" customWidth="1"/>
    <col min="6174" max="6398" width="9" style="23"/>
    <col min="6399" max="6412" width="10.625" style="23" customWidth="1"/>
    <col min="6413" max="6413" width="12.375" style="23" customWidth="1"/>
    <col min="6414" max="6428" width="10.625" style="23" customWidth="1"/>
    <col min="6429" max="6429" width="11.75" style="23" customWidth="1"/>
    <col min="6430" max="6654" width="9" style="23"/>
    <col min="6655" max="6668" width="10.625" style="23" customWidth="1"/>
    <col min="6669" max="6669" width="12.375" style="23" customWidth="1"/>
    <col min="6670" max="6684" width="10.625" style="23" customWidth="1"/>
    <col min="6685" max="6685" width="11.75" style="23" customWidth="1"/>
    <col min="6686" max="6910" width="9" style="23"/>
    <col min="6911" max="6924" width="10.625" style="23" customWidth="1"/>
    <col min="6925" max="6925" width="12.375" style="23" customWidth="1"/>
    <col min="6926" max="6940" width="10.625" style="23" customWidth="1"/>
    <col min="6941" max="6941" width="11.75" style="23" customWidth="1"/>
    <col min="6942" max="7166" width="9" style="23"/>
    <col min="7167" max="7180" width="10.625" style="23" customWidth="1"/>
    <col min="7181" max="7181" width="12.375" style="23" customWidth="1"/>
    <col min="7182" max="7196" width="10.625" style="23" customWidth="1"/>
    <col min="7197" max="7197" width="11.75" style="23" customWidth="1"/>
    <col min="7198" max="7422" width="9" style="23"/>
    <col min="7423" max="7436" width="10.625" style="23" customWidth="1"/>
    <col min="7437" max="7437" width="12.375" style="23" customWidth="1"/>
    <col min="7438" max="7452" width="10.625" style="23" customWidth="1"/>
    <col min="7453" max="7453" width="11.75" style="23" customWidth="1"/>
    <col min="7454" max="7678" width="9" style="23"/>
    <col min="7679" max="7692" width="10.625" style="23" customWidth="1"/>
    <col min="7693" max="7693" width="12.375" style="23" customWidth="1"/>
    <col min="7694" max="7708" width="10.625" style="23" customWidth="1"/>
    <col min="7709" max="7709" width="11.75" style="23" customWidth="1"/>
    <col min="7710" max="7934" width="9" style="23"/>
    <col min="7935" max="7948" width="10.625" style="23" customWidth="1"/>
    <col min="7949" max="7949" width="12.375" style="23" customWidth="1"/>
    <col min="7950" max="7964" width="10.625" style="23" customWidth="1"/>
    <col min="7965" max="7965" width="11.75" style="23" customWidth="1"/>
    <col min="7966" max="8190" width="9" style="23"/>
    <col min="8191" max="8204" width="10.625" style="23" customWidth="1"/>
    <col min="8205" max="8205" width="12.375" style="23" customWidth="1"/>
    <col min="8206" max="8220" width="10.625" style="23" customWidth="1"/>
    <col min="8221" max="8221" width="11.75" style="23" customWidth="1"/>
    <col min="8222" max="8446" width="9" style="23"/>
    <col min="8447" max="8460" width="10.625" style="23" customWidth="1"/>
    <col min="8461" max="8461" width="12.375" style="23" customWidth="1"/>
    <col min="8462" max="8476" width="10.625" style="23" customWidth="1"/>
    <col min="8477" max="8477" width="11.75" style="23" customWidth="1"/>
    <col min="8478" max="8702" width="9" style="23"/>
    <col min="8703" max="8716" width="10.625" style="23" customWidth="1"/>
    <col min="8717" max="8717" width="12.375" style="23" customWidth="1"/>
    <col min="8718" max="8732" width="10.625" style="23" customWidth="1"/>
    <col min="8733" max="8733" width="11.75" style="23" customWidth="1"/>
    <col min="8734" max="8958" width="9" style="23"/>
    <col min="8959" max="8972" width="10.625" style="23" customWidth="1"/>
    <col min="8973" max="8973" width="12.375" style="23" customWidth="1"/>
    <col min="8974" max="8988" width="10.625" style="23" customWidth="1"/>
    <col min="8989" max="8989" width="11.75" style="23" customWidth="1"/>
    <col min="8990" max="9214" width="9" style="23"/>
    <col min="9215" max="9228" width="10.625" style="23" customWidth="1"/>
    <col min="9229" max="9229" width="12.375" style="23" customWidth="1"/>
    <col min="9230" max="9244" width="10.625" style="23" customWidth="1"/>
    <col min="9245" max="9245" width="11.75" style="23" customWidth="1"/>
    <col min="9246" max="9470" width="9" style="23"/>
    <col min="9471" max="9484" width="10.625" style="23" customWidth="1"/>
    <col min="9485" max="9485" width="12.375" style="23" customWidth="1"/>
    <col min="9486" max="9500" width="10.625" style="23" customWidth="1"/>
    <col min="9501" max="9501" width="11.75" style="23" customWidth="1"/>
    <col min="9502" max="9726" width="9" style="23"/>
    <col min="9727" max="9740" width="10.625" style="23" customWidth="1"/>
    <col min="9741" max="9741" width="12.375" style="23" customWidth="1"/>
    <col min="9742" max="9756" width="10.625" style="23" customWidth="1"/>
    <col min="9757" max="9757" width="11.75" style="23" customWidth="1"/>
    <col min="9758" max="9982" width="9" style="23"/>
    <col min="9983" max="9996" width="10.625" style="23" customWidth="1"/>
    <col min="9997" max="9997" width="12.375" style="23" customWidth="1"/>
    <col min="9998" max="10012" width="10.625" style="23" customWidth="1"/>
    <col min="10013" max="10013" width="11.75" style="23" customWidth="1"/>
    <col min="10014" max="10238" width="9" style="23"/>
    <col min="10239" max="10252" width="10.625" style="23" customWidth="1"/>
    <col min="10253" max="10253" width="12.375" style="23" customWidth="1"/>
    <col min="10254" max="10268" width="10.625" style="23" customWidth="1"/>
    <col min="10269" max="10269" width="11.75" style="23" customWidth="1"/>
    <col min="10270" max="10494" width="9" style="23"/>
    <col min="10495" max="10508" width="10.625" style="23" customWidth="1"/>
    <col min="10509" max="10509" width="12.375" style="23" customWidth="1"/>
    <col min="10510" max="10524" width="10.625" style="23" customWidth="1"/>
    <col min="10525" max="10525" width="11.75" style="23" customWidth="1"/>
    <col min="10526" max="10750" width="9" style="23"/>
    <col min="10751" max="10764" width="10.625" style="23" customWidth="1"/>
    <col min="10765" max="10765" width="12.375" style="23" customWidth="1"/>
    <col min="10766" max="10780" width="10.625" style="23" customWidth="1"/>
    <col min="10781" max="10781" width="11.75" style="23" customWidth="1"/>
    <col min="10782" max="11006" width="9" style="23"/>
    <col min="11007" max="11020" width="10.625" style="23" customWidth="1"/>
    <col min="11021" max="11021" width="12.375" style="23" customWidth="1"/>
    <col min="11022" max="11036" width="10.625" style="23" customWidth="1"/>
    <col min="11037" max="11037" width="11.75" style="23" customWidth="1"/>
    <col min="11038" max="11262" width="9" style="23"/>
    <col min="11263" max="11276" width="10.625" style="23" customWidth="1"/>
    <col min="11277" max="11277" width="12.375" style="23" customWidth="1"/>
    <col min="11278" max="11292" width="10.625" style="23" customWidth="1"/>
    <col min="11293" max="11293" width="11.75" style="23" customWidth="1"/>
    <col min="11294" max="11518" width="9" style="23"/>
    <col min="11519" max="11532" width="10.625" style="23" customWidth="1"/>
    <col min="11533" max="11533" width="12.375" style="23" customWidth="1"/>
    <col min="11534" max="11548" width="10.625" style="23" customWidth="1"/>
    <col min="11549" max="11549" width="11.75" style="23" customWidth="1"/>
    <col min="11550" max="11774" width="9" style="23"/>
    <col min="11775" max="11788" width="10.625" style="23" customWidth="1"/>
    <col min="11789" max="11789" width="12.375" style="23" customWidth="1"/>
    <col min="11790" max="11804" width="10.625" style="23" customWidth="1"/>
    <col min="11805" max="11805" width="11.75" style="23" customWidth="1"/>
    <col min="11806" max="12030" width="9" style="23"/>
    <col min="12031" max="12044" width="10.625" style="23" customWidth="1"/>
    <col min="12045" max="12045" width="12.375" style="23" customWidth="1"/>
    <col min="12046" max="12060" width="10.625" style="23" customWidth="1"/>
    <col min="12061" max="12061" width="11.75" style="23" customWidth="1"/>
    <col min="12062" max="12286" width="9" style="23"/>
    <col min="12287" max="12300" width="10.625" style="23" customWidth="1"/>
    <col min="12301" max="12301" width="12.375" style="23" customWidth="1"/>
    <col min="12302" max="12316" width="10.625" style="23" customWidth="1"/>
    <col min="12317" max="12317" width="11.75" style="23" customWidth="1"/>
    <col min="12318" max="12542" width="9" style="23"/>
    <col min="12543" max="12556" width="10.625" style="23" customWidth="1"/>
    <col min="12557" max="12557" width="12.375" style="23" customWidth="1"/>
    <col min="12558" max="12572" width="10.625" style="23" customWidth="1"/>
    <col min="12573" max="12573" width="11.75" style="23" customWidth="1"/>
    <col min="12574" max="12798" width="9" style="23"/>
    <col min="12799" max="12812" width="10.625" style="23" customWidth="1"/>
    <col min="12813" max="12813" width="12.375" style="23" customWidth="1"/>
    <col min="12814" max="12828" width="10.625" style="23" customWidth="1"/>
    <col min="12829" max="12829" width="11.75" style="23" customWidth="1"/>
    <col min="12830" max="13054" width="9" style="23"/>
    <col min="13055" max="13068" width="10.625" style="23" customWidth="1"/>
    <col min="13069" max="13069" width="12.375" style="23" customWidth="1"/>
    <col min="13070" max="13084" width="10.625" style="23" customWidth="1"/>
    <col min="13085" max="13085" width="11.75" style="23" customWidth="1"/>
    <col min="13086" max="13310" width="9" style="23"/>
    <col min="13311" max="13324" width="10.625" style="23" customWidth="1"/>
    <col min="13325" max="13325" width="12.375" style="23" customWidth="1"/>
    <col min="13326" max="13340" width="10.625" style="23" customWidth="1"/>
    <col min="13341" max="13341" width="11.75" style="23" customWidth="1"/>
    <col min="13342" max="13566" width="9" style="23"/>
    <col min="13567" max="13580" width="10.625" style="23" customWidth="1"/>
    <col min="13581" max="13581" width="12.375" style="23" customWidth="1"/>
    <col min="13582" max="13596" width="10.625" style="23" customWidth="1"/>
    <col min="13597" max="13597" width="11.75" style="23" customWidth="1"/>
    <col min="13598" max="13822" width="9" style="23"/>
    <col min="13823" max="13836" width="10.625" style="23" customWidth="1"/>
    <col min="13837" max="13837" width="12.375" style="23" customWidth="1"/>
    <col min="13838" max="13852" width="10.625" style="23" customWidth="1"/>
    <col min="13853" max="13853" width="11.75" style="23" customWidth="1"/>
    <col min="13854" max="14078" width="9" style="23"/>
    <col min="14079" max="14092" width="10.625" style="23" customWidth="1"/>
    <col min="14093" max="14093" width="12.375" style="23" customWidth="1"/>
    <col min="14094" max="14108" width="10.625" style="23" customWidth="1"/>
    <col min="14109" max="14109" width="11.75" style="23" customWidth="1"/>
    <col min="14110" max="14334" width="9" style="23"/>
    <col min="14335" max="14348" width="10.625" style="23" customWidth="1"/>
    <col min="14349" max="14349" width="12.375" style="23" customWidth="1"/>
    <col min="14350" max="14364" width="10.625" style="23" customWidth="1"/>
    <col min="14365" max="14365" width="11.75" style="23" customWidth="1"/>
    <col min="14366" max="14590" width="9" style="23"/>
    <col min="14591" max="14604" width="10.625" style="23" customWidth="1"/>
    <col min="14605" max="14605" width="12.375" style="23" customWidth="1"/>
    <col min="14606" max="14620" width="10.625" style="23" customWidth="1"/>
    <col min="14621" max="14621" width="11.75" style="23" customWidth="1"/>
    <col min="14622" max="14846" width="9" style="23"/>
    <col min="14847" max="14860" width="10.625" style="23" customWidth="1"/>
    <col min="14861" max="14861" width="12.375" style="23" customWidth="1"/>
    <col min="14862" max="14876" width="10.625" style="23" customWidth="1"/>
    <col min="14877" max="14877" width="11.75" style="23" customWidth="1"/>
    <col min="14878" max="15102" width="9" style="23"/>
    <col min="15103" max="15116" width="10.625" style="23" customWidth="1"/>
    <col min="15117" max="15117" width="12.375" style="23" customWidth="1"/>
    <col min="15118" max="15132" width="10.625" style="23" customWidth="1"/>
    <col min="15133" max="15133" width="11.75" style="23" customWidth="1"/>
    <col min="15134" max="15358" width="9" style="23"/>
    <col min="15359" max="15372" width="10.625" style="23" customWidth="1"/>
    <col min="15373" max="15373" width="12.375" style="23" customWidth="1"/>
    <col min="15374" max="15388" width="10.625" style="23" customWidth="1"/>
    <col min="15389" max="15389" width="11.75" style="23" customWidth="1"/>
    <col min="15390" max="15614" width="9" style="23"/>
    <col min="15615" max="15628" width="10.625" style="23" customWidth="1"/>
    <col min="15629" max="15629" width="12.375" style="23" customWidth="1"/>
    <col min="15630" max="15644" width="10.625" style="23" customWidth="1"/>
    <col min="15645" max="15645" width="11.75" style="23" customWidth="1"/>
    <col min="15646" max="15870" width="9" style="23"/>
    <col min="15871" max="15884" width="10.625" style="23" customWidth="1"/>
    <col min="15885" max="15885" width="12.375" style="23" customWidth="1"/>
    <col min="15886" max="15900" width="10.625" style="23" customWidth="1"/>
    <col min="15901" max="15901" width="11.75" style="23" customWidth="1"/>
    <col min="15902" max="16126" width="9" style="23"/>
    <col min="16127" max="16140" width="10.625" style="23" customWidth="1"/>
    <col min="16141" max="16141" width="12.375" style="23" customWidth="1"/>
    <col min="16142" max="16156" width="10.625" style="23" customWidth="1"/>
    <col min="16157" max="16157" width="11.75" style="23" customWidth="1"/>
    <col min="16158" max="16384" width="9" style="23"/>
  </cols>
  <sheetData>
    <row r="1" spans="1:29" ht="16.5" x14ac:dyDescent="0.3">
      <c r="A1" s="79" t="s">
        <v>58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9" ht="16.5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9" ht="17.25" thickBot="1" x14ac:dyDescent="0.35">
      <c r="A3" s="38" t="s">
        <v>59</v>
      </c>
      <c r="B3" s="37"/>
      <c r="C3" s="37"/>
      <c r="D3" s="37"/>
      <c r="E3" s="37"/>
      <c r="F3" s="37"/>
      <c r="G3" s="37"/>
      <c r="H3" s="37"/>
      <c r="I3" s="37"/>
      <c r="J3" s="37"/>
      <c r="K3" s="39"/>
      <c r="L3" s="39"/>
      <c r="M3" s="37"/>
      <c r="N3" s="40"/>
      <c r="O3" s="37"/>
      <c r="P3" s="38" t="s">
        <v>60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26" t="s">
        <v>61</v>
      </c>
    </row>
    <row r="4" spans="1:29" ht="17.25" thickBot="1" x14ac:dyDescent="0.35">
      <c r="A4" s="41"/>
      <c r="B4" s="41" t="s">
        <v>62</v>
      </c>
      <c r="C4" s="41" t="s">
        <v>63</v>
      </c>
      <c r="D4" s="41" t="s">
        <v>64</v>
      </c>
      <c r="E4" s="41" t="s">
        <v>11</v>
      </c>
      <c r="F4" s="41" t="s">
        <v>12</v>
      </c>
      <c r="G4" s="41" t="s">
        <v>13</v>
      </c>
      <c r="H4" s="41" t="s">
        <v>14</v>
      </c>
      <c r="I4" s="41" t="s">
        <v>15</v>
      </c>
      <c r="J4" s="41" t="s">
        <v>16</v>
      </c>
      <c r="K4" s="41" t="s">
        <v>17</v>
      </c>
      <c r="L4" s="41" t="s">
        <v>18</v>
      </c>
      <c r="M4" s="42" t="s">
        <v>19</v>
      </c>
      <c r="N4" s="43" t="s">
        <v>65</v>
      </c>
      <c r="O4" s="37"/>
      <c r="P4" s="69"/>
      <c r="Q4" s="41" t="s">
        <v>62</v>
      </c>
      <c r="R4" s="41" t="s">
        <v>63</v>
      </c>
      <c r="S4" s="41" t="s">
        <v>64</v>
      </c>
      <c r="T4" s="41" t="s">
        <v>11</v>
      </c>
      <c r="U4" s="41" t="s">
        <v>12</v>
      </c>
      <c r="V4" s="41" t="s">
        <v>13</v>
      </c>
      <c r="W4" s="41" t="s">
        <v>14</v>
      </c>
      <c r="X4" s="41" t="s">
        <v>15</v>
      </c>
      <c r="Y4" s="41" t="s">
        <v>16</v>
      </c>
      <c r="Z4" s="41" t="s">
        <v>17</v>
      </c>
      <c r="AA4" s="41" t="s">
        <v>18</v>
      </c>
      <c r="AB4" s="42" t="s">
        <v>19</v>
      </c>
      <c r="AC4" s="28" t="s">
        <v>66</v>
      </c>
    </row>
    <row r="5" spans="1:29" s="25" customFormat="1" ht="17.25" thickBot="1" x14ac:dyDescent="0.35">
      <c r="A5" s="41" t="s">
        <v>67</v>
      </c>
      <c r="B5" s="44">
        <v>3624546</v>
      </c>
      <c r="C5" s="44">
        <v>4074318</v>
      </c>
      <c r="D5" s="44">
        <v>7202364</v>
      </c>
      <c r="E5" s="44">
        <v>8964091</v>
      </c>
      <c r="F5" s="44">
        <v>8007862</v>
      </c>
      <c r="G5" s="44">
        <v>7584043</v>
      </c>
      <c r="H5" s="44">
        <v>4597229</v>
      </c>
      <c r="I5" s="44">
        <v>4516705</v>
      </c>
      <c r="J5" s="44">
        <v>6702394</v>
      </c>
      <c r="K5" s="44">
        <v>6322082</v>
      </c>
      <c r="L5" s="44">
        <v>5677278</v>
      </c>
      <c r="M5" s="5">
        <v>5224242</v>
      </c>
      <c r="N5" s="45">
        <f t="shared" ref="N5:N16" si="0">SUM(B5:M5)</f>
        <v>72497154</v>
      </c>
      <c r="O5" s="40"/>
      <c r="P5" s="70" t="s">
        <v>67</v>
      </c>
      <c r="Q5" s="46">
        <f t="shared" ref="Q5:AB6" si="1">IF(B5,B20/B5,"")</f>
        <v>0.14445533316448461</v>
      </c>
      <c r="R5" s="46">
        <f t="shared" si="1"/>
        <v>0.39638732175544472</v>
      </c>
      <c r="S5" s="46">
        <f t="shared" si="1"/>
        <v>0.26674714024450863</v>
      </c>
      <c r="T5" s="46">
        <f t="shared" si="1"/>
        <v>0.27524932533594315</v>
      </c>
      <c r="U5" s="46">
        <f t="shared" si="1"/>
        <v>0.22383103005521324</v>
      </c>
      <c r="V5" s="46">
        <f t="shared" si="1"/>
        <v>0.26437165506577426</v>
      </c>
      <c r="W5" s="46">
        <f t="shared" si="1"/>
        <v>0.26008645642842676</v>
      </c>
      <c r="X5" s="46">
        <f t="shared" si="1"/>
        <v>0.25352330958076741</v>
      </c>
      <c r="Y5" s="46">
        <f t="shared" si="1"/>
        <v>0.22077283131967473</v>
      </c>
      <c r="Z5" s="46">
        <f t="shared" si="1"/>
        <v>0.28640770556281936</v>
      </c>
      <c r="AA5" s="46">
        <f t="shared" si="1"/>
        <v>0.27372061047565399</v>
      </c>
      <c r="AB5" s="46">
        <f t="shared" si="1"/>
        <v>0.28556468096232906</v>
      </c>
      <c r="AC5" s="30">
        <f>AVERAGE(Q5:AB5)</f>
        <v>0.26259311666258661</v>
      </c>
    </row>
    <row r="6" spans="1:29" ht="17.25" thickBot="1" x14ac:dyDescent="0.35">
      <c r="A6" s="41" t="s">
        <v>68</v>
      </c>
      <c r="B6" s="44">
        <v>1197909</v>
      </c>
      <c r="C6" s="44">
        <v>1103727</v>
      </c>
      <c r="D6" s="44">
        <v>1365455</v>
      </c>
      <c r="E6" s="44">
        <v>1352271</v>
      </c>
      <c r="F6" s="44">
        <v>1300363</v>
      </c>
      <c r="G6" s="44">
        <v>1886002</v>
      </c>
      <c r="H6" s="44">
        <v>1493638</v>
      </c>
      <c r="I6" s="44">
        <v>1311624</v>
      </c>
      <c r="J6" s="44">
        <v>1304142</v>
      </c>
      <c r="K6" s="44">
        <v>1210235</v>
      </c>
      <c r="L6" s="44">
        <v>1170610</v>
      </c>
      <c r="M6" s="6">
        <v>1117701</v>
      </c>
      <c r="N6" s="45">
        <f t="shared" si="0"/>
        <v>15813677</v>
      </c>
      <c r="O6" s="37"/>
      <c r="P6" s="70" t="s">
        <v>68</v>
      </c>
      <c r="Q6" s="46">
        <f t="shared" si="1"/>
        <v>0.14793277285670281</v>
      </c>
      <c r="R6" s="46">
        <f t="shared" si="1"/>
        <v>0.64474276700669642</v>
      </c>
      <c r="S6" s="46">
        <f t="shared" si="1"/>
        <v>0.14179156398416645</v>
      </c>
      <c r="T6" s="46">
        <f t="shared" si="1"/>
        <v>0.30785988903111877</v>
      </c>
      <c r="U6" s="46">
        <f t="shared" si="1"/>
        <v>0.27569071097839604</v>
      </c>
      <c r="V6" s="46">
        <f t="shared" si="1"/>
        <v>0.27661688587816979</v>
      </c>
      <c r="W6" s="46">
        <f t="shared" si="1"/>
        <v>0.25999606330315644</v>
      </c>
      <c r="X6" s="46">
        <f t="shared" si="1"/>
        <v>0.35805230767354057</v>
      </c>
      <c r="Y6" s="46">
        <f t="shared" si="1"/>
        <v>0.26844469390603171</v>
      </c>
      <c r="Z6" s="46">
        <f t="shared" si="1"/>
        <v>0.16968605270877143</v>
      </c>
      <c r="AA6" s="46">
        <f t="shared" si="1"/>
        <v>0.13745824826372574</v>
      </c>
      <c r="AB6" s="46">
        <f t="shared" si="1"/>
        <v>0.29682356909406005</v>
      </c>
      <c r="AC6" s="30">
        <f t="shared" ref="AC6:AC14" si="2">AVERAGE(Q6:AB6)</f>
        <v>0.27375796039037809</v>
      </c>
    </row>
    <row r="7" spans="1:29" ht="17.25" thickBot="1" x14ac:dyDescent="0.35">
      <c r="A7" s="47" t="s">
        <v>69</v>
      </c>
      <c r="B7" s="48">
        <f t="shared" ref="B7:M7" si="3">SUM(B5:B6)</f>
        <v>4822455</v>
      </c>
      <c r="C7" s="48">
        <f t="shared" si="3"/>
        <v>5178045</v>
      </c>
      <c r="D7" s="48">
        <f t="shared" si="3"/>
        <v>8567819</v>
      </c>
      <c r="E7" s="48">
        <f t="shared" si="3"/>
        <v>10316362</v>
      </c>
      <c r="F7" s="48">
        <f t="shared" si="3"/>
        <v>9308225</v>
      </c>
      <c r="G7" s="48">
        <f t="shared" si="3"/>
        <v>9470045</v>
      </c>
      <c r="H7" s="48">
        <f t="shared" si="3"/>
        <v>6090867</v>
      </c>
      <c r="I7" s="48">
        <f t="shared" si="3"/>
        <v>5828329</v>
      </c>
      <c r="J7" s="48">
        <f t="shared" si="3"/>
        <v>8006536</v>
      </c>
      <c r="K7" s="48">
        <f t="shared" si="3"/>
        <v>7532317</v>
      </c>
      <c r="L7" s="48">
        <f t="shared" si="3"/>
        <v>6847888</v>
      </c>
      <c r="M7" s="49">
        <f t="shared" si="3"/>
        <v>6341943</v>
      </c>
      <c r="N7" s="50">
        <f t="shared" si="0"/>
        <v>88310831</v>
      </c>
      <c r="O7" s="37"/>
      <c r="P7" s="71" t="s">
        <v>69</v>
      </c>
      <c r="Q7" s="51">
        <f t="shared" ref="Q7:Z7" si="4">AVERAGE(Q5:Q6)</f>
        <v>0.14619405301059371</v>
      </c>
      <c r="R7" s="51">
        <f t="shared" si="4"/>
        <v>0.52056504438107054</v>
      </c>
      <c r="S7" s="51">
        <f t="shared" si="4"/>
        <v>0.20426935211433755</v>
      </c>
      <c r="T7" s="51">
        <f t="shared" si="4"/>
        <v>0.29155460718353099</v>
      </c>
      <c r="U7" s="51">
        <f t="shared" si="4"/>
        <v>0.24976087051680462</v>
      </c>
      <c r="V7" s="51">
        <f t="shared" si="4"/>
        <v>0.27049427047197205</v>
      </c>
      <c r="W7" s="51">
        <f t="shared" si="4"/>
        <v>0.26004125986579163</v>
      </c>
      <c r="X7" s="51">
        <f t="shared" si="4"/>
        <v>0.30578780862715399</v>
      </c>
      <c r="Y7" s="51">
        <f t="shared" si="4"/>
        <v>0.24460876261285322</v>
      </c>
      <c r="Z7" s="51">
        <f t="shared" si="4"/>
        <v>0.22804687913579541</v>
      </c>
      <c r="AA7" s="51">
        <f t="shared" ref="AA7:AB7" si="5">AVERAGE(AA5:AA6)</f>
        <v>0.20558942936968988</v>
      </c>
      <c r="AB7" s="51">
        <f t="shared" si="5"/>
        <v>0.29119412502819453</v>
      </c>
      <c r="AC7" s="32"/>
    </row>
    <row r="8" spans="1:29" ht="17.25" thickBot="1" x14ac:dyDescent="0.35">
      <c r="A8" s="52" t="s">
        <v>70</v>
      </c>
      <c r="B8" s="3">
        <v>3360549</v>
      </c>
      <c r="C8" s="3">
        <v>3516907</v>
      </c>
      <c r="D8" s="3">
        <v>8452364</v>
      </c>
      <c r="E8" s="3">
        <v>11302912</v>
      </c>
      <c r="F8" s="3">
        <v>7367820</v>
      </c>
      <c r="G8" s="3">
        <v>8433726</v>
      </c>
      <c r="H8" s="3">
        <v>4740636</v>
      </c>
      <c r="I8" s="3">
        <v>5262000</v>
      </c>
      <c r="J8" s="3">
        <v>7311538</v>
      </c>
      <c r="K8" s="3">
        <v>11156999</v>
      </c>
      <c r="L8" s="3">
        <v>6409748</v>
      </c>
      <c r="M8" s="6">
        <v>7456285</v>
      </c>
      <c r="N8" s="45">
        <f t="shared" si="0"/>
        <v>84771484</v>
      </c>
      <c r="O8" s="37"/>
      <c r="P8" s="72" t="s">
        <v>70</v>
      </c>
      <c r="Q8" s="53">
        <f t="shared" ref="Q8:AB14" si="6">IF(B8,B23/B8,"")</f>
        <v>0.20241335567492097</v>
      </c>
      <c r="R8" s="53">
        <f t="shared" si="6"/>
        <v>0.34441570391255727</v>
      </c>
      <c r="S8" s="53">
        <f t="shared" si="6"/>
        <v>0.25080439034570684</v>
      </c>
      <c r="T8" s="53">
        <f t="shared" si="6"/>
        <v>0.27939817632836567</v>
      </c>
      <c r="U8" s="53">
        <f t="shared" si="6"/>
        <v>0.24390918887812135</v>
      </c>
      <c r="V8" s="53">
        <f t="shared" si="6"/>
        <v>0.2213845932390974</v>
      </c>
      <c r="W8" s="53">
        <f t="shared" si="6"/>
        <v>0.28380537970010777</v>
      </c>
      <c r="X8" s="53">
        <f t="shared" si="6"/>
        <v>0.2782039148612695</v>
      </c>
      <c r="Y8" s="53">
        <f t="shared" si="6"/>
        <v>0.25260622320502196</v>
      </c>
      <c r="Z8" s="53">
        <f t="shared" si="6"/>
        <v>0.24331211287192908</v>
      </c>
      <c r="AA8" s="53">
        <f t="shared" si="6"/>
        <v>0.35155984291426123</v>
      </c>
      <c r="AB8" s="53">
        <f t="shared" si="6"/>
        <v>0.25832676728424409</v>
      </c>
      <c r="AC8" s="30">
        <f t="shared" si="2"/>
        <v>0.26751163743463363</v>
      </c>
    </row>
    <row r="9" spans="1:29" ht="17.25" thickBot="1" x14ac:dyDescent="0.35">
      <c r="A9" s="52" t="s">
        <v>71</v>
      </c>
      <c r="B9" s="3">
        <v>2822363</v>
      </c>
      <c r="C9" s="3">
        <v>3608272</v>
      </c>
      <c r="D9" s="3">
        <v>7909000</v>
      </c>
      <c r="E9" s="3">
        <v>11143817</v>
      </c>
      <c r="F9" s="3">
        <v>7698545</v>
      </c>
      <c r="G9" s="3">
        <v>6648544</v>
      </c>
      <c r="H9" s="3">
        <v>4315363</v>
      </c>
      <c r="I9" s="3">
        <v>4259366</v>
      </c>
      <c r="J9" s="3">
        <v>7348276</v>
      </c>
      <c r="K9" s="3">
        <v>7535118</v>
      </c>
      <c r="L9" s="3">
        <v>9404923</v>
      </c>
      <c r="M9" s="6">
        <v>4828025</v>
      </c>
      <c r="N9" s="45">
        <f t="shared" si="0"/>
        <v>77521612</v>
      </c>
      <c r="O9" s="37"/>
      <c r="P9" s="72" t="s">
        <v>71</v>
      </c>
      <c r="Q9" s="53">
        <f t="shared" si="6"/>
        <v>0.27993564258034848</v>
      </c>
      <c r="R9" s="53">
        <f t="shared" si="6"/>
        <v>0.38449706673997969</v>
      </c>
      <c r="S9" s="53">
        <f t="shared" si="6"/>
        <v>0.28694367176634217</v>
      </c>
      <c r="T9" s="53">
        <f t="shared" si="6"/>
        <v>0.30444398001151668</v>
      </c>
      <c r="U9" s="53">
        <f t="shared" si="6"/>
        <v>0.2247279193665816</v>
      </c>
      <c r="V9" s="53">
        <f t="shared" si="6"/>
        <v>0.23154392901663884</v>
      </c>
      <c r="W9" s="53">
        <f t="shared" si="6"/>
        <v>0.26685773595407847</v>
      </c>
      <c r="X9" s="53">
        <f t="shared" si="6"/>
        <v>0.3901383445329657</v>
      </c>
      <c r="Y9" s="53">
        <f t="shared" si="6"/>
        <v>0.24925424684647121</v>
      </c>
      <c r="Z9" s="53">
        <f t="shared" si="6"/>
        <v>0.34391472037995957</v>
      </c>
      <c r="AA9" s="53">
        <f t="shared" si="6"/>
        <v>0.23226973788089494</v>
      </c>
      <c r="AB9" s="53">
        <f t="shared" si="6"/>
        <v>0.28912008533510081</v>
      </c>
      <c r="AC9" s="30">
        <f t="shared" si="2"/>
        <v>0.29030392336757321</v>
      </c>
    </row>
    <row r="10" spans="1:29" ht="17.25" thickBot="1" x14ac:dyDescent="0.35">
      <c r="A10" s="52" t="s">
        <v>72</v>
      </c>
      <c r="B10" s="3">
        <v>2648821</v>
      </c>
      <c r="C10" s="3">
        <v>2592181</v>
      </c>
      <c r="D10" s="3">
        <v>7700272</v>
      </c>
      <c r="E10" s="3">
        <v>7630453</v>
      </c>
      <c r="F10" s="3">
        <v>5715364</v>
      </c>
      <c r="G10" s="3">
        <v>5542271</v>
      </c>
      <c r="H10" s="3">
        <v>3792089</v>
      </c>
      <c r="I10" s="3">
        <v>3247454</v>
      </c>
      <c r="J10" s="3">
        <v>6377108</v>
      </c>
      <c r="K10" s="3">
        <v>6407784</v>
      </c>
      <c r="L10" s="3">
        <v>6508703</v>
      </c>
      <c r="M10" s="7">
        <v>5802980</v>
      </c>
      <c r="N10" s="45">
        <f t="shared" si="0"/>
        <v>63965480</v>
      </c>
      <c r="O10" s="37"/>
      <c r="P10" s="72" t="s">
        <v>72</v>
      </c>
      <c r="Q10" s="53">
        <f t="shared" si="6"/>
        <v>0.17645208943903723</v>
      </c>
      <c r="R10" s="53">
        <f t="shared" si="6"/>
        <v>0.4678504317406848</v>
      </c>
      <c r="S10" s="53">
        <f t="shared" si="6"/>
        <v>0.18276627111353988</v>
      </c>
      <c r="T10" s="53">
        <f t="shared" si="6"/>
        <v>0.23225003810389763</v>
      </c>
      <c r="U10" s="53">
        <f t="shared" si="6"/>
        <v>0.19796464407166367</v>
      </c>
      <c r="V10" s="53">
        <f t="shared" si="6"/>
        <v>0.19737991880945555</v>
      </c>
      <c r="W10" s="53">
        <f t="shared" si="6"/>
        <v>0.20331273870418126</v>
      </c>
      <c r="X10" s="53">
        <f t="shared" si="6"/>
        <v>0.24090348931809349</v>
      </c>
      <c r="Y10" s="53">
        <f t="shared" si="6"/>
        <v>0.19960968200632637</v>
      </c>
      <c r="Z10" s="53">
        <f t="shared" si="6"/>
        <v>0.25315819010128932</v>
      </c>
      <c r="AA10" s="53">
        <f t="shared" si="6"/>
        <v>0.18756578691637951</v>
      </c>
      <c r="AB10" s="53">
        <f t="shared" si="6"/>
        <v>0.25058383795911754</v>
      </c>
      <c r="AC10" s="30">
        <f t="shared" si="2"/>
        <v>0.2324830931903055</v>
      </c>
    </row>
    <row r="11" spans="1:29" ht="17.25" thickBot="1" x14ac:dyDescent="0.35">
      <c r="A11" s="52" t="s">
        <v>73</v>
      </c>
      <c r="B11" s="3">
        <v>4932183</v>
      </c>
      <c r="C11" s="3">
        <v>6015365</v>
      </c>
      <c r="D11" s="3">
        <v>17752909</v>
      </c>
      <c r="E11" s="3">
        <v>19533271</v>
      </c>
      <c r="F11" s="3">
        <v>17614911</v>
      </c>
      <c r="G11" s="3">
        <v>12735090</v>
      </c>
      <c r="H11" s="3">
        <v>5619544</v>
      </c>
      <c r="I11" s="3">
        <v>5366273</v>
      </c>
      <c r="J11" s="3">
        <v>17225138</v>
      </c>
      <c r="K11" s="3">
        <v>18969952</v>
      </c>
      <c r="L11" s="3">
        <v>18389207</v>
      </c>
      <c r="M11" s="6">
        <v>12993607</v>
      </c>
      <c r="N11" s="45">
        <f t="shared" si="0"/>
        <v>157147450</v>
      </c>
      <c r="O11" s="37"/>
      <c r="P11" s="72" t="s">
        <v>73</v>
      </c>
      <c r="Q11" s="53">
        <f t="shared" si="6"/>
        <v>0.2587028907889265</v>
      </c>
      <c r="R11" s="53">
        <f t="shared" si="6"/>
        <v>0.44897325432455054</v>
      </c>
      <c r="S11" s="53">
        <f t="shared" si="6"/>
        <v>0.2629239523505697</v>
      </c>
      <c r="T11" s="53">
        <f t="shared" si="6"/>
        <v>0.33273152253915894</v>
      </c>
      <c r="U11" s="53">
        <f t="shared" si="6"/>
        <v>0.26676450423167053</v>
      </c>
      <c r="V11" s="53">
        <f t="shared" si="6"/>
        <v>0.28428460262157551</v>
      </c>
      <c r="W11" s="53">
        <f t="shared" si="6"/>
        <v>0.23073366806986476</v>
      </c>
      <c r="X11" s="53">
        <f t="shared" si="6"/>
        <v>0.33632839775389733</v>
      </c>
      <c r="Y11" s="53">
        <f t="shared" si="6"/>
        <v>0.24092129189327829</v>
      </c>
      <c r="Z11" s="53">
        <f t="shared" si="6"/>
        <v>0.27671119041313336</v>
      </c>
      <c r="AA11" s="53">
        <f t="shared" si="6"/>
        <v>0.26824974018727399</v>
      </c>
      <c r="AB11" s="53">
        <f t="shared" si="6"/>
        <v>0.33561042749715303</v>
      </c>
      <c r="AC11" s="30">
        <f t="shared" si="2"/>
        <v>0.29524462022258774</v>
      </c>
    </row>
    <row r="12" spans="1:29" ht="17.25" thickBot="1" x14ac:dyDescent="0.35">
      <c r="A12" s="52" t="s">
        <v>74</v>
      </c>
      <c r="B12" s="3">
        <v>1732454</v>
      </c>
      <c r="C12" s="3">
        <v>2352093</v>
      </c>
      <c r="D12" s="3">
        <v>13360907</v>
      </c>
      <c r="E12" s="3">
        <v>13656454</v>
      </c>
      <c r="F12" s="3">
        <v>11682090</v>
      </c>
      <c r="G12" s="3">
        <v>8934997</v>
      </c>
      <c r="H12" s="3">
        <v>4806544</v>
      </c>
      <c r="I12" s="3">
        <v>1793091</v>
      </c>
      <c r="J12" s="3">
        <v>11235374</v>
      </c>
      <c r="K12" s="3">
        <v>10851174</v>
      </c>
      <c r="L12" s="3">
        <v>10095581</v>
      </c>
      <c r="M12" s="6">
        <v>7125159</v>
      </c>
      <c r="N12" s="45">
        <f t="shared" si="0"/>
        <v>97625918</v>
      </c>
      <c r="O12" s="37"/>
      <c r="P12" s="72" t="s">
        <v>74</v>
      </c>
      <c r="Q12" s="53">
        <f t="shared" si="6"/>
        <v>0.26322199608185848</v>
      </c>
      <c r="R12" s="53">
        <f t="shared" si="6"/>
        <v>0.46069606941562258</v>
      </c>
      <c r="S12" s="53">
        <f t="shared" si="6"/>
        <v>0.27842870248254853</v>
      </c>
      <c r="T12" s="53">
        <f t="shared" si="6"/>
        <v>0.33730205513085609</v>
      </c>
      <c r="U12" s="53">
        <f t="shared" si="6"/>
        <v>0.2534563592644809</v>
      </c>
      <c r="V12" s="53">
        <f t="shared" si="6"/>
        <v>0.26364810195235655</v>
      </c>
      <c r="W12" s="53">
        <f t="shared" si="6"/>
        <v>0.17610678275284694</v>
      </c>
      <c r="X12" s="53">
        <f t="shared" si="6"/>
        <v>0.6313845755736881</v>
      </c>
      <c r="Y12" s="53">
        <f t="shared" si="6"/>
        <v>0.2542425378986049</v>
      </c>
      <c r="Z12" s="53">
        <f t="shared" si="6"/>
        <v>0.30775149306425276</v>
      </c>
      <c r="AA12" s="53">
        <f t="shared" si="6"/>
        <v>0.22278658355571612</v>
      </c>
      <c r="AB12" s="53">
        <f t="shared" si="6"/>
        <v>0.34600350672876212</v>
      </c>
      <c r="AC12" s="30">
        <f t="shared" si="2"/>
        <v>0.31625239699179947</v>
      </c>
    </row>
    <row r="13" spans="1:29" ht="17.25" thickBot="1" x14ac:dyDescent="0.35">
      <c r="A13" s="52" t="s">
        <v>75</v>
      </c>
      <c r="B13" s="3">
        <v>2597093</v>
      </c>
      <c r="C13" s="3">
        <v>2444455</v>
      </c>
      <c r="D13" s="3">
        <v>4590365</v>
      </c>
      <c r="E13" s="3">
        <v>5830092</v>
      </c>
      <c r="F13" s="3">
        <v>5519092</v>
      </c>
      <c r="G13" s="3">
        <v>4183181</v>
      </c>
      <c r="H13" s="3">
        <v>2313725</v>
      </c>
      <c r="I13" s="3">
        <v>3240365</v>
      </c>
      <c r="J13" s="3">
        <v>4278227</v>
      </c>
      <c r="K13" s="3">
        <v>3878540</v>
      </c>
      <c r="L13" s="3">
        <v>4354398</v>
      </c>
      <c r="M13" s="6">
        <v>3801910</v>
      </c>
      <c r="N13" s="45">
        <f t="shared" si="0"/>
        <v>47031443</v>
      </c>
      <c r="O13" s="37"/>
      <c r="P13" s="72" t="s">
        <v>75</v>
      </c>
      <c r="Q13" s="53">
        <f t="shared" si="6"/>
        <v>0.19525677363113297</v>
      </c>
      <c r="R13" s="53">
        <f t="shared" si="6"/>
        <v>0.35933981194172115</v>
      </c>
      <c r="S13" s="53">
        <f t="shared" si="6"/>
        <v>0.15020809892023837</v>
      </c>
      <c r="T13" s="53">
        <f t="shared" si="6"/>
        <v>0.26820674527949129</v>
      </c>
      <c r="U13" s="53">
        <f t="shared" si="6"/>
        <v>0.19238943652325419</v>
      </c>
      <c r="V13" s="53">
        <f t="shared" si="6"/>
        <v>0.19836531099180266</v>
      </c>
      <c r="W13" s="53">
        <f t="shared" si="6"/>
        <v>0.27506293963197875</v>
      </c>
      <c r="X13" s="53">
        <f t="shared" si="6"/>
        <v>0.23646718810998144</v>
      </c>
      <c r="Y13" s="53">
        <f t="shared" si="6"/>
        <v>0.19623374355778692</v>
      </c>
      <c r="Z13" s="53">
        <f t="shared" si="6"/>
        <v>0.25435602056443918</v>
      </c>
      <c r="AA13" s="53">
        <f t="shared" si="6"/>
        <v>0.20687819533262691</v>
      </c>
      <c r="AB13" s="53">
        <f t="shared" si="6"/>
        <v>0.28927302329618532</v>
      </c>
      <c r="AC13" s="30">
        <f t="shared" si="2"/>
        <v>0.23516977398171993</v>
      </c>
    </row>
    <row r="14" spans="1:29" ht="17.25" thickBot="1" x14ac:dyDescent="0.35">
      <c r="A14" s="52" t="s">
        <v>76</v>
      </c>
      <c r="B14" s="3">
        <v>164999</v>
      </c>
      <c r="C14" s="3">
        <v>194547</v>
      </c>
      <c r="D14" s="3">
        <v>982272</v>
      </c>
      <c r="E14" s="3">
        <v>1203817</v>
      </c>
      <c r="F14" s="3">
        <v>452182</v>
      </c>
      <c r="G14" s="3">
        <v>443818</v>
      </c>
      <c r="H14" s="3">
        <v>127818</v>
      </c>
      <c r="I14" s="3">
        <v>125362</v>
      </c>
      <c r="J14" s="3">
        <v>385356</v>
      </c>
      <c r="K14" s="3">
        <v>471086</v>
      </c>
      <c r="L14" s="3">
        <v>351541</v>
      </c>
      <c r="M14" s="6">
        <v>370089</v>
      </c>
      <c r="N14" s="45">
        <f t="shared" si="0"/>
        <v>5272887</v>
      </c>
      <c r="O14" s="37"/>
      <c r="P14" s="72" t="s">
        <v>76</v>
      </c>
      <c r="Q14" s="53">
        <f t="shared" si="6"/>
        <v>0.63545839671755588</v>
      </c>
      <c r="R14" s="53">
        <f t="shared" si="6"/>
        <v>0.65547142849799789</v>
      </c>
      <c r="S14" s="53">
        <f t="shared" si="6"/>
        <v>0.58151917187907221</v>
      </c>
      <c r="T14" s="53">
        <f t="shared" si="6"/>
        <v>0.30918320641758673</v>
      </c>
      <c r="U14" s="53">
        <f t="shared" si="6"/>
        <v>0.41753099415721989</v>
      </c>
      <c r="V14" s="53">
        <f t="shared" si="6"/>
        <v>0.36048560445948563</v>
      </c>
      <c r="W14" s="53">
        <f t="shared" si="6"/>
        <v>0</v>
      </c>
      <c r="X14" s="53">
        <f t="shared" si="6"/>
        <v>0.48459660822258738</v>
      </c>
      <c r="Y14" s="53">
        <f t="shared" si="6"/>
        <v>0.67496029645314981</v>
      </c>
      <c r="Z14" s="53">
        <f t="shared" si="6"/>
        <v>0.13373354334452733</v>
      </c>
      <c r="AA14" s="53">
        <f t="shared" si="6"/>
        <v>4.6367280061216189E-2</v>
      </c>
      <c r="AB14" s="53">
        <f t="shared" si="6"/>
        <v>0</v>
      </c>
      <c r="AC14" s="30">
        <f t="shared" si="2"/>
        <v>0.35827554418419988</v>
      </c>
    </row>
    <row r="15" spans="1:29" ht="17.25" thickBot="1" x14ac:dyDescent="0.35">
      <c r="A15" s="47" t="s">
        <v>77</v>
      </c>
      <c r="B15" s="54">
        <f t="shared" ref="B15:M15" si="7">SUM(B8:B14)</f>
        <v>18258462</v>
      </c>
      <c r="C15" s="54">
        <f t="shared" si="7"/>
        <v>20723820</v>
      </c>
      <c r="D15" s="54">
        <f t="shared" si="7"/>
        <v>60748089</v>
      </c>
      <c r="E15" s="54">
        <f t="shared" si="7"/>
        <v>70300816</v>
      </c>
      <c r="F15" s="54">
        <f t="shared" si="7"/>
        <v>56050004</v>
      </c>
      <c r="G15" s="54">
        <f t="shared" si="7"/>
        <v>46921627</v>
      </c>
      <c r="H15" s="54">
        <f t="shared" si="7"/>
        <v>25715719</v>
      </c>
      <c r="I15" s="54">
        <f t="shared" si="7"/>
        <v>23293911</v>
      </c>
      <c r="J15" s="54">
        <f t="shared" si="7"/>
        <v>54161017</v>
      </c>
      <c r="K15" s="54">
        <f t="shared" si="7"/>
        <v>59270653</v>
      </c>
      <c r="L15" s="54">
        <f t="shared" si="7"/>
        <v>55514101</v>
      </c>
      <c r="M15" s="55">
        <f t="shared" si="7"/>
        <v>42378055</v>
      </c>
      <c r="N15" s="50">
        <f t="shared" si="0"/>
        <v>533336274</v>
      </c>
      <c r="O15" s="37"/>
      <c r="P15" s="71" t="s">
        <v>77</v>
      </c>
      <c r="Q15" s="51">
        <f t="shared" ref="Q15:Z15" si="8">AVERAGE(Q8:Q14)</f>
        <v>0.28734873498768293</v>
      </c>
      <c r="R15" s="51">
        <f t="shared" si="8"/>
        <v>0.445891966653302</v>
      </c>
      <c r="S15" s="51">
        <f t="shared" si="8"/>
        <v>0.28479917983685965</v>
      </c>
      <c r="T15" s="51">
        <f t="shared" si="8"/>
        <v>0.29478796054441042</v>
      </c>
      <c r="U15" s="51">
        <f t="shared" si="8"/>
        <v>0.25667757807042746</v>
      </c>
      <c r="V15" s="51">
        <f t="shared" si="8"/>
        <v>0.25101315158434456</v>
      </c>
      <c r="W15" s="51">
        <f t="shared" si="8"/>
        <v>0.20512560640186542</v>
      </c>
      <c r="X15" s="51">
        <f t="shared" si="8"/>
        <v>0.37114607405321187</v>
      </c>
      <c r="Y15" s="51">
        <f t="shared" si="8"/>
        <v>0.29540400312294851</v>
      </c>
      <c r="Z15" s="51">
        <f t="shared" si="8"/>
        <v>0.25899103867707579</v>
      </c>
      <c r="AA15" s="51">
        <f t="shared" ref="AA15:AB15" si="9">AVERAGE(AA8:AA14)</f>
        <v>0.21652530954976698</v>
      </c>
      <c r="AB15" s="51">
        <f t="shared" si="9"/>
        <v>0.25270252115722325</v>
      </c>
      <c r="AC15" s="32"/>
    </row>
    <row r="16" spans="1:29" ht="17.25" thickBot="1" x14ac:dyDescent="0.35">
      <c r="A16" s="56" t="s">
        <v>78</v>
      </c>
      <c r="B16" s="57">
        <f t="shared" ref="B16:L16" si="10">B7+B15</f>
        <v>23080917</v>
      </c>
      <c r="C16" s="57">
        <f t="shared" si="10"/>
        <v>25901865</v>
      </c>
      <c r="D16" s="57">
        <f t="shared" si="10"/>
        <v>69315908</v>
      </c>
      <c r="E16" s="57">
        <f t="shared" si="10"/>
        <v>80617178</v>
      </c>
      <c r="F16" s="57">
        <f t="shared" si="10"/>
        <v>65358229</v>
      </c>
      <c r="G16" s="57">
        <f t="shared" si="10"/>
        <v>56391672</v>
      </c>
      <c r="H16" s="57">
        <f t="shared" si="10"/>
        <v>31806586</v>
      </c>
      <c r="I16" s="57">
        <f t="shared" si="10"/>
        <v>29122240</v>
      </c>
      <c r="J16" s="57">
        <f t="shared" si="10"/>
        <v>62167553</v>
      </c>
      <c r="K16" s="57">
        <f t="shared" si="10"/>
        <v>66802970</v>
      </c>
      <c r="L16" s="57">
        <f t="shared" si="10"/>
        <v>62361989</v>
      </c>
      <c r="M16" s="58">
        <f>M7+M15</f>
        <v>48719998</v>
      </c>
      <c r="N16" s="59">
        <f t="shared" si="0"/>
        <v>621647105</v>
      </c>
      <c r="O16" s="37"/>
      <c r="P16" s="73" t="s">
        <v>79</v>
      </c>
      <c r="Q16" s="60">
        <f t="shared" ref="Q16:Z16" si="11">AVERAGE(Q7,Q15)</f>
        <v>0.21677139399913831</v>
      </c>
      <c r="R16" s="60">
        <f t="shared" si="11"/>
        <v>0.48322850551718627</v>
      </c>
      <c r="S16" s="60">
        <f t="shared" si="11"/>
        <v>0.2445342659755986</v>
      </c>
      <c r="T16" s="60">
        <f t="shared" si="11"/>
        <v>0.29317128386397073</v>
      </c>
      <c r="U16" s="60">
        <f t="shared" si="11"/>
        <v>0.25321922429361604</v>
      </c>
      <c r="V16" s="60">
        <f t="shared" si="11"/>
        <v>0.26075371102815831</v>
      </c>
      <c r="W16" s="60">
        <f t="shared" si="11"/>
        <v>0.23258343313382851</v>
      </c>
      <c r="X16" s="60">
        <f t="shared" si="11"/>
        <v>0.33846694134018296</v>
      </c>
      <c r="Y16" s="60">
        <f t="shared" si="11"/>
        <v>0.27000638286790085</v>
      </c>
      <c r="Z16" s="60">
        <f t="shared" si="11"/>
        <v>0.2435189589064356</v>
      </c>
      <c r="AA16" s="60">
        <f t="shared" ref="AA16:AB16" si="12">AVERAGE(AA7,AA15)</f>
        <v>0.21105736945972842</v>
      </c>
      <c r="AB16" s="60">
        <f t="shared" si="12"/>
        <v>0.27194832309270889</v>
      </c>
      <c r="AC16" s="34"/>
    </row>
    <row r="17" spans="1:29" ht="16.5" x14ac:dyDescent="0.3">
      <c r="A17" s="61"/>
      <c r="B17" s="62"/>
      <c r="C17" s="62"/>
      <c r="D17" s="62"/>
      <c r="E17" s="62"/>
      <c r="F17" s="62"/>
      <c r="G17" s="62"/>
      <c r="H17" s="62"/>
      <c r="I17" s="62"/>
      <c r="J17" s="63"/>
      <c r="K17" s="63"/>
      <c r="L17" s="63"/>
      <c r="M17" s="61"/>
      <c r="N17" s="40"/>
      <c r="O17" s="37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35"/>
    </row>
    <row r="18" spans="1:29" ht="17.25" thickBot="1" x14ac:dyDescent="0.35">
      <c r="A18" s="65" t="s">
        <v>80</v>
      </c>
      <c r="B18" s="37"/>
      <c r="C18" s="37"/>
      <c r="D18" s="37"/>
      <c r="E18" s="37"/>
      <c r="F18" s="39"/>
      <c r="G18" s="37"/>
      <c r="H18" s="37"/>
      <c r="I18" s="37"/>
      <c r="J18" s="37"/>
      <c r="K18" s="37"/>
      <c r="L18" s="37"/>
      <c r="M18" s="37"/>
      <c r="N18" s="40"/>
      <c r="O18" s="37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35"/>
    </row>
    <row r="19" spans="1:29" ht="17.25" thickBot="1" x14ac:dyDescent="0.35">
      <c r="A19" s="41"/>
      <c r="B19" s="41" t="s">
        <v>81</v>
      </c>
      <c r="C19" s="41" t="s">
        <v>63</v>
      </c>
      <c r="D19" s="41" t="s">
        <v>64</v>
      </c>
      <c r="E19" s="41" t="s">
        <v>11</v>
      </c>
      <c r="F19" s="41" t="s">
        <v>12</v>
      </c>
      <c r="G19" s="41" t="s">
        <v>13</v>
      </c>
      <c r="H19" s="41" t="s">
        <v>14</v>
      </c>
      <c r="I19" s="41" t="s">
        <v>15</v>
      </c>
      <c r="J19" s="41" t="s">
        <v>16</v>
      </c>
      <c r="K19" s="41" t="s">
        <v>17</v>
      </c>
      <c r="L19" s="41" t="s">
        <v>18</v>
      </c>
      <c r="M19" s="42" t="s">
        <v>19</v>
      </c>
      <c r="N19" s="43" t="s">
        <v>65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 spans="1:29" s="25" customFormat="1" ht="17.25" thickBot="1" x14ac:dyDescent="0.35">
      <c r="A20" s="41" t="s">
        <v>40</v>
      </c>
      <c r="B20" s="44">
        <f t="shared" ref="B20:L21" si="13">B35+B51+B67</f>
        <v>523585</v>
      </c>
      <c r="C20" s="44">
        <f t="shared" si="13"/>
        <v>1615008</v>
      </c>
      <c r="D20" s="44">
        <f t="shared" si="13"/>
        <v>1921210</v>
      </c>
      <c r="E20" s="44">
        <f t="shared" si="13"/>
        <v>2467360</v>
      </c>
      <c r="F20" s="44">
        <f t="shared" si="13"/>
        <v>1792408</v>
      </c>
      <c r="G20" s="44">
        <f t="shared" si="13"/>
        <v>2005006</v>
      </c>
      <c r="H20" s="44">
        <f t="shared" si="13"/>
        <v>1195677</v>
      </c>
      <c r="I20" s="44">
        <f t="shared" si="13"/>
        <v>1145090</v>
      </c>
      <c r="J20" s="44">
        <f t="shared" si="13"/>
        <v>1479706.5</v>
      </c>
      <c r="K20" s="44">
        <f t="shared" si="13"/>
        <v>1810693</v>
      </c>
      <c r="L20" s="44">
        <f t="shared" si="13"/>
        <v>1553988</v>
      </c>
      <c r="M20" s="66">
        <f>M35+M51+M67</f>
        <v>1491859</v>
      </c>
      <c r="N20" s="45">
        <f t="shared" ref="N20:N31" si="14">SUM(B20:M20)</f>
        <v>19001590.5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9" ht="17.25" thickBot="1" x14ac:dyDescent="0.35">
      <c r="A21" s="41" t="s">
        <v>41</v>
      </c>
      <c r="B21" s="44">
        <f t="shared" si="13"/>
        <v>177210</v>
      </c>
      <c r="C21" s="44">
        <f t="shared" si="13"/>
        <v>711620</v>
      </c>
      <c r="D21" s="44">
        <f t="shared" si="13"/>
        <v>193610</v>
      </c>
      <c r="E21" s="44">
        <f t="shared" si="13"/>
        <v>416310</v>
      </c>
      <c r="F21" s="44">
        <f t="shared" si="13"/>
        <v>358498</v>
      </c>
      <c r="G21" s="44">
        <f t="shared" si="13"/>
        <v>521700</v>
      </c>
      <c r="H21" s="44">
        <f t="shared" si="13"/>
        <v>388340</v>
      </c>
      <c r="I21" s="44">
        <f t="shared" si="13"/>
        <v>469630</v>
      </c>
      <c r="J21" s="44">
        <f t="shared" si="13"/>
        <v>350090</v>
      </c>
      <c r="K21" s="44">
        <f t="shared" si="13"/>
        <v>205360</v>
      </c>
      <c r="L21" s="44">
        <f t="shared" si="13"/>
        <v>160910</v>
      </c>
      <c r="M21" s="66">
        <f>M36+M52+M68</f>
        <v>331760</v>
      </c>
      <c r="N21" s="45">
        <f t="shared" si="14"/>
        <v>4285038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</row>
    <row r="22" spans="1:29" ht="17.25" thickBot="1" x14ac:dyDescent="0.35">
      <c r="A22" s="47" t="s">
        <v>82</v>
      </c>
      <c r="B22" s="48">
        <f t="shared" ref="B22:M22" si="15">SUM(B20:B21)</f>
        <v>700795</v>
      </c>
      <c r="C22" s="48">
        <f t="shared" si="15"/>
        <v>2326628</v>
      </c>
      <c r="D22" s="48">
        <f t="shared" si="15"/>
        <v>2114820</v>
      </c>
      <c r="E22" s="48">
        <f t="shared" si="15"/>
        <v>2883670</v>
      </c>
      <c r="F22" s="48">
        <f t="shared" si="15"/>
        <v>2150906</v>
      </c>
      <c r="G22" s="48">
        <f t="shared" si="15"/>
        <v>2526706</v>
      </c>
      <c r="H22" s="48">
        <f t="shared" si="15"/>
        <v>1584017</v>
      </c>
      <c r="I22" s="48">
        <f t="shared" si="15"/>
        <v>1614720</v>
      </c>
      <c r="J22" s="48">
        <f t="shared" si="15"/>
        <v>1829796.5</v>
      </c>
      <c r="K22" s="48">
        <f t="shared" si="15"/>
        <v>2016053</v>
      </c>
      <c r="L22" s="48">
        <f t="shared" si="15"/>
        <v>1714898</v>
      </c>
      <c r="M22" s="49">
        <f t="shared" si="15"/>
        <v>1823619</v>
      </c>
      <c r="N22" s="50">
        <f t="shared" si="14"/>
        <v>23286628.5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</row>
    <row r="23" spans="1:29" ht="17.25" thickBot="1" x14ac:dyDescent="0.35">
      <c r="A23" s="52" t="s">
        <v>42</v>
      </c>
      <c r="B23" s="3">
        <f t="shared" ref="B23:M29" si="16">B38+B54+B70</f>
        <v>680220</v>
      </c>
      <c r="C23" s="3">
        <f t="shared" si="16"/>
        <v>1211278</v>
      </c>
      <c r="D23" s="3">
        <f t="shared" si="16"/>
        <v>2119890</v>
      </c>
      <c r="E23" s="3">
        <f t="shared" si="16"/>
        <v>3158013</v>
      </c>
      <c r="F23" s="3">
        <f t="shared" si="16"/>
        <v>1797079</v>
      </c>
      <c r="G23" s="3">
        <f t="shared" si="16"/>
        <v>1867097</v>
      </c>
      <c r="H23" s="3">
        <f t="shared" si="16"/>
        <v>1345418</v>
      </c>
      <c r="I23" s="3">
        <f t="shared" si="16"/>
        <v>1463909</v>
      </c>
      <c r="J23" s="3">
        <f t="shared" si="16"/>
        <v>1846940</v>
      </c>
      <c r="K23" s="3">
        <f t="shared" si="16"/>
        <v>2714633</v>
      </c>
      <c r="L23" s="3">
        <f t="shared" si="16"/>
        <v>2253410</v>
      </c>
      <c r="M23" s="4">
        <f t="shared" si="16"/>
        <v>1926158</v>
      </c>
      <c r="N23" s="45">
        <f t="shared" si="14"/>
        <v>22384045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spans="1:29" ht="17.25" thickBot="1" x14ac:dyDescent="0.35">
      <c r="A24" s="52" t="s">
        <v>43</v>
      </c>
      <c r="B24" s="3">
        <f t="shared" ref="B24:L29" si="17">B39+B55+B71</f>
        <v>790080</v>
      </c>
      <c r="C24" s="3">
        <f t="shared" si="17"/>
        <v>1387370</v>
      </c>
      <c r="D24" s="3">
        <f t="shared" si="17"/>
        <v>2269437.5</v>
      </c>
      <c r="E24" s="3">
        <f t="shared" si="17"/>
        <v>3392668</v>
      </c>
      <c r="F24" s="3">
        <f t="shared" si="17"/>
        <v>1730078</v>
      </c>
      <c r="G24" s="3">
        <f t="shared" si="17"/>
        <v>1539430</v>
      </c>
      <c r="H24" s="3">
        <f t="shared" si="17"/>
        <v>1151588</v>
      </c>
      <c r="I24" s="3">
        <f t="shared" si="17"/>
        <v>1661742</v>
      </c>
      <c r="J24" s="3">
        <f t="shared" si="17"/>
        <v>1831589</v>
      </c>
      <c r="K24" s="3">
        <f t="shared" si="17"/>
        <v>2591438</v>
      </c>
      <c r="L24" s="3">
        <f t="shared" si="17"/>
        <v>2184479</v>
      </c>
      <c r="M24" s="4">
        <f t="shared" si="16"/>
        <v>1395879</v>
      </c>
      <c r="N24" s="45">
        <f t="shared" si="14"/>
        <v>21925778.5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 spans="1:29" ht="17.25" thickBot="1" x14ac:dyDescent="0.35">
      <c r="A25" s="52" t="s">
        <v>83</v>
      </c>
      <c r="B25" s="3">
        <f t="shared" si="17"/>
        <v>467390</v>
      </c>
      <c r="C25" s="3">
        <f t="shared" si="17"/>
        <v>1212753</v>
      </c>
      <c r="D25" s="3">
        <f t="shared" si="17"/>
        <v>1407350</v>
      </c>
      <c r="E25" s="3">
        <f t="shared" si="17"/>
        <v>1772173</v>
      </c>
      <c r="F25" s="3">
        <f t="shared" si="17"/>
        <v>1131440</v>
      </c>
      <c r="G25" s="3">
        <f t="shared" si="17"/>
        <v>1093933</v>
      </c>
      <c r="H25" s="3">
        <f t="shared" si="17"/>
        <v>770980</v>
      </c>
      <c r="I25" s="3">
        <f t="shared" si="17"/>
        <v>782323</v>
      </c>
      <c r="J25" s="3">
        <f t="shared" si="17"/>
        <v>1272932.5</v>
      </c>
      <c r="K25" s="3">
        <f t="shared" si="17"/>
        <v>1622183</v>
      </c>
      <c r="L25" s="3">
        <f t="shared" si="17"/>
        <v>1220810</v>
      </c>
      <c r="M25" s="4">
        <f t="shared" si="16"/>
        <v>1454133</v>
      </c>
      <c r="N25" s="45">
        <f t="shared" si="14"/>
        <v>14208400.5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 spans="1:29" ht="17.25" thickBot="1" x14ac:dyDescent="0.35">
      <c r="A26" s="52" t="s">
        <v>84</v>
      </c>
      <c r="B26" s="3">
        <f t="shared" si="17"/>
        <v>1275970</v>
      </c>
      <c r="C26" s="3">
        <f t="shared" si="17"/>
        <v>2700738</v>
      </c>
      <c r="D26" s="3">
        <f t="shared" si="17"/>
        <v>4667665</v>
      </c>
      <c r="E26" s="3">
        <f t="shared" si="17"/>
        <v>6499335</v>
      </c>
      <c r="F26" s="3">
        <f t="shared" si="17"/>
        <v>4699033</v>
      </c>
      <c r="G26" s="3">
        <f t="shared" si="17"/>
        <v>3620390</v>
      </c>
      <c r="H26" s="3">
        <f t="shared" si="17"/>
        <v>1296618</v>
      </c>
      <c r="I26" s="3">
        <f t="shared" si="17"/>
        <v>1804830</v>
      </c>
      <c r="J26" s="3">
        <f t="shared" si="17"/>
        <v>4149902.5</v>
      </c>
      <c r="K26" s="3">
        <f t="shared" si="17"/>
        <v>5249198</v>
      </c>
      <c r="L26" s="3">
        <f t="shared" si="17"/>
        <v>4932900</v>
      </c>
      <c r="M26" s="4">
        <f t="shared" si="16"/>
        <v>4360790</v>
      </c>
      <c r="N26" s="45">
        <f t="shared" si="14"/>
        <v>45257369.5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 spans="1:29" ht="17.25" thickBot="1" x14ac:dyDescent="0.35">
      <c r="A27" s="52" t="s">
        <v>45</v>
      </c>
      <c r="B27" s="3">
        <f t="shared" si="17"/>
        <v>456020</v>
      </c>
      <c r="C27" s="3">
        <f t="shared" si="17"/>
        <v>1083600</v>
      </c>
      <c r="D27" s="3">
        <f t="shared" si="17"/>
        <v>3720060</v>
      </c>
      <c r="E27" s="3">
        <f t="shared" si="17"/>
        <v>4606350</v>
      </c>
      <c r="F27" s="3">
        <f t="shared" si="17"/>
        <v>2960900</v>
      </c>
      <c r="G27" s="3">
        <f t="shared" si="17"/>
        <v>2355695</v>
      </c>
      <c r="H27" s="3">
        <f t="shared" si="17"/>
        <v>846465</v>
      </c>
      <c r="I27" s="3">
        <f t="shared" si="17"/>
        <v>1132130</v>
      </c>
      <c r="J27" s="3">
        <f t="shared" si="17"/>
        <v>2856510</v>
      </c>
      <c r="K27" s="3">
        <f t="shared" si="17"/>
        <v>3339465</v>
      </c>
      <c r="L27" s="3">
        <f t="shared" si="17"/>
        <v>2249160</v>
      </c>
      <c r="M27" s="4">
        <f t="shared" si="16"/>
        <v>2465330</v>
      </c>
      <c r="N27" s="45">
        <f t="shared" si="14"/>
        <v>28071685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</row>
    <row r="28" spans="1:29" ht="17.25" thickBot="1" x14ac:dyDescent="0.35">
      <c r="A28" s="52" t="s">
        <v>47</v>
      </c>
      <c r="B28" s="3">
        <f t="shared" si="17"/>
        <v>507100</v>
      </c>
      <c r="C28" s="3">
        <f t="shared" si="17"/>
        <v>878390</v>
      </c>
      <c r="D28" s="3">
        <f t="shared" si="17"/>
        <v>689510</v>
      </c>
      <c r="E28" s="3">
        <f t="shared" si="17"/>
        <v>1563670</v>
      </c>
      <c r="F28" s="3">
        <f t="shared" si="17"/>
        <v>1061815</v>
      </c>
      <c r="G28" s="3">
        <f t="shared" si="17"/>
        <v>829798</v>
      </c>
      <c r="H28" s="3">
        <f t="shared" si="17"/>
        <v>636420</v>
      </c>
      <c r="I28" s="3">
        <f t="shared" si="17"/>
        <v>766240</v>
      </c>
      <c r="J28" s="3">
        <f t="shared" si="17"/>
        <v>839532.5</v>
      </c>
      <c r="K28" s="3">
        <f t="shared" si="17"/>
        <v>986530</v>
      </c>
      <c r="L28" s="3">
        <f t="shared" si="17"/>
        <v>900830</v>
      </c>
      <c r="M28" s="4">
        <f t="shared" si="16"/>
        <v>1099790</v>
      </c>
      <c r="N28" s="45">
        <f t="shared" si="14"/>
        <v>10759625.5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</row>
    <row r="29" spans="1:29" ht="17.25" thickBot="1" x14ac:dyDescent="0.35">
      <c r="A29" s="52" t="s">
        <v>46</v>
      </c>
      <c r="B29" s="3">
        <f t="shared" si="17"/>
        <v>104850</v>
      </c>
      <c r="C29" s="3">
        <f t="shared" si="17"/>
        <v>127520</v>
      </c>
      <c r="D29" s="3">
        <f t="shared" si="17"/>
        <v>571210</v>
      </c>
      <c r="E29" s="3">
        <f t="shared" si="17"/>
        <v>372200</v>
      </c>
      <c r="F29" s="3">
        <f t="shared" si="17"/>
        <v>188800</v>
      </c>
      <c r="G29" s="3">
        <f t="shared" si="17"/>
        <v>159990</v>
      </c>
      <c r="H29" s="3">
        <f t="shared" si="17"/>
        <v>0</v>
      </c>
      <c r="I29" s="3">
        <f t="shared" si="17"/>
        <v>60750</v>
      </c>
      <c r="J29" s="3">
        <f t="shared" si="17"/>
        <v>260100</v>
      </c>
      <c r="K29" s="3">
        <f t="shared" si="17"/>
        <v>63000</v>
      </c>
      <c r="L29" s="3">
        <f t="shared" si="17"/>
        <v>16300</v>
      </c>
      <c r="M29" s="4">
        <f t="shared" si="16"/>
        <v>0</v>
      </c>
      <c r="N29" s="45">
        <f t="shared" si="14"/>
        <v>1924720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 spans="1:29" ht="17.25" thickBot="1" x14ac:dyDescent="0.35">
      <c r="A30" s="47" t="s">
        <v>85</v>
      </c>
      <c r="B30" s="54">
        <f t="shared" ref="B30:M30" si="18">SUM(B23:B29)</f>
        <v>4281630</v>
      </c>
      <c r="C30" s="54">
        <f t="shared" si="18"/>
        <v>8601649</v>
      </c>
      <c r="D30" s="54">
        <f t="shared" si="18"/>
        <v>15445122.5</v>
      </c>
      <c r="E30" s="54">
        <f t="shared" si="18"/>
        <v>21364409</v>
      </c>
      <c r="F30" s="54">
        <f t="shared" si="18"/>
        <v>13569145</v>
      </c>
      <c r="G30" s="54">
        <f t="shared" si="18"/>
        <v>11466333</v>
      </c>
      <c r="H30" s="54">
        <f t="shared" si="18"/>
        <v>6047489</v>
      </c>
      <c r="I30" s="54">
        <f t="shared" si="18"/>
        <v>7671924</v>
      </c>
      <c r="J30" s="54">
        <f t="shared" si="18"/>
        <v>13057506.5</v>
      </c>
      <c r="K30" s="54">
        <f t="shared" si="18"/>
        <v>16566447</v>
      </c>
      <c r="L30" s="54">
        <f t="shared" si="18"/>
        <v>13757889</v>
      </c>
      <c r="M30" s="55">
        <f t="shared" si="18"/>
        <v>12702080</v>
      </c>
      <c r="N30" s="50">
        <f t="shared" si="14"/>
        <v>144531624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spans="1:29" ht="17.25" thickBot="1" x14ac:dyDescent="0.35">
      <c r="A31" s="56" t="s">
        <v>86</v>
      </c>
      <c r="B31" s="57">
        <f t="shared" ref="B31:M31" si="19">B22+B30</f>
        <v>4982425</v>
      </c>
      <c r="C31" s="57">
        <f t="shared" si="19"/>
        <v>10928277</v>
      </c>
      <c r="D31" s="57">
        <f t="shared" si="19"/>
        <v>17559942.5</v>
      </c>
      <c r="E31" s="57">
        <f t="shared" si="19"/>
        <v>24248079</v>
      </c>
      <c r="F31" s="57">
        <f t="shared" si="19"/>
        <v>15720051</v>
      </c>
      <c r="G31" s="57">
        <f t="shared" si="19"/>
        <v>13993039</v>
      </c>
      <c r="H31" s="57">
        <f t="shared" si="19"/>
        <v>7631506</v>
      </c>
      <c r="I31" s="57">
        <f t="shared" si="19"/>
        <v>9286644</v>
      </c>
      <c r="J31" s="57">
        <f t="shared" si="19"/>
        <v>14887303</v>
      </c>
      <c r="K31" s="57">
        <f t="shared" si="19"/>
        <v>18582500</v>
      </c>
      <c r="L31" s="57">
        <f t="shared" si="19"/>
        <v>15472787</v>
      </c>
      <c r="M31" s="58">
        <f t="shared" si="19"/>
        <v>14525699</v>
      </c>
      <c r="N31" s="59">
        <f t="shared" si="14"/>
        <v>167818252.5</v>
      </c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</row>
    <row r="32" spans="1:29" ht="16.5" x14ac:dyDescent="0.3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40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spans="1:29" ht="17.25" thickBot="1" x14ac:dyDescent="0.35">
      <c r="A33" s="38" t="s">
        <v>87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40"/>
      <c r="O33" s="37"/>
      <c r="P33" s="67" t="s">
        <v>88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25"/>
    </row>
    <row r="34" spans="1:29" ht="17.25" thickBot="1" x14ac:dyDescent="0.35">
      <c r="A34" s="41"/>
      <c r="B34" s="41" t="s">
        <v>62</v>
      </c>
      <c r="C34" s="41" t="s">
        <v>63</v>
      </c>
      <c r="D34" s="41" t="s">
        <v>64</v>
      </c>
      <c r="E34" s="41" t="s">
        <v>11</v>
      </c>
      <c r="F34" s="41" t="s">
        <v>12</v>
      </c>
      <c r="G34" s="41" t="s">
        <v>13</v>
      </c>
      <c r="H34" s="41" t="s">
        <v>14</v>
      </c>
      <c r="I34" s="41" t="s">
        <v>15</v>
      </c>
      <c r="J34" s="41" t="s">
        <v>16</v>
      </c>
      <c r="K34" s="41" t="s">
        <v>17</v>
      </c>
      <c r="L34" s="41" t="s">
        <v>18</v>
      </c>
      <c r="M34" s="42" t="s">
        <v>19</v>
      </c>
      <c r="N34" s="43" t="s">
        <v>65</v>
      </c>
      <c r="O34" s="37"/>
      <c r="P34" s="68">
        <v>2100</v>
      </c>
      <c r="Q34" s="41" t="s">
        <v>62</v>
      </c>
      <c r="R34" s="41" t="s">
        <v>63</v>
      </c>
      <c r="S34" s="41" t="s">
        <v>64</v>
      </c>
      <c r="T34" s="41" t="s">
        <v>11</v>
      </c>
      <c r="U34" s="41" t="s">
        <v>12</v>
      </c>
      <c r="V34" s="41" t="s">
        <v>13</v>
      </c>
      <c r="W34" s="41" t="s">
        <v>14</v>
      </c>
      <c r="X34" s="41" t="s">
        <v>15</v>
      </c>
      <c r="Y34" s="41" t="s">
        <v>16</v>
      </c>
      <c r="Z34" s="41" t="s">
        <v>17</v>
      </c>
      <c r="AA34" s="41" t="s">
        <v>18</v>
      </c>
      <c r="AB34" s="42" t="s">
        <v>19</v>
      </c>
      <c r="AC34" s="27" t="s">
        <v>65</v>
      </c>
    </row>
    <row r="35" spans="1:29" ht="17.25" thickBot="1" x14ac:dyDescent="0.35">
      <c r="A35" s="41" t="s">
        <v>67</v>
      </c>
      <c r="B35" s="44">
        <f t="shared" ref="B35:M36" si="20">$P$34*Q35</f>
        <v>220500</v>
      </c>
      <c r="C35" s="44">
        <f t="shared" si="20"/>
        <v>189000</v>
      </c>
      <c r="D35" s="44">
        <f t="shared" si="20"/>
        <v>409500</v>
      </c>
      <c r="E35" s="44">
        <f t="shared" si="20"/>
        <v>409500</v>
      </c>
      <c r="F35" s="44">
        <f t="shared" si="20"/>
        <v>312900</v>
      </c>
      <c r="G35" s="44">
        <f t="shared" si="20"/>
        <v>315000</v>
      </c>
      <c r="H35" s="44">
        <f t="shared" si="20"/>
        <v>220500</v>
      </c>
      <c r="I35" s="44">
        <f t="shared" si="20"/>
        <v>157500</v>
      </c>
      <c r="J35" s="44">
        <f t="shared" si="20"/>
        <v>315000</v>
      </c>
      <c r="K35" s="44">
        <f t="shared" si="20"/>
        <v>409500</v>
      </c>
      <c r="L35" s="44">
        <f t="shared" si="20"/>
        <v>346500</v>
      </c>
      <c r="M35" s="44">
        <f t="shared" si="20"/>
        <v>315000</v>
      </c>
      <c r="N35" s="45">
        <f t="shared" ref="N35:N46" si="21">SUM(B35:M35)</f>
        <v>3620400</v>
      </c>
      <c r="O35" s="37"/>
      <c r="P35" s="41" t="s">
        <v>67</v>
      </c>
      <c r="Q35" s="3">
        <v>105</v>
      </c>
      <c r="R35" s="3">
        <v>90</v>
      </c>
      <c r="S35" s="3">
        <v>195</v>
      </c>
      <c r="T35" s="3">
        <v>195</v>
      </c>
      <c r="U35" s="3">
        <v>149</v>
      </c>
      <c r="V35" s="3">
        <v>150</v>
      </c>
      <c r="W35" s="3">
        <v>105</v>
      </c>
      <c r="X35" s="3">
        <v>75</v>
      </c>
      <c r="Y35" s="3">
        <v>150</v>
      </c>
      <c r="Z35" s="3">
        <v>195</v>
      </c>
      <c r="AA35" s="3">
        <v>165</v>
      </c>
      <c r="AB35" s="4">
        <v>150</v>
      </c>
      <c r="AC35" s="29">
        <f t="shared" ref="AC35:AC46" si="22">SUM(Q35:AB35)</f>
        <v>1724</v>
      </c>
    </row>
    <row r="36" spans="1:29" s="25" customFormat="1" ht="17.25" thickBot="1" x14ac:dyDescent="0.35">
      <c r="A36" s="41" t="s">
        <v>68</v>
      </c>
      <c r="B36" s="44">
        <f t="shared" si="20"/>
        <v>63000</v>
      </c>
      <c r="C36" s="44">
        <f t="shared" si="20"/>
        <v>94500</v>
      </c>
      <c r="D36" s="44">
        <f t="shared" si="20"/>
        <v>94500</v>
      </c>
      <c r="E36" s="44">
        <f t="shared" si="20"/>
        <v>94500</v>
      </c>
      <c r="F36" s="44">
        <f t="shared" si="20"/>
        <v>63000</v>
      </c>
      <c r="G36" s="44">
        <f t="shared" si="20"/>
        <v>63000</v>
      </c>
      <c r="H36" s="44">
        <f t="shared" si="20"/>
        <v>63000</v>
      </c>
      <c r="I36" s="44">
        <f t="shared" si="20"/>
        <v>126000</v>
      </c>
      <c r="J36" s="44">
        <f t="shared" si="20"/>
        <v>63000</v>
      </c>
      <c r="K36" s="44">
        <f t="shared" si="20"/>
        <v>63000</v>
      </c>
      <c r="L36" s="44">
        <f t="shared" si="20"/>
        <v>63000</v>
      </c>
      <c r="M36" s="44">
        <f t="shared" si="20"/>
        <v>63000</v>
      </c>
      <c r="N36" s="45">
        <f t="shared" si="21"/>
        <v>913500</v>
      </c>
      <c r="O36" s="40"/>
      <c r="P36" s="41" t="s">
        <v>68</v>
      </c>
      <c r="Q36" s="3">
        <v>30</v>
      </c>
      <c r="R36" s="3">
        <v>45</v>
      </c>
      <c r="S36" s="3">
        <v>45</v>
      </c>
      <c r="T36" s="3">
        <v>45</v>
      </c>
      <c r="U36" s="3">
        <v>30</v>
      </c>
      <c r="V36" s="3">
        <v>30</v>
      </c>
      <c r="W36" s="3">
        <v>30</v>
      </c>
      <c r="X36" s="3">
        <v>60</v>
      </c>
      <c r="Y36" s="3">
        <v>30</v>
      </c>
      <c r="Z36" s="3">
        <v>30</v>
      </c>
      <c r="AA36" s="3">
        <v>30</v>
      </c>
      <c r="AB36" s="4">
        <v>30</v>
      </c>
      <c r="AC36" s="29">
        <f t="shared" si="22"/>
        <v>435</v>
      </c>
    </row>
    <row r="37" spans="1:29" ht="17.25" thickBot="1" x14ac:dyDescent="0.35">
      <c r="A37" s="47" t="s">
        <v>69</v>
      </c>
      <c r="B37" s="48">
        <f t="shared" ref="B37:M37" si="23">SUM(B35:B36)</f>
        <v>283500</v>
      </c>
      <c r="C37" s="48">
        <f t="shared" si="23"/>
        <v>283500</v>
      </c>
      <c r="D37" s="48">
        <f t="shared" si="23"/>
        <v>504000</v>
      </c>
      <c r="E37" s="48">
        <f t="shared" si="23"/>
        <v>504000</v>
      </c>
      <c r="F37" s="48">
        <f t="shared" si="23"/>
        <v>375900</v>
      </c>
      <c r="G37" s="48">
        <f t="shared" si="23"/>
        <v>378000</v>
      </c>
      <c r="H37" s="48">
        <f t="shared" si="23"/>
        <v>283500</v>
      </c>
      <c r="I37" s="48">
        <f t="shared" si="23"/>
        <v>283500</v>
      </c>
      <c r="J37" s="48">
        <f t="shared" si="23"/>
        <v>378000</v>
      </c>
      <c r="K37" s="48">
        <f t="shared" si="23"/>
        <v>472500</v>
      </c>
      <c r="L37" s="48">
        <f t="shared" si="23"/>
        <v>409500</v>
      </c>
      <c r="M37" s="49">
        <f t="shared" si="23"/>
        <v>378000</v>
      </c>
      <c r="N37" s="50">
        <f t="shared" si="21"/>
        <v>4533900</v>
      </c>
      <c r="O37" s="37"/>
      <c r="P37" s="47" t="s">
        <v>69</v>
      </c>
      <c r="Q37" s="48">
        <f t="shared" ref="Q37:AB37" si="24">SUM(Q35:Q36)</f>
        <v>135</v>
      </c>
      <c r="R37" s="48">
        <f t="shared" si="24"/>
        <v>135</v>
      </c>
      <c r="S37" s="48">
        <f t="shared" si="24"/>
        <v>240</v>
      </c>
      <c r="T37" s="48">
        <f t="shared" si="24"/>
        <v>240</v>
      </c>
      <c r="U37" s="48">
        <f t="shared" si="24"/>
        <v>179</v>
      </c>
      <c r="V37" s="48">
        <f t="shared" si="24"/>
        <v>180</v>
      </c>
      <c r="W37" s="48">
        <f t="shared" si="24"/>
        <v>135</v>
      </c>
      <c r="X37" s="48">
        <f t="shared" si="24"/>
        <v>135</v>
      </c>
      <c r="Y37" s="48">
        <f t="shared" si="24"/>
        <v>180</v>
      </c>
      <c r="Z37" s="48">
        <f t="shared" si="24"/>
        <v>225</v>
      </c>
      <c r="AA37" s="48">
        <f t="shared" si="24"/>
        <v>195</v>
      </c>
      <c r="AB37" s="49">
        <f t="shared" si="24"/>
        <v>180</v>
      </c>
      <c r="AC37" s="31">
        <f t="shared" si="22"/>
        <v>2159</v>
      </c>
    </row>
    <row r="38" spans="1:29" ht="17.25" thickBot="1" x14ac:dyDescent="0.35">
      <c r="A38" s="52" t="s">
        <v>70</v>
      </c>
      <c r="B38" s="3">
        <f t="shared" ref="B38:M44" si="25">$P$34*Q38</f>
        <v>252000</v>
      </c>
      <c r="C38" s="3">
        <f t="shared" si="25"/>
        <v>315000</v>
      </c>
      <c r="D38" s="3">
        <f t="shared" si="25"/>
        <v>630000</v>
      </c>
      <c r="E38" s="3">
        <f t="shared" si="25"/>
        <v>787500</v>
      </c>
      <c r="F38" s="3">
        <f t="shared" si="25"/>
        <v>504000</v>
      </c>
      <c r="G38" s="3">
        <f t="shared" si="25"/>
        <v>504000</v>
      </c>
      <c r="H38" s="3">
        <f t="shared" si="25"/>
        <v>371700</v>
      </c>
      <c r="I38" s="3">
        <f t="shared" si="25"/>
        <v>346500</v>
      </c>
      <c r="J38" s="3">
        <f t="shared" si="25"/>
        <v>441000</v>
      </c>
      <c r="K38" s="3">
        <f t="shared" si="25"/>
        <v>693000</v>
      </c>
      <c r="L38" s="3">
        <f t="shared" si="25"/>
        <v>630000</v>
      </c>
      <c r="M38" s="3">
        <f t="shared" si="25"/>
        <v>630000</v>
      </c>
      <c r="N38" s="45">
        <f t="shared" si="21"/>
        <v>6104700</v>
      </c>
      <c r="O38" s="37"/>
      <c r="P38" s="52" t="s">
        <v>70</v>
      </c>
      <c r="Q38" s="3">
        <v>120</v>
      </c>
      <c r="R38" s="3">
        <v>150</v>
      </c>
      <c r="S38" s="3">
        <v>300</v>
      </c>
      <c r="T38" s="3">
        <v>375</v>
      </c>
      <c r="U38" s="3">
        <v>240</v>
      </c>
      <c r="V38" s="3">
        <v>240</v>
      </c>
      <c r="W38" s="3">
        <v>177</v>
      </c>
      <c r="X38" s="3">
        <v>165</v>
      </c>
      <c r="Y38" s="3">
        <v>210</v>
      </c>
      <c r="Z38" s="3">
        <v>330</v>
      </c>
      <c r="AA38" s="3">
        <v>300</v>
      </c>
      <c r="AB38" s="4">
        <v>300</v>
      </c>
      <c r="AC38" s="29">
        <f t="shared" si="22"/>
        <v>2907</v>
      </c>
    </row>
    <row r="39" spans="1:29" ht="17.25" thickBot="1" x14ac:dyDescent="0.35">
      <c r="A39" s="52" t="s">
        <v>71</v>
      </c>
      <c r="B39" s="3">
        <f t="shared" si="25"/>
        <v>252000</v>
      </c>
      <c r="C39" s="3">
        <f t="shared" si="25"/>
        <v>283500</v>
      </c>
      <c r="D39" s="3">
        <f t="shared" si="25"/>
        <v>535500</v>
      </c>
      <c r="E39" s="3">
        <f t="shared" si="25"/>
        <v>693000</v>
      </c>
      <c r="F39" s="3">
        <f t="shared" si="25"/>
        <v>441000</v>
      </c>
      <c r="G39" s="3">
        <f t="shared" si="25"/>
        <v>346500</v>
      </c>
      <c r="H39" s="3">
        <f t="shared" si="25"/>
        <v>315000</v>
      </c>
      <c r="I39" s="3">
        <f t="shared" si="25"/>
        <v>220500</v>
      </c>
      <c r="J39" s="3">
        <f t="shared" si="25"/>
        <v>378000</v>
      </c>
      <c r="K39" s="3">
        <f t="shared" si="25"/>
        <v>598500</v>
      </c>
      <c r="L39" s="3">
        <f t="shared" si="25"/>
        <v>661500</v>
      </c>
      <c r="M39" s="3">
        <f t="shared" si="25"/>
        <v>504000</v>
      </c>
      <c r="N39" s="45">
        <f t="shared" si="21"/>
        <v>5229000</v>
      </c>
      <c r="O39" s="37"/>
      <c r="P39" s="52" t="s">
        <v>71</v>
      </c>
      <c r="Q39" s="3">
        <v>120</v>
      </c>
      <c r="R39" s="3">
        <v>135</v>
      </c>
      <c r="S39" s="3">
        <v>255</v>
      </c>
      <c r="T39" s="3">
        <v>330</v>
      </c>
      <c r="U39" s="3">
        <v>210</v>
      </c>
      <c r="V39" s="3">
        <v>165</v>
      </c>
      <c r="W39" s="3">
        <v>150</v>
      </c>
      <c r="X39" s="3">
        <v>105</v>
      </c>
      <c r="Y39" s="3">
        <v>180</v>
      </c>
      <c r="Z39" s="3">
        <v>285</v>
      </c>
      <c r="AA39" s="3">
        <v>315</v>
      </c>
      <c r="AB39" s="4">
        <v>240</v>
      </c>
      <c r="AC39" s="29">
        <f t="shared" si="22"/>
        <v>2490</v>
      </c>
    </row>
    <row r="40" spans="1:29" ht="17.25" thickBot="1" x14ac:dyDescent="0.35">
      <c r="A40" s="52" t="s">
        <v>72</v>
      </c>
      <c r="B40" s="3">
        <f t="shared" si="25"/>
        <v>126000</v>
      </c>
      <c r="C40" s="3">
        <f t="shared" si="25"/>
        <v>189000</v>
      </c>
      <c r="D40" s="3">
        <f t="shared" si="25"/>
        <v>409500</v>
      </c>
      <c r="E40" s="3">
        <f t="shared" si="25"/>
        <v>346500</v>
      </c>
      <c r="F40" s="3">
        <f t="shared" si="25"/>
        <v>283500</v>
      </c>
      <c r="G40" s="3">
        <f t="shared" si="25"/>
        <v>220500</v>
      </c>
      <c r="H40" s="3">
        <f t="shared" si="25"/>
        <v>157500</v>
      </c>
      <c r="I40" s="3">
        <f t="shared" si="25"/>
        <v>157500</v>
      </c>
      <c r="J40" s="3">
        <f t="shared" si="25"/>
        <v>252000</v>
      </c>
      <c r="K40" s="3">
        <f t="shared" si="25"/>
        <v>315000</v>
      </c>
      <c r="L40" s="3">
        <f t="shared" si="25"/>
        <v>315000</v>
      </c>
      <c r="M40" s="3">
        <f t="shared" si="25"/>
        <v>378000</v>
      </c>
      <c r="N40" s="45">
        <f t="shared" si="21"/>
        <v>3150000</v>
      </c>
      <c r="O40" s="37"/>
      <c r="P40" s="52" t="s">
        <v>72</v>
      </c>
      <c r="Q40" s="3">
        <v>60</v>
      </c>
      <c r="R40" s="3">
        <v>90</v>
      </c>
      <c r="S40" s="3">
        <v>195</v>
      </c>
      <c r="T40" s="3">
        <v>165</v>
      </c>
      <c r="U40" s="3">
        <v>135</v>
      </c>
      <c r="V40" s="3">
        <v>105</v>
      </c>
      <c r="W40" s="3">
        <v>75</v>
      </c>
      <c r="X40" s="3">
        <v>75</v>
      </c>
      <c r="Y40" s="3">
        <v>120</v>
      </c>
      <c r="Z40" s="3">
        <v>150</v>
      </c>
      <c r="AA40" s="3">
        <v>150</v>
      </c>
      <c r="AB40" s="4">
        <v>180</v>
      </c>
      <c r="AC40" s="29">
        <f t="shared" si="22"/>
        <v>1500</v>
      </c>
    </row>
    <row r="41" spans="1:29" ht="17.25" thickBot="1" x14ac:dyDescent="0.35">
      <c r="A41" s="52" t="s">
        <v>73</v>
      </c>
      <c r="B41" s="3">
        <f t="shared" si="25"/>
        <v>346500</v>
      </c>
      <c r="C41" s="3">
        <f t="shared" si="25"/>
        <v>472500</v>
      </c>
      <c r="D41" s="3">
        <f t="shared" si="25"/>
        <v>1228500</v>
      </c>
      <c r="E41" s="3">
        <f t="shared" si="25"/>
        <v>1323000</v>
      </c>
      <c r="F41" s="3">
        <f t="shared" si="25"/>
        <v>1197000</v>
      </c>
      <c r="G41" s="3">
        <f t="shared" si="25"/>
        <v>819000</v>
      </c>
      <c r="H41" s="3">
        <f t="shared" si="25"/>
        <v>315000</v>
      </c>
      <c r="I41" s="3">
        <f t="shared" si="25"/>
        <v>252000</v>
      </c>
      <c r="J41" s="3">
        <f t="shared" si="25"/>
        <v>1008000</v>
      </c>
      <c r="K41" s="3">
        <f t="shared" si="25"/>
        <v>1386000</v>
      </c>
      <c r="L41" s="3">
        <f t="shared" si="25"/>
        <v>1543500</v>
      </c>
      <c r="M41" s="3">
        <f t="shared" si="25"/>
        <v>1228500</v>
      </c>
      <c r="N41" s="45">
        <f t="shared" si="21"/>
        <v>11119500</v>
      </c>
      <c r="O41" s="37"/>
      <c r="P41" s="52" t="s">
        <v>73</v>
      </c>
      <c r="Q41" s="3">
        <v>165</v>
      </c>
      <c r="R41" s="3">
        <v>225</v>
      </c>
      <c r="S41" s="3">
        <v>585</v>
      </c>
      <c r="T41" s="3">
        <v>630</v>
      </c>
      <c r="U41" s="3">
        <v>570</v>
      </c>
      <c r="V41" s="3">
        <v>390</v>
      </c>
      <c r="W41" s="3">
        <v>150</v>
      </c>
      <c r="X41" s="3">
        <v>120</v>
      </c>
      <c r="Y41" s="3">
        <v>480</v>
      </c>
      <c r="Z41" s="3">
        <v>660</v>
      </c>
      <c r="AA41" s="3">
        <v>735</v>
      </c>
      <c r="AB41" s="4">
        <v>585</v>
      </c>
      <c r="AC41" s="29">
        <f t="shared" si="22"/>
        <v>5295</v>
      </c>
    </row>
    <row r="42" spans="1:29" ht="17.25" thickBot="1" x14ac:dyDescent="0.35">
      <c r="A42" s="52" t="s">
        <v>74</v>
      </c>
      <c r="B42" s="3">
        <f t="shared" si="25"/>
        <v>157500</v>
      </c>
      <c r="C42" s="3">
        <f t="shared" si="25"/>
        <v>94500</v>
      </c>
      <c r="D42" s="3">
        <f t="shared" si="25"/>
        <v>1008000</v>
      </c>
      <c r="E42" s="3">
        <f t="shared" si="25"/>
        <v>819000</v>
      </c>
      <c r="F42" s="3">
        <f t="shared" si="25"/>
        <v>756000</v>
      </c>
      <c r="G42" s="3">
        <f t="shared" si="25"/>
        <v>378000</v>
      </c>
      <c r="H42" s="3">
        <f t="shared" si="25"/>
        <v>252000</v>
      </c>
      <c r="I42" s="3">
        <f t="shared" si="25"/>
        <v>157500</v>
      </c>
      <c r="J42" s="3">
        <f t="shared" si="25"/>
        <v>661500</v>
      </c>
      <c r="K42" s="3">
        <f t="shared" si="25"/>
        <v>693000</v>
      </c>
      <c r="L42" s="3">
        <f t="shared" si="25"/>
        <v>756000</v>
      </c>
      <c r="M42" s="3">
        <f t="shared" si="25"/>
        <v>693000</v>
      </c>
      <c r="N42" s="45">
        <f t="shared" si="21"/>
        <v>6426000</v>
      </c>
      <c r="O42" s="37"/>
      <c r="P42" s="52" t="s">
        <v>74</v>
      </c>
      <c r="Q42" s="3">
        <v>75</v>
      </c>
      <c r="R42" s="3">
        <v>45</v>
      </c>
      <c r="S42" s="3">
        <v>480</v>
      </c>
      <c r="T42" s="3">
        <v>390</v>
      </c>
      <c r="U42" s="3">
        <v>360</v>
      </c>
      <c r="V42" s="3">
        <v>180</v>
      </c>
      <c r="W42" s="3">
        <v>120</v>
      </c>
      <c r="X42" s="3">
        <v>75</v>
      </c>
      <c r="Y42" s="3">
        <v>315</v>
      </c>
      <c r="Z42" s="3">
        <v>330</v>
      </c>
      <c r="AA42" s="3">
        <v>360</v>
      </c>
      <c r="AB42" s="4">
        <v>330</v>
      </c>
      <c r="AC42" s="29">
        <f t="shared" si="22"/>
        <v>3060</v>
      </c>
    </row>
    <row r="43" spans="1:29" ht="17.25" thickBot="1" x14ac:dyDescent="0.35">
      <c r="A43" s="52" t="s">
        <v>75</v>
      </c>
      <c r="B43" s="3">
        <f t="shared" si="25"/>
        <v>157500</v>
      </c>
      <c r="C43" s="3">
        <f t="shared" si="25"/>
        <v>220500</v>
      </c>
      <c r="D43" s="3">
        <f t="shared" si="25"/>
        <v>252000</v>
      </c>
      <c r="E43" s="3">
        <f t="shared" si="25"/>
        <v>315000</v>
      </c>
      <c r="F43" s="3">
        <f t="shared" si="25"/>
        <v>220500</v>
      </c>
      <c r="G43" s="3">
        <f t="shared" si="25"/>
        <v>157500</v>
      </c>
      <c r="H43" s="3">
        <f t="shared" si="25"/>
        <v>126000</v>
      </c>
      <c r="I43" s="3">
        <f t="shared" si="25"/>
        <v>189000</v>
      </c>
      <c r="J43" s="3">
        <f t="shared" si="25"/>
        <v>189000</v>
      </c>
      <c r="K43" s="3">
        <f t="shared" si="25"/>
        <v>283500</v>
      </c>
      <c r="L43" s="3">
        <f t="shared" si="25"/>
        <v>315000</v>
      </c>
      <c r="M43" s="3">
        <f t="shared" si="25"/>
        <v>220500</v>
      </c>
      <c r="N43" s="45">
        <f t="shared" si="21"/>
        <v>2646000</v>
      </c>
      <c r="O43" s="37"/>
      <c r="P43" s="52" t="s">
        <v>75</v>
      </c>
      <c r="Q43" s="3">
        <v>75</v>
      </c>
      <c r="R43" s="3">
        <v>105</v>
      </c>
      <c r="S43" s="3">
        <v>120</v>
      </c>
      <c r="T43" s="3">
        <v>150</v>
      </c>
      <c r="U43" s="3">
        <v>105</v>
      </c>
      <c r="V43" s="3">
        <v>75</v>
      </c>
      <c r="W43" s="3">
        <v>60</v>
      </c>
      <c r="X43" s="3">
        <v>90</v>
      </c>
      <c r="Y43" s="3">
        <v>90</v>
      </c>
      <c r="Z43" s="3">
        <v>135</v>
      </c>
      <c r="AA43" s="3">
        <v>150</v>
      </c>
      <c r="AB43" s="4">
        <v>105</v>
      </c>
      <c r="AC43" s="29">
        <f t="shared" si="22"/>
        <v>1260</v>
      </c>
    </row>
    <row r="44" spans="1:29" ht="17.25" thickBot="1" x14ac:dyDescent="0.35">
      <c r="A44" s="52" t="s">
        <v>76</v>
      </c>
      <c r="B44" s="3">
        <f t="shared" si="25"/>
        <v>0</v>
      </c>
      <c r="C44" s="3">
        <f t="shared" si="25"/>
        <v>0</v>
      </c>
      <c r="D44" s="3">
        <f t="shared" si="25"/>
        <v>94500</v>
      </c>
      <c r="E44" s="3">
        <f t="shared" si="25"/>
        <v>63000</v>
      </c>
      <c r="F44" s="3">
        <f t="shared" si="25"/>
        <v>31500</v>
      </c>
      <c r="G44" s="3">
        <f t="shared" si="25"/>
        <v>31500</v>
      </c>
      <c r="H44" s="3">
        <f t="shared" si="25"/>
        <v>0</v>
      </c>
      <c r="I44" s="3">
        <f t="shared" si="25"/>
        <v>31500</v>
      </c>
      <c r="J44" s="3">
        <f t="shared" si="25"/>
        <v>0</v>
      </c>
      <c r="K44" s="3">
        <f t="shared" si="25"/>
        <v>63000</v>
      </c>
      <c r="L44" s="3">
        <f t="shared" si="25"/>
        <v>0</v>
      </c>
      <c r="M44" s="3">
        <f t="shared" si="25"/>
        <v>0</v>
      </c>
      <c r="N44" s="45">
        <f t="shared" si="21"/>
        <v>315000</v>
      </c>
      <c r="O44" s="37"/>
      <c r="P44" s="52" t="s">
        <v>76</v>
      </c>
      <c r="Q44" s="3">
        <v>0</v>
      </c>
      <c r="R44" s="3">
        <v>0</v>
      </c>
      <c r="S44" s="3">
        <v>45</v>
      </c>
      <c r="T44" s="3">
        <v>30</v>
      </c>
      <c r="U44" s="3">
        <v>15</v>
      </c>
      <c r="V44" s="3">
        <v>15</v>
      </c>
      <c r="W44" s="3">
        <v>0</v>
      </c>
      <c r="X44" s="3">
        <v>15</v>
      </c>
      <c r="Y44" s="3">
        <v>0</v>
      </c>
      <c r="Z44" s="3">
        <v>30</v>
      </c>
      <c r="AA44" s="3">
        <v>0</v>
      </c>
      <c r="AB44" s="4">
        <v>0</v>
      </c>
      <c r="AC44" s="29">
        <f t="shared" si="22"/>
        <v>150</v>
      </c>
    </row>
    <row r="45" spans="1:29" ht="17.25" thickBot="1" x14ac:dyDescent="0.35">
      <c r="A45" s="47" t="s">
        <v>77</v>
      </c>
      <c r="B45" s="54">
        <f t="shared" ref="B45:M45" si="26">SUM(B38:B44)</f>
        <v>1291500</v>
      </c>
      <c r="C45" s="54">
        <f t="shared" si="26"/>
        <v>1575000</v>
      </c>
      <c r="D45" s="54">
        <f t="shared" si="26"/>
        <v>4158000</v>
      </c>
      <c r="E45" s="54">
        <f t="shared" si="26"/>
        <v>4347000</v>
      </c>
      <c r="F45" s="54">
        <f t="shared" si="26"/>
        <v>3433500</v>
      </c>
      <c r="G45" s="54">
        <f t="shared" si="26"/>
        <v>2457000</v>
      </c>
      <c r="H45" s="54">
        <f t="shared" si="26"/>
        <v>1537200</v>
      </c>
      <c r="I45" s="54">
        <f t="shared" si="26"/>
        <v>1354500</v>
      </c>
      <c r="J45" s="54">
        <f t="shared" si="26"/>
        <v>2929500</v>
      </c>
      <c r="K45" s="54">
        <f t="shared" si="26"/>
        <v>4032000</v>
      </c>
      <c r="L45" s="54">
        <f t="shared" si="26"/>
        <v>4221000</v>
      </c>
      <c r="M45" s="55">
        <f t="shared" si="26"/>
        <v>3654000</v>
      </c>
      <c r="N45" s="50">
        <f t="shared" si="21"/>
        <v>34990200</v>
      </c>
      <c r="O45" s="37"/>
      <c r="P45" s="47" t="s">
        <v>77</v>
      </c>
      <c r="Q45" s="54">
        <f t="shared" ref="Q45:AB45" si="27">SUM(Q38:Q44)</f>
        <v>615</v>
      </c>
      <c r="R45" s="54">
        <f t="shared" si="27"/>
        <v>750</v>
      </c>
      <c r="S45" s="54">
        <f t="shared" si="27"/>
        <v>1980</v>
      </c>
      <c r="T45" s="54">
        <f t="shared" si="27"/>
        <v>2070</v>
      </c>
      <c r="U45" s="54">
        <f t="shared" si="27"/>
        <v>1635</v>
      </c>
      <c r="V45" s="54">
        <f t="shared" si="27"/>
        <v>1170</v>
      </c>
      <c r="W45" s="54">
        <f t="shared" si="27"/>
        <v>732</v>
      </c>
      <c r="X45" s="54">
        <f t="shared" si="27"/>
        <v>645</v>
      </c>
      <c r="Y45" s="54">
        <f t="shared" si="27"/>
        <v>1395</v>
      </c>
      <c r="Z45" s="54">
        <f t="shared" si="27"/>
        <v>1920</v>
      </c>
      <c r="AA45" s="54">
        <f t="shared" si="27"/>
        <v>2010</v>
      </c>
      <c r="AB45" s="55">
        <f t="shared" si="27"/>
        <v>1740</v>
      </c>
      <c r="AC45" s="31">
        <f t="shared" si="22"/>
        <v>16662</v>
      </c>
    </row>
    <row r="46" spans="1:29" ht="17.25" thickBot="1" x14ac:dyDescent="0.35">
      <c r="A46" s="56" t="s">
        <v>89</v>
      </c>
      <c r="B46" s="57">
        <f t="shared" ref="B46:M46" si="28">B37+B45</f>
        <v>1575000</v>
      </c>
      <c r="C46" s="57">
        <f t="shared" si="28"/>
        <v>1858500</v>
      </c>
      <c r="D46" s="57">
        <f t="shared" si="28"/>
        <v>4662000</v>
      </c>
      <c r="E46" s="57">
        <f t="shared" si="28"/>
        <v>4851000</v>
      </c>
      <c r="F46" s="57">
        <f t="shared" si="28"/>
        <v>3809400</v>
      </c>
      <c r="G46" s="57">
        <f t="shared" si="28"/>
        <v>2835000</v>
      </c>
      <c r="H46" s="57">
        <f t="shared" si="28"/>
        <v>1820700</v>
      </c>
      <c r="I46" s="57">
        <f t="shared" si="28"/>
        <v>1638000</v>
      </c>
      <c r="J46" s="57">
        <f t="shared" si="28"/>
        <v>3307500</v>
      </c>
      <c r="K46" s="57">
        <f t="shared" si="28"/>
        <v>4504500</v>
      </c>
      <c r="L46" s="57">
        <f t="shared" si="28"/>
        <v>4630500</v>
      </c>
      <c r="M46" s="58">
        <f t="shared" si="28"/>
        <v>4032000</v>
      </c>
      <c r="N46" s="59">
        <f t="shared" si="21"/>
        <v>39524100</v>
      </c>
      <c r="O46" s="37"/>
      <c r="P46" s="56" t="s">
        <v>89</v>
      </c>
      <c r="Q46" s="57">
        <f t="shared" ref="Q46:AB46" si="29">Q37+Q45</f>
        <v>750</v>
      </c>
      <c r="R46" s="57">
        <f t="shared" si="29"/>
        <v>885</v>
      </c>
      <c r="S46" s="57">
        <f t="shared" si="29"/>
        <v>2220</v>
      </c>
      <c r="T46" s="57">
        <f t="shared" si="29"/>
        <v>2310</v>
      </c>
      <c r="U46" s="57">
        <f t="shared" si="29"/>
        <v>1814</v>
      </c>
      <c r="V46" s="57">
        <f t="shared" si="29"/>
        <v>1350</v>
      </c>
      <c r="W46" s="57">
        <f t="shared" si="29"/>
        <v>867</v>
      </c>
      <c r="X46" s="57">
        <f t="shared" si="29"/>
        <v>780</v>
      </c>
      <c r="Y46" s="57">
        <f t="shared" si="29"/>
        <v>1575</v>
      </c>
      <c r="Z46" s="57">
        <f t="shared" si="29"/>
        <v>2145</v>
      </c>
      <c r="AA46" s="57">
        <f t="shared" si="29"/>
        <v>2205</v>
      </c>
      <c r="AB46" s="58">
        <f t="shared" si="29"/>
        <v>1920</v>
      </c>
      <c r="AC46" s="33">
        <f t="shared" si="22"/>
        <v>18821</v>
      </c>
    </row>
    <row r="47" spans="1:29" ht="16.5" x14ac:dyDescent="0.3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40"/>
      <c r="O47" s="37"/>
      <c r="P47" s="37" t="s">
        <v>102</v>
      </c>
      <c r="Q47" s="37" t="s">
        <v>104</v>
      </c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 spans="1:29" ht="16.5" x14ac:dyDescent="0.3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40"/>
      <c r="O48" s="37"/>
      <c r="P48" s="37" t="s">
        <v>103</v>
      </c>
      <c r="Q48" s="37" t="s">
        <v>105</v>
      </c>
      <c r="R48" s="40"/>
      <c r="S48" s="40"/>
      <c r="T48" s="40"/>
      <c r="U48" s="40"/>
      <c r="V48" s="40"/>
      <c r="W48" s="40"/>
      <c r="X48" s="40"/>
      <c r="Y48" s="40"/>
      <c r="Z48" s="37"/>
      <c r="AA48" s="37"/>
      <c r="AB48" s="37"/>
    </row>
    <row r="49" spans="1:28" ht="17.25" thickBot="1" x14ac:dyDescent="0.35">
      <c r="A49" s="38" t="s">
        <v>90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40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</row>
    <row r="50" spans="1:28" ht="17.25" thickBot="1" x14ac:dyDescent="0.35">
      <c r="A50" s="41"/>
      <c r="B50" s="41" t="s">
        <v>81</v>
      </c>
      <c r="C50" s="41" t="s">
        <v>63</v>
      </c>
      <c r="D50" s="41" t="s">
        <v>64</v>
      </c>
      <c r="E50" s="41" t="s">
        <v>11</v>
      </c>
      <c r="F50" s="41" t="s">
        <v>12</v>
      </c>
      <c r="G50" s="41" t="s">
        <v>13</v>
      </c>
      <c r="H50" s="41" t="s">
        <v>14</v>
      </c>
      <c r="I50" s="41" t="s">
        <v>15</v>
      </c>
      <c r="J50" s="41" t="s">
        <v>16</v>
      </c>
      <c r="K50" s="41" t="s">
        <v>17</v>
      </c>
      <c r="L50" s="41" t="s">
        <v>18</v>
      </c>
      <c r="M50" s="42" t="s">
        <v>19</v>
      </c>
      <c r="N50" s="43" t="s">
        <v>65</v>
      </c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 spans="1:28" ht="17.25" thickBot="1" x14ac:dyDescent="0.35">
      <c r="A51" s="41" t="s">
        <v>40</v>
      </c>
      <c r="B51" s="44">
        <v>303085</v>
      </c>
      <c r="C51" s="44">
        <v>1220008</v>
      </c>
      <c r="D51" s="44">
        <v>849910</v>
      </c>
      <c r="E51" s="44">
        <v>1739660</v>
      </c>
      <c r="F51" s="44">
        <v>1242508</v>
      </c>
      <c r="G51" s="44">
        <v>1388806</v>
      </c>
      <c r="H51" s="44">
        <v>896577</v>
      </c>
      <c r="I51" s="44">
        <v>869590</v>
      </c>
      <c r="J51" s="44">
        <v>1014506.5</v>
      </c>
      <c r="K51" s="44">
        <v>1089993</v>
      </c>
      <c r="L51" s="44">
        <v>1105488</v>
      </c>
      <c r="M51" s="66">
        <v>953229</v>
      </c>
      <c r="N51" s="45">
        <f t="shared" ref="N51:N62" si="30">SUM(B51:M51)</f>
        <v>12673360.5</v>
      </c>
      <c r="O51" s="37"/>
      <c r="Z51" s="37"/>
      <c r="AA51" s="37"/>
      <c r="AB51" s="37"/>
    </row>
    <row r="52" spans="1:28" s="25" customFormat="1" ht="17.25" thickBot="1" x14ac:dyDescent="0.35">
      <c r="A52" s="41" t="s">
        <v>41</v>
      </c>
      <c r="B52" s="44">
        <v>114210</v>
      </c>
      <c r="C52" s="44">
        <v>617120</v>
      </c>
      <c r="D52" s="44">
        <v>99110</v>
      </c>
      <c r="E52" s="44">
        <v>321810</v>
      </c>
      <c r="F52" s="44">
        <v>295498</v>
      </c>
      <c r="G52" s="44">
        <v>458700</v>
      </c>
      <c r="H52" s="44">
        <v>325340</v>
      </c>
      <c r="I52" s="44">
        <v>343630</v>
      </c>
      <c r="J52" s="44">
        <v>287090</v>
      </c>
      <c r="K52" s="44">
        <v>142360</v>
      </c>
      <c r="L52" s="44">
        <v>97910</v>
      </c>
      <c r="M52" s="66">
        <v>268760</v>
      </c>
      <c r="N52" s="45">
        <f t="shared" si="30"/>
        <v>3371538</v>
      </c>
      <c r="O52" s="40"/>
      <c r="Z52" s="40"/>
      <c r="AA52" s="40"/>
      <c r="AB52" s="40"/>
    </row>
    <row r="53" spans="1:28" ht="17.25" thickBot="1" x14ac:dyDescent="0.35">
      <c r="A53" s="47" t="s">
        <v>82</v>
      </c>
      <c r="B53" s="48">
        <f t="shared" ref="B53:M53" si="31">SUM(B51:B52)</f>
        <v>417295</v>
      </c>
      <c r="C53" s="48">
        <f t="shared" si="31"/>
        <v>1837128</v>
      </c>
      <c r="D53" s="48">
        <f t="shared" si="31"/>
        <v>949020</v>
      </c>
      <c r="E53" s="48">
        <f t="shared" si="31"/>
        <v>2061470</v>
      </c>
      <c r="F53" s="48">
        <f t="shared" si="31"/>
        <v>1538006</v>
      </c>
      <c r="G53" s="48">
        <f t="shared" si="31"/>
        <v>1847506</v>
      </c>
      <c r="H53" s="48">
        <f t="shared" si="31"/>
        <v>1221917</v>
      </c>
      <c r="I53" s="48">
        <f t="shared" si="31"/>
        <v>1213220</v>
      </c>
      <c r="J53" s="48">
        <f t="shared" si="31"/>
        <v>1301596.5</v>
      </c>
      <c r="K53" s="48">
        <f t="shared" si="31"/>
        <v>1232353</v>
      </c>
      <c r="L53" s="48">
        <f t="shared" si="31"/>
        <v>1203398</v>
      </c>
      <c r="M53" s="49">
        <f t="shared" si="31"/>
        <v>1221989</v>
      </c>
      <c r="N53" s="50">
        <f t="shared" si="30"/>
        <v>16044898.5</v>
      </c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</row>
    <row r="54" spans="1:28" ht="17.25" thickBot="1" x14ac:dyDescent="0.35">
      <c r="A54" s="52" t="s">
        <v>42</v>
      </c>
      <c r="B54" s="3">
        <v>428220</v>
      </c>
      <c r="C54" s="3">
        <v>818478</v>
      </c>
      <c r="D54" s="3">
        <v>1340290</v>
      </c>
      <c r="E54" s="3">
        <v>2148313</v>
      </c>
      <c r="F54" s="3">
        <v>1138779</v>
      </c>
      <c r="G54" s="3">
        <v>1249397</v>
      </c>
      <c r="H54" s="3">
        <v>923718</v>
      </c>
      <c r="I54" s="3">
        <v>1117409</v>
      </c>
      <c r="J54" s="3">
        <v>1180740</v>
      </c>
      <c r="K54" s="3">
        <v>1826133</v>
      </c>
      <c r="L54" s="3">
        <v>1421910</v>
      </c>
      <c r="M54" s="4">
        <v>1258758</v>
      </c>
      <c r="N54" s="45">
        <f t="shared" si="30"/>
        <v>14852145</v>
      </c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 spans="1:28" ht="17.25" thickBot="1" x14ac:dyDescent="0.35">
      <c r="A55" s="52" t="s">
        <v>43</v>
      </c>
      <c r="B55" s="3">
        <v>538080</v>
      </c>
      <c r="C55" s="3">
        <v>921870</v>
      </c>
      <c r="D55" s="3">
        <v>1387937.5</v>
      </c>
      <c r="E55" s="3">
        <v>2379668</v>
      </c>
      <c r="F55" s="3">
        <v>1069078</v>
      </c>
      <c r="G55" s="3">
        <v>1192930</v>
      </c>
      <c r="H55" s="3">
        <v>836588</v>
      </c>
      <c r="I55" s="3">
        <v>1357242</v>
      </c>
      <c r="J55" s="3">
        <v>1030789</v>
      </c>
      <c r="K55" s="3">
        <v>1725938</v>
      </c>
      <c r="L55" s="3">
        <v>1301979</v>
      </c>
      <c r="M55" s="4">
        <v>891879</v>
      </c>
      <c r="N55" s="45">
        <f t="shared" si="30"/>
        <v>14633978.5</v>
      </c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</row>
    <row r="56" spans="1:28" ht="17.25" thickBot="1" x14ac:dyDescent="0.35">
      <c r="A56" s="52" t="s">
        <v>83</v>
      </c>
      <c r="B56" s="3">
        <v>341390</v>
      </c>
      <c r="C56" s="3">
        <v>956753</v>
      </c>
      <c r="D56" s="3">
        <v>997850</v>
      </c>
      <c r="E56" s="3">
        <v>1389673</v>
      </c>
      <c r="F56" s="3">
        <v>840740</v>
      </c>
      <c r="G56" s="3">
        <v>873433</v>
      </c>
      <c r="H56" s="3">
        <v>613480</v>
      </c>
      <c r="I56" s="3">
        <v>624823</v>
      </c>
      <c r="J56" s="3">
        <v>986932.5</v>
      </c>
      <c r="K56" s="3">
        <v>1273183</v>
      </c>
      <c r="L56" s="3">
        <v>905810</v>
      </c>
      <c r="M56" s="4">
        <v>1076133</v>
      </c>
      <c r="N56" s="45">
        <f t="shared" si="30"/>
        <v>10880200.5</v>
      </c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  <row r="57" spans="1:28" ht="17.25" thickBot="1" x14ac:dyDescent="0.35">
      <c r="A57" s="52" t="s">
        <v>84</v>
      </c>
      <c r="B57" s="3">
        <v>929470</v>
      </c>
      <c r="C57" s="3">
        <v>1751638</v>
      </c>
      <c r="D57" s="3">
        <v>2752065</v>
      </c>
      <c r="E57" s="3">
        <v>4217335</v>
      </c>
      <c r="F57" s="3">
        <v>2991333</v>
      </c>
      <c r="G57" s="3">
        <v>2405890</v>
      </c>
      <c r="H57" s="3">
        <v>981618</v>
      </c>
      <c r="I57" s="3">
        <v>1390030</v>
      </c>
      <c r="J57" s="3">
        <v>2626702.5</v>
      </c>
      <c r="K57" s="3">
        <v>3413998</v>
      </c>
      <c r="L57" s="3">
        <v>2814800</v>
      </c>
      <c r="M57" s="4">
        <v>2723750</v>
      </c>
      <c r="N57" s="45">
        <f t="shared" si="30"/>
        <v>28998629.5</v>
      </c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 spans="1:28" ht="17.25" thickBot="1" x14ac:dyDescent="0.35">
      <c r="A58" s="52" t="s">
        <v>45</v>
      </c>
      <c r="B58" s="3">
        <v>298520</v>
      </c>
      <c r="C58" s="3">
        <v>786100</v>
      </c>
      <c r="D58" s="3">
        <v>2201660</v>
      </c>
      <c r="E58" s="3">
        <v>2936950</v>
      </c>
      <c r="F58" s="3">
        <v>1630200</v>
      </c>
      <c r="G58" s="3">
        <v>1777595</v>
      </c>
      <c r="H58" s="3">
        <v>492665</v>
      </c>
      <c r="I58" s="3">
        <v>974630</v>
      </c>
      <c r="J58" s="3">
        <v>1449510</v>
      </c>
      <c r="K58" s="3">
        <v>2211565</v>
      </c>
      <c r="L58" s="3">
        <v>1037160</v>
      </c>
      <c r="M58" s="4">
        <v>1578840</v>
      </c>
      <c r="N58" s="45">
        <f t="shared" si="30"/>
        <v>17375395</v>
      </c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 spans="1:28" ht="17.25" thickBot="1" x14ac:dyDescent="0.35">
      <c r="A59" s="52" t="s">
        <v>47</v>
      </c>
      <c r="B59" s="3">
        <v>349600</v>
      </c>
      <c r="C59" s="3">
        <v>657890</v>
      </c>
      <c r="D59" s="3">
        <v>437510</v>
      </c>
      <c r="E59" s="3">
        <v>1248670</v>
      </c>
      <c r="F59" s="3">
        <v>841315</v>
      </c>
      <c r="G59" s="3">
        <v>672298</v>
      </c>
      <c r="H59" s="3">
        <v>510420</v>
      </c>
      <c r="I59" s="3">
        <v>577240</v>
      </c>
      <c r="J59" s="3">
        <v>650532.5</v>
      </c>
      <c r="K59" s="3">
        <v>703030</v>
      </c>
      <c r="L59" s="3">
        <v>585830</v>
      </c>
      <c r="M59" s="4">
        <v>879290</v>
      </c>
      <c r="N59" s="45">
        <f t="shared" si="30"/>
        <v>8113625.5</v>
      </c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</row>
    <row r="60" spans="1:28" ht="17.25" thickBot="1" x14ac:dyDescent="0.35">
      <c r="A60" s="52" t="s">
        <v>46</v>
      </c>
      <c r="B60" s="3">
        <v>104850</v>
      </c>
      <c r="C60" s="3">
        <v>127520</v>
      </c>
      <c r="D60" s="3">
        <v>476710</v>
      </c>
      <c r="E60" s="3">
        <v>309200</v>
      </c>
      <c r="F60" s="3">
        <v>157300</v>
      </c>
      <c r="G60" s="3">
        <v>128490</v>
      </c>
      <c r="H60" s="3">
        <v>0</v>
      </c>
      <c r="I60" s="3">
        <v>29250</v>
      </c>
      <c r="J60" s="3">
        <v>260100</v>
      </c>
      <c r="K60" s="3">
        <v>0</v>
      </c>
      <c r="L60" s="3">
        <v>16300</v>
      </c>
      <c r="M60" s="4">
        <v>0</v>
      </c>
      <c r="N60" s="45">
        <f t="shared" si="30"/>
        <v>1609720</v>
      </c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</row>
    <row r="61" spans="1:28" ht="17.25" thickBot="1" x14ac:dyDescent="0.35">
      <c r="A61" s="47" t="s">
        <v>85</v>
      </c>
      <c r="B61" s="54">
        <f t="shared" ref="B61:M61" si="32">SUM(B54:B60)</f>
        <v>2990130</v>
      </c>
      <c r="C61" s="54">
        <f t="shared" si="32"/>
        <v>6020249</v>
      </c>
      <c r="D61" s="54">
        <f t="shared" si="32"/>
        <v>9594022.5</v>
      </c>
      <c r="E61" s="54">
        <f t="shared" si="32"/>
        <v>14629809</v>
      </c>
      <c r="F61" s="54">
        <f t="shared" si="32"/>
        <v>8668745</v>
      </c>
      <c r="G61" s="54">
        <f t="shared" si="32"/>
        <v>8300033</v>
      </c>
      <c r="H61" s="54">
        <f t="shared" si="32"/>
        <v>4358489</v>
      </c>
      <c r="I61" s="54">
        <f t="shared" si="32"/>
        <v>6070624</v>
      </c>
      <c r="J61" s="54">
        <f t="shared" si="32"/>
        <v>8185306.5</v>
      </c>
      <c r="K61" s="54">
        <f t="shared" si="32"/>
        <v>11153847</v>
      </c>
      <c r="L61" s="54">
        <f t="shared" si="32"/>
        <v>8083789</v>
      </c>
      <c r="M61" s="55">
        <f t="shared" si="32"/>
        <v>8408650</v>
      </c>
      <c r="N61" s="50">
        <f t="shared" si="30"/>
        <v>96463694</v>
      </c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 spans="1:28" ht="17.25" thickBot="1" x14ac:dyDescent="0.35">
      <c r="A62" s="56" t="s">
        <v>91</v>
      </c>
      <c r="B62" s="57">
        <f t="shared" ref="B62:M62" si="33">B53+B61</f>
        <v>3407425</v>
      </c>
      <c r="C62" s="57">
        <f t="shared" si="33"/>
        <v>7857377</v>
      </c>
      <c r="D62" s="57">
        <f t="shared" si="33"/>
        <v>10543042.5</v>
      </c>
      <c r="E62" s="57">
        <f t="shared" si="33"/>
        <v>16691279</v>
      </c>
      <c r="F62" s="57">
        <f t="shared" si="33"/>
        <v>10206751</v>
      </c>
      <c r="G62" s="57">
        <f t="shared" si="33"/>
        <v>10147539</v>
      </c>
      <c r="H62" s="57">
        <f t="shared" si="33"/>
        <v>5580406</v>
      </c>
      <c r="I62" s="57">
        <f t="shared" si="33"/>
        <v>7283844</v>
      </c>
      <c r="J62" s="57">
        <f t="shared" si="33"/>
        <v>9486903</v>
      </c>
      <c r="K62" s="57">
        <f t="shared" si="33"/>
        <v>12386200</v>
      </c>
      <c r="L62" s="57">
        <f t="shared" si="33"/>
        <v>9287187</v>
      </c>
      <c r="M62" s="58">
        <f t="shared" si="33"/>
        <v>9630639</v>
      </c>
      <c r="N62" s="59">
        <f t="shared" si="30"/>
        <v>112508592.5</v>
      </c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</row>
    <row r="63" spans="1:28" ht="16.5" x14ac:dyDescent="0.3">
      <c r="A63" s="36"/>
      <c r="B63" s="37"/>
      <c r="C63" s="37"/>
      <c r="D63" s="37">
        <f>D62+495000</f>
        <v>11038042.5</v>
      </c>
      <c r="E63" s="37">
        <f>E62+495000</f>
        <v>17186279</v>
      </c>
      <c r="F63" s="37">
        <f>F62+330000</f>
        <v>10536751</v>
      </c>
      <c r="G63" s="37">
        <f>G62+275000+110000</f>
        <v>10532539</v>
      </c>
      <c r="H63" s="37">
        <f>H62+330000</f>
        <v>5910406</v>
      </c>
      <c r="I63" s="37">
        <f>I62+275000</f>
        <v>7558844</v>
      </c>
      <c r="J63" s="37">
        <f>J62+275000</f>
        <v>9761903</v>
      </c>
      <c r="K63" s="37">
        <f>K62+14600</f>
        <v>12400800</v>
      </c>
      <c r="L63" s="37">
        <f>L62+275000</f>
        <v>9562187</v>
      </c>
      <c r="M63" s="37">
        <f>M62+726000</f>
        <v>10356639</v>
      </c>
      <c r="N63" s="40">
        <f>SUM(B62:C62,D63:M63)</f>
        <v>116109192.5</v>
      </c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</row>
    <row r="64" spans="1:28" ht="16.5" x14ac:dyDescent="0.3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40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</row>
    <row r="65" spans="1:28" ht="17.25" thickBot="1" x14ac:dyDescent="0.35">
      <c r="A65" s="38" t="s">
        <v>92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40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 spans="1:28" ht="17.25" thickBot="1" x14ac:dyDescent="0.35">
      <c r="A66" s="41"/>
      <c r="B66" s="41" t="s">
        <v>81</v>
      </c>
      <c r="C66" s="41" t="s">
        <v>63</v>
      </c>
      <c r="D66" s="41" t="s">
        <v>64</v>
      </c>
      <c r="E66" s="41" t="s">
        <v>11</v>
      </c>
      <c r="F66" s="41" t="s">
        <v>12</v>
      </c>
      <c r="G66" s="41" t="s">
        <v>13</v>
      </c>
      <c r="H66" s="41" t="s">
        <v>14</v>
      </c>
      <c r="I66" s="41" t="s">
        <v>15</v>
      </c>
      <c r="J66" s="41" t="s">
        <v>16</v>
      </c>
      <c r="K66" s="41" t="s">
        <v>17</v>
      </c>
      <c r="L66" s="41" t="s">
        <v>18</v>
      </c>
      <c r="M66" s="42" t="s">
        <v>19</v>
      </c>
      <c r="N66" s="43" t="s">
        <v>65</v>
      </c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 spans="1:28" ht="17.25" thickBot="1" x14ac:dyDescent="0.35">
      <c r="A67" s="41" t="s">
        <v>40</v>
      </c>
      <c r="B67" s="44">
        <v>0</v>
      </c>
      <c r="C67" s="44">
        <v>206000</v>
      </c>
      <c r="D67" s="44">
        <v>661800</v>
      </c>
      <c r="E67" s="44">
        <v>318200</v>
      </c>
      <c r="F67" s="44">
        <v>237000</v>
      </c>
      <c r="G67" s="44">
        <v>301200</v>
      </c>
      <c r="H67" s="44">
        <v>78600</v>
      </c>
      <c r="I67" s="44">
        <v>118000</v>
      </c>
      <c r="J67" s="44">
        <v>150200</v>
      </c>
      <c r="K67" s="44">
        <v>311200</v>
      </c>
      <c r="L67" s="44">
        <v>102000</v>
      </c>
      <c r="M67" s="66">
        <v>223630</v>
      </c>
      <c r="N67" s="45">
        <f t="shared" ref="N67:N78" si="34">SUM(B67:M67)</f>
        <v>2707830</v>
      </c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 spans="1:28" ht="17.25" thickBot="1" x14ac:dyDescent="0.35">
      <c r="A68" s="41" t="s">
        <v>41</v>
      </c>
      <c r="B68" s="44">
        <v>0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66">
        <v>0</v>
      </c>
      <c r="N68" s="45">
        <f t="shared" si="34"/>
        <v>0</v>
      </c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 spans="1:28" ht="17.25" thickBot="1" x14ac:dyDescent="0.35">
      <c r="A69" s="47" t="s">
        <v>82</v>
      </c>
      <c r="B69" s="48">
        <f>SUM(B67:B68)</f>
        <v>0</v>
      </c>
      <c r="C69" s="48">
        <f t="shared" ref="C69:M69" si="35">SUM(C67:C68)</f>
        <v>206000</v>
      </c>
      <c r="D69" s="48">
        <f t="shared" si="35"/>
        <v>661800</v>
      </c>
      <c r="E69" s="48">
        <f t="shared" si="35"/>
        <v>318200</v>
      </c>
      <c r="F69" s="48">
        <f t="shared" si="35"/>
        <v>237000</v>
      </c>
      <c r="G69" s="48">
        <f t="shared" si="35"/>
        <v>301200</v>
      </c>
      <c r="H69" s="48">
        <f t="shared" si="35"/>
        <v>78600</v>
      </c>
      <c r="I69" s="48">
        <f t="shared" si="35"/>
        <v>118000</v>
      </c>
      <c r="J69" s="48">
        <f t="shared" si="35"/>
        <v>150200</v>
      </c>
      <c r="K69" s="48">
        <f t="shared" si="35"/>
        <v>311200</v>
      </c>
      <c r="L69" s="48">
        <f t="shared" si="35"/>
        <v>102000</v>
      </c>
      <c r="M69" s="49">
        <f t="shared" si="35"/>
        <v>223630</v>
      </c>
      <c r="N69" s="50">
        <f t="shared" si="34"/>
        <v>2707830</v>
      </c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 spans="1:28" ht="17.25" thickBot="1" x14ac:dyDescent="0.35">
      <c r="A70" s="52" t="s">
        <v>42</v>
      </c>
      <c r="B70" s="3">
        <v>0</v>
      </c>
      <c r="C70" s="3">
        <v>77800</v>
      </c>
      <c r="D70" s="3">
        <v>149600</v>
      </c>
      <c r="E70" s="3">
        <v>222200</v>
      </c>
      <c r="F70" s="3">
        <v>154300</v>
      </c>
      <c r="G70" s="3">
        <v>113700</v>
      </c>
      <c r="H70" s="3">
        <v>50000</v>
      </c>
      <c r="I70" s="3">
        <v>0</v>
      </c>
      <c r="J70" s="3">
        <v>225200</v>
      </c>
      <c r="K70" s="3">
        <v>195500</v>
      </c>
      <c r="L70" s="3">
        <v>201500</v>
      </c>
      <c r="M70" s="4">
        <v>37400</v>
      </c>
      <c r="N70" s="45">
        <f t="shared" si="34"/>
        <v>1427200</v>
      </c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</row>
    <row r="71" spans="1:28" ht="17.25" thickBot="1" x14ac:dyDescent="0.35">
      <c r="A71" s="52" t="s">
        <v>43</v>
      </c>
      <c r="B71" s="3">
        <v>0</v>
      </c>
      <c r="C71" s="3">
        <v>182000</v>
      </c>
      <c r="D71" s="3">
        <v>346000</v>
      </c>
      <c r="E71" s="3">
        <v>320000</v>
      </c>
      <c r="F71" s="3">
        <v>220000</v>
      </c>
      <c r="G71" s="3">
        <v>0</v>
      </c>
      <c r="H71" s="3">
        <v>0</v>
      </c>
      <c r="I71" s="3">
        <v>84000</v>
      </c>
      <c r="J71" s="3">
        <v>422800</v>
      </c>
      <c r="K71" s="3">
        <v>267000</v>
      </c>
      <c r="L71" s="3">
        <v>221000</v>
      </c>
      <c r="M71" s="4">
        <v>0</v>
      </c>
      <c r="N71" s="45">
        <f t="shared" si="34"/>
        <v>2062800</v>
      </c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 spans="1:28" ht="17.25" thickBot="1" x14ac:dyDescent="0.35">
      <c r="A72" s="52" t="s">
        <v>83</v>
      </c>
      <c r="B72" s="3">
        <v>0</v>
      </c>
      <c r="C72" s="3">
        <v>67000</v>
      </c>
      <c r="D72" s="3">
        <v>0</v>
      </c>
      <c r="E72" s="3">
        <v>36000</v>
      </c>
      <c r="F72" s="3">
        <v>7200</v>
      </c>
      <c r="G72" s="3">
        <v>0</v>
      </c>
      <c r="H72" s="3">
        <v>0</v>
      </c>
      <c r="I72" s="3">
        <v>0</v>
      </c>
      <c r="J72" s="3">
        <v>34000</v>
      </c>
      <c r="K72" s="3">
        <v>34000</v>
      </c>
      <c r="L72" s="3">
        <v>0</v>
      </c>
      <c r="M72" s="4">
        <v>0</v>
      </c>
      <c r="N72" s="45">
        <f t="shared" si="34"/>
        <v>178200</v>
      </c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</row>
    <row r="73" spans="1:28" ht="17.25" thickBot="1" x14ac:dyDescent="0.35">
      <c r="A73" s="52" t="s">
        <v>84</v>
      </c>
      <c r="B73" s="3">
        <v>0</v>
      </c>
      <c r="C73" s="3">
        <v>476600</v>
      </c>
      <c r="D73" s="3">
        <v>687100</v>
      </c>
      <c r="E73" s="3">
        <v>959000</v>
      </c>
      <c r="F73" s="3">
        <v>510700</v>
      </c>
      <c r="G73" s="3">
        <v>395500</v>
      </c>
      <c r="H73" s="3">
        <v>0</v>
      </c>
      <c r="I73" s="3">
        <v>162800</v>
      </c>
      <c r="J73" s="3">
        <v>515200</v>
      </c>
      <c r="K73" s="3">
        <v>449200</v>
      </c>
      <c r="L73" s="3">
        <v>574600</v>
      </c>
      <c r="M73" s="4">
        <v>408540</v>
      </c>
      <c r="N73" s="45">
        <f t="shared" si="34"/>
        <v>5139240</v>
      </c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</row>
    <row r="74" spans="1:28" ht="17.25" thickBot="1" x14ac:dyDescent="0.35">
      <c r="A74" s="52" t="s">
        <v>45</v>
      </c>
      <c r="B74" s="3">
        <v>0</v>
      </c>
      <c r="C74" s="3">
        <v>203000</v>
      </c>
      <c r="D74" s="3">
        <v>510400</v>
      </c>
      <c r="E74" s="3">
        <v>850400</v>
      </c>
      <c r="F74" s="3">
        <v>574700</v>
      </c>
      <c r="G74" s="3">
        <v>200100</v>
      </c>
      <c r="H74" s="3">
        <v>101800</v>
      </c>
      <c r="I74" s="3">
        <v>0</v>
      </c>
      <c r="J74" s="3">
        <v>745500</v>
      </c>
      <c r="K74" s="3">
        <v>434900</v>
      </c>
      <c r="L74" s="3">
        <v>456000</v>
      </c>
      <c r="M74" s="4">
        <v>193490</v>
      </c>
      <c r="N74" s="45">
        <f t="shared" si="34"/>
        <v>4270290</v>
      </c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</row>
    <row r="75" spans="1:28" ht="17.25" thickBot="1" x14ac:dyDescent="0.35">
      <c r="A75" s="52" t="s">
        <v>47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4">
        <v>0</v>
      </c>
      <c r="N75" s="45">
        <f t="shared" si="34"/>
        <v>0</v>
      </c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</row>
    <row r="76" spans="1:28" ht="17.25" thickBot="1" x14ac:dyDescent="0.35">
      <c r="A76" s="52" t="s">
        <v>46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4">
        <v>0</v>
      </c>
      <c r="N76" s="45">
        <f t="shared" si="34"/>
        <v>0</v>
      </c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</row>
    <row r="77" spans="1:28" ht="17.25" thickBot="1" x14ac:dyDescent="0.35">
      <c r="A77" s="47" t="s">
        <v>85</v>
      </c>
      <c r="B77" s="54">
        <f>SUM(B70:B76)</f>
        <v>0</v>
      </c>
      <c r="C77" s="54">
        <f t="shared" ref="C77:M77" si="36">SUM(C70:C76)</f>
        <v>1006400</v>
      </c>
      <c r="D77" s="54">
        <f t="shared" si="36"/>
        <v>1693100</v>
      </c>
      <c r="E77" s="54">
        <f t="shared" si="36"/>
        <v>2387600</v>
      </c>
      <c r="F77" s="54">
        <f t="shared" si="36"/>
        <v>1466900</v>
      </c>
      <c r="G77" s="54">
        <f t="shared" si="36"/>
        <v>709300</v>
      </c>
      <c r="H77" s="54">
        <f t="shared" si="36"/>
        <v>151800</v>
      </c>
      <c r="I77" s="54">
        <f t="shared" si="36"/>
        <v>246800</v>
      </c>
      <c r="J77" s="54">
        <f t="shared" si="36"/>
        <v>1942700</v>
      </c>
      <c r="K77" s="54">
        <f t="shared" si="36"/>
        <v>1380600</v>
      </c>
      <c r="L77" s="54">
        <f t="shared" si="36"/>
        <v>1453100</v>
      </c>
      <c r="M77" s="55">
        <f t="shared" si="36"/>
        <v>639430</v>
      </c>
      <c r="N77" s="50">
        <f t="shared" si="34"/>
        <v>13077730</v>
      </c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</row>
    <row r="78" spans="1:28" ht="17.25" thickBot="1" x14ac:dyDescent="0.35">
      <c r="A78" s="56" t="s">
        <v>93</v>
      </c>
      <c r="B78" s="57">
        <f>B69+B77</f>
        <v>0</v>
      </c>
      <c r="C78" s="57">
        <f t="shared" ref="C78:M78" si="37">C69+C77</f>
        <v>1212400</v>
      </c>
      <c r="D78" s="57">
        <f t="shared" si="37"/>
        <v>2354900</v>
      </c>
      <c r="E78" s="57">
        <f t="shared" si="37"/>
        <v>2705800</v>
      </c>
      <c r="F78" s="57">
        <f t="shared" si="37"/>
        <v>1703900</v>
      </c>
      <c r="G78" s="57">
        <f t="shared" si="37"/>
        <v>1010500</v>
      </c>
      <c r="H78" s="57">
        <f t="shared" si="37"/>
        <v>230400</v>
      </c>
      <c r="I78" s="57">
        <f t="shared" si="37"/>
        <v>364800</v>
      </c>
      <c r="J78" s="57">
        <f t="shared" si="37"/>
        <v>2092900</v>
      </c>
      <c r="K78" s="57">
        <f t="shared" si="37"/>
        <v>1691800</v>
      </c>
      <c r="L78" s="57">
        <f t="shared" si="37"/>
        <v>1555100</v>
      </c>
      <c r="M78" s="58">
        <f t="shared" si="37"/>
        <v>863060</v>
      </c>
      <c r="N78" s="59">
        <f t="shared" si="34"/>
        <v>15785560</v>
      </c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</row>
    <row r="79" spans="1:28" ht="16.5" x14ac:dyDescent="0.3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40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 spans="1:28" ht="16.5" x14ac:dyDescent="0.3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40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</row>
    <row r="81" spans="1:28" ht="16.5" x14ac:dyDescent="0.3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40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 spans="1:28" ht="16.5" x14ac:dyDescent="0.3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40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</row>
    <row r="83" spans="1:28" ht="16.5" x14ac:dyDescent="0.3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40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</row>
    <row r="84" spans="1:28" ht="16.5" x14ac:dyDescent="0.3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40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</row>
    <row r="85" spans="1:28" ht="16.5" x14ac:dyDescent="0.3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40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</row>
    <row r="86" spans="1:28" ht="16.5" x14ac:dyDescent="0.3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40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</row>
    <row r="87" spans="1:28" ht="16.5" x14ac:dyDescent="0.3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40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 spans="1:28" ht="16.5" x14ac:dyDescent="0.3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40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 spans="1:28" ht="16.5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40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 spans="1:28" ht="16.5" x14ac:dyDescent="0.3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40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 spans="1:28" ht="16.5" x14ac:dyDescent="0.3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40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 spans="1:28" ht="16.5" x14ac:dyDescent="0.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40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28" ht="16.5" x14ac:dyDescent="0.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40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spans="1:28" ht="16.5" x14ac:dyDescent="0.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40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spans="1:28" ht="16.5" x14ac:dyDescent="0.3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40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28" ht="16.5" x14ac:dyDescent="0.3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40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1:28" ht="16.5" x14ac:dyDescent="0.3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40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spans="1:28" ht="16.5" x14ac:dyDescent="0.3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40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 spans="1:28" ht="16.5" x14ac:dyDescent="0.3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40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spans="1:28" ht="16.5" x14ac:dyDescent="0.3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40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spans="1:28" ht="16.5" x14ac:dyDescent="0.3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40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 spans="1:28" ht="16.5" x14ac:dyDescent="0.3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40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 spans="1:28" ht="16.5" x14ac:dyDescent="0.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40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1:28" ht="16.5" x14ac:dyDescent="0.3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40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spans="1:28" ht="16.5" x14ac:dyDescent="0.3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40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spans="1:28" ht="16.5" x14ac:dyDescent="0.3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40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spans="1:28" ht="16.5" x14ac:dyDescent="0.3">
      <c r="A107" s="36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40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1:28" ht="16.5" x14ac:dyDescent="0.3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40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1:28" ht="16.5" x14ac:dyDescent="0.3">
      <c r="A109" s="36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40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1:28" ht="16.5" x14ac:dyDescent="0.3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40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1:28" ht="16.5" x14ac:dyDescent="0.3">
      <c r="A111" s="36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40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spans="1:28" ht="16.5" x14ac:dyDescent="0.3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40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spans="1:28" ht="16.5" x14ac:dyDescent="0.3">
      <c r="A113" s="36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40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spans="1:28" ht="16.5" x14ac:dyDescent="0.3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40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spans="1:28" ht="16.5" x14ac:dyDescent="0.3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40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ht="16.5" x14ac:dyDescent="0.3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40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spans="1:28" ht="16.5" x14ac:dyDescent="0.3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40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spans="1:28" ht="16.5" x14ac:dyDescent="0.3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40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spans="1:28" ht="16.5" x14ac:dyDescent="0.3">
      <c r="A119" s="3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40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spans="1:28" ht="16.5" x14ac:dyDescent="0.3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40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spans="1:28" ht="16.5" x14ac:dyDescent="0.3">
      <c r="A121" s="3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40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spans="1:28" ht="16.5" x14ac:dyDescent="0.3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40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1:28" ht="16.5" x14ac:dyDescent="0.3">
      <c r="A123" s="3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40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spans="1:28" ht="16.5" x14ac:dyDescent="0.3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40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1:28" ht="16.5" x14ac:dyDescent="0.3">
      <c r="A125" s="3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40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spans="1:28" ht="16.5" x14ac:dyDescent="0.3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40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spans="1:28" ht="16.5" x14ac:dyDescent="0.3">
      <c r="A127" s="3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40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spans="1:28" ht="16.5" x14ac:dyDescent="0.3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40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spans="1:28" ht="16.5" x14ac:dyDescent="0.3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40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spans="1:28" ht="16.5" x14ac:dyDescent="0.3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40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spans="1:28" ht="16.5" x14ac:dyDescent="0.3">
      <c r="A131" s="3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40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spans="1:28" ht="16.5" x14ac:dyDescent="0.3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40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spans="1:28" ht="16.5" x14ac:dyDescent="0.3">
      <c r="A133" s="36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40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spans="1:28" ht="16.5" x14ac:dyDescent="0.3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40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spans="1:28" ht="16.5" x14ac:dyDescent="0.3">
      <c r="A135" s="36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40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spans="1:28" ht="16.5" x14ac:dyDescent="0.3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40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spans="1:28" ht="16.5" x14ac:dyDescent="0.3">
      <c r="A137" s="36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40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spans="1:28" ht="16.5" x14ac:dyDescent="0.3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40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spans="1:28" ht="16.5" x14ac:dyDescent="0.3">
      <c r="A139" s="3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40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spans="1:28" ht="16.5" x14ac:dyDescent="0.3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40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spans="1:28" ht="16.5" x14ac:dyDescent="0.3">
      <c r="A141" s="3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40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spans="1:28" ht="16.5" x14ac:dyDescent="0.3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40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1:28" ht="16.5" x14ac:dyDescent="0.3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40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spans="1:28" ht="16.5" x14ac:dyDescent="0.3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40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spans="1:28" ht="16.5" x14ac:dyDescent="0.3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40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spans="1:28" ht="16.5" x14ac:dyDescent="0.3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40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spans="1:28" ht="16.5" x14ac:dyDescent="0.3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40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spans="1:28" ht="16.5" x14ac:dyDescent="0.3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40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spans="1:28" ht="16.5" x14ac:dyDescent="0.3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40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spans="1:28" ht="16.5" x14ac:dyDescent="0.3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40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spans="1:28" ht="16.5" x14ac:dyDescent="0.3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40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spans="1:28" ht="16.5" x14ac:dyDescent="0.3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40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spans="1:28" ht="16.5" x14ac:dyDescent="0.3">
      <c r="A153" s="3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40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1:28" ht="16.5" x14ac:dyDescent="0.3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40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spans="1:28" ht="16.5" x14ac:dyDescent="0.3">
      <c r="A155" s="36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40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spans="1:28" ht="16.5" x14ac:dyDescent="0.3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40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spans="1:28" ht="16.5" x14ac:dyDescent="0.3">
      <c r="A157" s="3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40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1:28" ht="16.5" x14ac:dyDescent="0.3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40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spans="1:28" ht="16.5" x14ac:dyDescent="0.3">
      <c r="A159" s="36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40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spans="1:28" ht="16.5" x14ac:dyDescent="0.3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40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spans="1:28" ht="16.5" x14ac:dyDescent="0.3">
      <c r="A161" s="36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40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spans="1:28" ht="16.5" x14ac:dyDescent="0.3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40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spans="1:28" ht="16.5" x14ac:dyDescent="0.3">
      <c r="A163" s="36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40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spans="1:28" ht="16.5" x14ac:dyDescent="0.3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40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spans="1:28" ht="16.5" x14ac:dyDescent="0.3">
      <c r="A165" s="3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40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spans="1:28" ht="16.5" x14ac:dyDescent="0.3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40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spans="1:28" ht="16.5" x14ac:dyDescent="0.3">
      <c r="A167" s="36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40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1:28" ht="16.5" x14ac:dyDescent="0.3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40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ht="16.5" x14ac:dyDescent="0.3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40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1:28" ht="16.5" x14ac:dyDescent="0.3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40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1:28" ht="16.5" x14ac:dyDescent="0.3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40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1:28" ht="16.5" x14ac:dyDescent="0.3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40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1:28" ht="16.5" x14ac:dyDescent="0.3">
      <c r="A173" s="36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40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1:28" ht="16.5" x14ac:dyDescent="0.3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40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1:28" ht="16.5" x14ac:dyDescent="0.3">
      <c r="A175" s="36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40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1:28" ht="16.5" x14ac:dyDescent="0.3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40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1:28" ht="16.5" x14ac:dyDescent="0.3">
      <c r="A177" s="36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40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1:28" ht="16.5" x14ac:dyDescent="0.3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40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1:28" ht="16.5" x14ac:dyDescent="0.3">
      <c r="A179" s="36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40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1:28" ht="16.5" x14ac:dyDescent="0.3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40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1:28" ht="16.5" x14ac:dyDescent="0.3">
      <c r="A181" s="36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40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1:28" ht="16.5" x14ac:dyDescent="0.3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40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1:28" ht="16.5" x14ac:dyDescent="0.3">
      <c r="A183" s="36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40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1:28" ht="16.5" x14ac:dyDescent="0.3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40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1:28" ht="16.5" x14ac:dyDescent="0.3">
      <c r="A185" s="36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40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1:28" ht="16.5" x14ac:dyDescent="0.3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40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1:28" ht="16.5" x14ac:dyDescent="0.3">
      <c r="A187" s="36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40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1:28" ht="16.5" x14ac:dyDescent="0.3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40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1:28" ht="16.5" x14ac:dyDescent="0.3">
      <c r="A189" s="36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40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1:28" ht="16.5" x14ac:dyDescent="0.3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40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1:28" ht="16.5" x14ac:dyDescent="0.3">
      <c r="A191" s="36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40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1:28" ht="16.5" x14ac:dyDescent="0.3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40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1:28" ht="16.5" x14ac:dyDescent="0.3">
      <c r="A193" s="36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40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1:28" ht="16.5" x14ac:dyDescent="0.3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40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1:28" ht="16.5" x14ac:dyDescent="0.3">
      <c r="A195" s="36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40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1:28" ht="16.5" x14ac:dyDescent="0.3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40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1:28" ht="16.5" x14ac:dyDescent="0.3">
      <c r="A197" s="36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40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1:28" ht="16.5" x14ac:dyDescent="0.3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40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1:28" ht="16.5" x14ac:dyDescent="0.3">
      <c r="A199" s="36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40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1:28" ht="16.5" x14ac:dyDescent="0.3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40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1:28" ht="16.5" x14ac:dyDescent="0.3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40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1:28" ht="16.5" x14ac:dyDescent="0.3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40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1:28" ht="16.5" x14ac:dyDescent="0.3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40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1:28" ht="16.5" x14ac:dyDescent="0.3">
      <c r="A204" s="36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40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1:28" ht="16.5" x14ac:dyDescent="0.3">
      <c r="A205" s="36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40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1:28" ht="16.5" x14ac:dyDescent="0.3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40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1:28" ht="16.5" x14ac:dyDescent="0.3">
      <c r="A207" s="36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40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1:28" ht="16.5" x14ac:dyDescent="0.3">
      <c r="A208" s="36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40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1:28" ht="16.5" x14ac:dyDescent="0.3">
      <c r="A209" s="36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40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1:28" ht="16.5" x14ac:dyDescent="0.3">
      <c r="A210" s="36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40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1:28" ht="16.5" x14ac:dyDescent="0.3">
      <c r="A211" s="36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40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1:28" ht="16.5" x14ac:dyDescent="0.3">
      <c r="A212" s="36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40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1:28" ht="16.5" x14ac:dyDescent="0.3">
      <c r="A213" s="36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40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1:28" ht="16.5" x14ac:dyDescent="0.3">
      <c r="A214" s="36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40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1:28" ht="16.5" x14ac:dyDescent="0.3">
      <c r="A215" s="36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40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1:28" ht="16.5" x14ac:dyDescent="0.3">
      <c r="A216" s="36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40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1:28" ht="16.5" x14ac:dyDescent="0.3">
      <c r="A217" s="36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40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1:28" ht="16.5" x14ac:dyDescent="0.3">
      <c r="A218" s="36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40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1:28" ht="16.5" x14ac:dyDescent="0.3">
      <c r="A219" s="36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40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1:28" ht="16.5" x14ac:dyDescent="0.3">
      <c r="A220" s="36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40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1:28" ht="16.5" x14ac:dyDescent="0.3">
      <c r="A221" s="36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40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1:28" ht="16.5" x14ac:dyDescent="0.3">
      <c r="A222" s="36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40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1:28" ht="16.5" x14ac:dyDescent="0.3">
      <c r="A223" s="36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40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1:28" ht="16.5" x14ac:dyDescent="0.3">
      <c r="A224" s="36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40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1:28" ht="16.5" x14ac:dyDescent="0.3">
      <c r="A225" s="36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40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1:28" ht="16.5" x14ac:dyDescent="0.3">
      <c r="A226" s="36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40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1:28" ht="16.5" x14ac:dyDescent="0.3">
      <c r="A227" s="36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40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1:28" ht="16.5" x14ac:dyDescent="0.3">
      <c r="A228" s="36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40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1:28" ht="16.5" x14ac:dyDescent="0.3">
      <c r="A229" s="36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40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1:28" ht="16.5" x14ac:dyDescent="0.3">
      <c r="A230" s="36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40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1:28" ht="16.5" x14ac:dyDescent="0.3">
      <c r="A231" s="36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40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1:28" ht="16.5" x14ac:dyDescent="0.3">
      <c r="A232" s="36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40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1:28" ht="16.5" x14ac:dyDescent="0.3">
      <c r="A233" s="36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40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1:28" ht="16.5" x14ac:dyDescent="0.3">
      <c r="A234" s="36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40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1:28" ht="16.5" x14ac:dyDescent="0.3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40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1:28" ht="16.5" x14ac:dyDescent="0.3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40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1:28" ht="16.5" x14ac:dyDescent="0.3">
      <c r="A237" s="36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40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1:28" ht="16.5" x14ac:dyDescent="0.3">
      <c r="A238" s="36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40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1:28" ht="16.5" x14ac:dyDescent="0.3">
      <c r="A239" s="36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40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1:28" ht="16.5" x14ac:dyDescent="0.3">
      <c r="A240" s="36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40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1:28" ht="16.5" x14ac:dyDescent="0.3">
      <c r="A241" s="36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40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1:28" ht="16.5" x14ac:dyDescent="0.3">
      <c r="A242" s="36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40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1:28" ht="16.5" x14ac:dyDescent="0.3">
      <c r="A243" s="36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40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1:28" ht="16.5" x14ac:dyDescent="0.3">
      <c r="A244" s="36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40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1:28" ht="16.5" x14ac:dyDescent="0.3">
      <c r="A245" s="36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40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1:28" ht="16.5" x14ac:dyDescent="0.3">
      <c r="A246" s="36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40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1:28" ht="16.5" x14ac:dyDescent="0.3">
      <c r="A247" s="36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40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1:28" ht="16.5" x14ac:dyDescent="0.3">
      <c r="A248" s="36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40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1:28" ht="16.5" x14ac:dyDescent="0.3">
      <c r="A249" s="36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40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1:28" ht="16.5" x14ac:dyDescent="0.3">
      <c r="A250" s="36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40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1:28" ht="16.5" x14ac:dyDescent="0.3">
      <c r="A251" s="36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40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1:28" ht="16.5" x14ac:dyDescent="0.3">
      <c r="A252" s="36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40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1:28" ht="16.5" x14ac:dyDescent="0.3">
      <c r="A253" s="36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40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1:28" ht="16.5" x14ac:dyDescent="0.3">
      <c r="A254" s="36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40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1:28" ht="16.5" x14ac:dyDescent="0.3">
      <c r="A255" s="36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40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1:28" ht="16.5" x14ac:dyDescent="0.3">
      <c r="A256" s="3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40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1:28" ht="16.5" x14ac:dyDescent="0.3">
      <c r="A257" s="36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40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1:28" ht="16.5" x14ac:dyDescent="0.3">
      <c r="A258" s="36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40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1:28" ht="16.5" x14ac:dyDescent="0.3">
      <c r="A259" s="36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40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1:28" ht="16.5" x14ac:dyDescent="0.3">
      <c r="A260" s="36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40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1:28" ht="16.5" x14ac:dyDescent="0.3">
      <c r="A261" s="36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40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1:28" ht="16.5" x14ac:dyDescent="0.3">
      <c r="A262" s="36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40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1:28" ht="16.5" x14ac:dyDescent="0.3">
      <c r="A263" s="36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40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1:28" ht="16.5" x14ac:dyDescent="0.3">
      <c r="A264" s="36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40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1:28" ht="16.5" x14ac:dyDescent="0.3">
      <c r="A265" s="36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40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1:28" ht="16.5" x14ac:dyDescent="0.3">
      <c r="A266" s="36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40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1:28" ht="16.5" x14ac:dyDescent="0.3">
      <c r="A267" s="36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40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1:28" ht="16.5" x14ac:dyDescent="0.3">
      <c r="A268" s="36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40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1:28" ht="16.5" x14ac:dyDescent="0.3">
      <c r="A269" s="36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40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1:28" ht="16.5" x14ac:dyDescent="0.3">
      <c r="A270" s="36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40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1:28" ht="16.5" x14ac:dyDescent="0.3">
      <c r="A271" s="36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40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1:28" ht="16.5" x14ac:dyDescent="0.3">
      <c r="A272" s="36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40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1:28" ht="16.5" x14ac:dyDescent="0.3">
      <c r="A273" s="36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40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1:28" ht="16.5" x14ac:dyDescent="0.3">
      <c r="A274" s="36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40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1:28" ht="16.5" x14ac:dyDescent="0.3">
      <c r="A275" s="36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40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1:28" ht="16.5" x14ac:dyDescent="0.3">
      <c r="A276" s="36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40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1:28" ht="16.5" x14ac:dyDescent="0.3">
      <c r="A277" s="36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40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1:28" ht="16.5" x14ac:dyDescent="0.3">
      <c r="A278" s="36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40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1:28" ht="16.5" x14ac:dyDescent="0.3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40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1:28" ht="16.5" x14ac:dyDescent="0.3">
      <c r="A280" s="36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40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1:28" ht="16.5" x14ac:dyDescent="0.3">
      <c r="A281" s="36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40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1:28" ht="16.5" x14ac:dyDescent="0.3">
      <c r="A282" s="36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40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1:28" ht="16.5" x14ac:dyDescent="0.3">
      <c r="A283" s="36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40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1:28" ht="16.5" x14ac:dyDescent="0.3">
      <c r="A284" s="36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40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1:28" ht="16.5" x14ac:dyDescent="0.3">
      <c r="A285" s="36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40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1:28" ht="16.5" x14ac:dyDescent="0.3">
      <c r="A286" s="36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40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1:28" ht="16.5" x14ac:dyDescent="0.3">
      <c r="A287" s="36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40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1:28" ht="16.5" x14ac:dyDescent="0.3">
      <c r="A288" s="36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40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1:28" ht="16.5" x14ac:dyDescent="0.3">
      <c r="A289" s="36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40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1:28" ht="16.5" x14ac:dyDescent="0.3">
      <c r="A290" s="36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40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1:28" ht="16.5" x14ac:dyDescent="0.3">
      <c r="A291" s="36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40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1:28" ht="16.5" x14ac:dyDescent="0.3">
      <c r="A292" s="36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40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1:28" ht="16.5" x14ac:dyDescent="0.3">
      <c r="A293" s="36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40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1:28" ht="16.5" x14ac:dyDescent="0.3">
      <c r="A294" s="36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40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</sheetData>
  <mergeCells count="1">
    <mergeCell ref="A1:N1"/>
  </mergeCells>
  <phoneticPr fontId="2" type="noConversion"/>
  <pageMargins left="0.25" right="0.25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24년 목표대비 달성률</vt:lpstr>
      <vt:lpstr>매장별 목표 및 23년 대비 차액</vt:lpstr>
      <vt:lpstr>24년 매장별 물류 사용량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cp:lastPrinted>2025-01-03T08:38:08Z</cp:lastPrinted>
  <dcterms:created xsi:type="dcterms:W3CDTF">2024-12-13T08:29:41Z</dcterms:created>
  <dcterms:modified xsi:type="dcterms:W3CDTF">2025-01-03T08:38:12Z</dcterms:modified>
</cp:coreProperties>
</file>