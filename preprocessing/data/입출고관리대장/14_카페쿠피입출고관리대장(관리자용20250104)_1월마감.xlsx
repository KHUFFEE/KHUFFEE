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preprocessing\data\입출고관리대장\"/>
    </mc:Choice>
  </mc:AlternateContent>
  <x:bookViews>
    <x:workbookView xWindow="0" yWindow="0" windowWidth="18750" windowHeight="17810" activeTab="3"/>
  </x:bookViews>
  <x:sheets>
    <x:sheet name="본사창고" sheetId="1" r:id="rId4"/>
    <x:sheet name="캠퍼스타운_외부원두영업" sheetId="2" r:id="rId5"/>
    <x:sheet name="잇다카페_외부원두영업" sheetId="3" r:id="rId6"/>
    <x:sheet name="푸른솔" sheetId="4" r:id="rId7"/>
    <x:sheet name="의과대학" sheetId="5" r:id="rId8"/>
    <x:sheet name="중앙도서관" sheetId="6" r:id="rId9"/>
    <x:sheet name="학생회관" sheetId="7" r:id="rId10"/>
    <x:sheet name="제2기숙사" sheetId="8" r:id="rId11"/>
    <x:sheet name="멀티미디어관" sheetId="9" r:id="rId12"/>
    <x:sheet name="선승관" sheetId="10" r:id="rId13"/>
    <x:sheet name="예술디자인대" sheetId="11" r:id="rId14"/>
    <x:sheet name="공학관" sheetId="12" r:id="rId15"/>
  </x:sheets>
  <x:definedNames>
    <x:definedName name="_xlnm._FilterDatabase" localSheetId="0" hidden="1">본사창고!$A$4:$AC$76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Windows 사용자</x:author>
  </x:authors>
  <x:commentList>
    <x:comment ref="M69:M69" authorId="0">
      <x:text>
        <x:r>
          <x:rPr>
            <x:rFont val="Tahoma"/>
            <x:sz val="9"/>
            <x:color rgb="ff000000"/>
            <x:b val="1"/>
          </x:rPr>
          <x:t>12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31</x:t>
        </x:r>
        <x:r>
          <x:rPr>
            <x:rFont val="돋움"/>
            <x:sz val="9"/>
            <x:color rgb="ff000000"/>
            <x:b val="1"/>
          </x:rPr>
          <x:t>일</x:t>
        </x:r>
        <x:r>
          <x:rPr>
            <x:rFont val="Tahoma"/>
            <x:sz val="9"/>
            <x:color rgb="ff000000"/>
            <x:b val="1"/>
          </x:rPr>
          <x:t xml:space="preserve"> 66kg </x:t>
        </x:r>
        <x:r>
          <x:rPr>
            <x:rFont val="돋움"/>
            <x:sz val="9"/>
            <x:color rgb="ff000000"/>
            <x:b val="1"/>
          </x:rPr>
          <x:t xml:space="preserve">출고
</x:t>
        </x:r>
        <x:r>
          <x:rPr>
            <x:rFont val="Tahoma"/>
            <x:sz val="9"/>
            <x:color rgb="ff000000"/>
            <x:b val="1"/>
          </x:rPr>
          <x:t>2024</x:t>
        </x:r>
        <x:r>
          <x:rPr>
            <x:rFont val="돋움"/>
            <x:sz val="9"/>
            <x:color rgb="ff000000"/>
            <x:b val="1"/>
          </x:rPr>
          <x:t>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잔여량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결산분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<x:sst xmlns:r="http://schemas.openxmlformats.org/officeDocument/2006/relationships" xmlns:c="http://schemas.openxmlformats.org/drawingml/2006/chart" xmlns:x="http://schemas.openxmlformats.org/spreadsheetml/2006/main" count="2838" uniqueCount="169">
  <x:si>
    <x:t>출고단위</x:t>
  </x:si>
  <x:si>
    <x:r>
      <x:t>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  <x:b val="1"/>
          </x:rPr>
        </mc:Fallback>
      </mc:AlternateContent>
      <x:t xml:space="preserve">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1,2,3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
출고량</x:t>
    </x:r>
  </x:si>
  <x:si>
    <x:t>15cm 개별포장커피스틱</x:t>
  </x:si>
  <x:si>
    <x:t>1box=10000ea</x:t>
  </x:si>
  <x:si>
    <x:t>*원두 확인 추가 발주</x:t>
  </x:si>
  <x:si>
    <x:t>1bundle=500ea</x:t>
  </x:si>
  <x:si>
    <x:t>1bundle=1000ea</x:t>
  </x:si>
  <x:si>
    <x:t>21cm 종이 스트로우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</x:si>
  <x:si>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</x:si>
  <x:si>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</x:si>
  <x:si>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</x:si>
  <x:si>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</x:si>
  <x:si>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</x:si>
  <x:si>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</x:si>
  <x:si>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</x:si>
  <x:si>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</x:si>
  <x:si>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</x:si>
  <x:si>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</x:si>
  <x:si>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</x:si>
  <x:si>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</x:si>
  <x:si>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</x:si>
  <x:si>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</x:si>
  <x:si>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</x:si>
  <x:si>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</x:si>
  <x:si>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</x:si>
  <x:si>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t>1kg x 10ea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</x:si>
  <x:si>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</x:si>
  <x:si>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</x:si>
  <x:si>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t>1.8kg x 6ea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</x:si>
  <x:si>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</x:si>
  <x:si>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</x:si>
  <x:si>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t>500g x 6ea</x:t>
  </x:si>
  <x:si>
    <x:t>1kg x 4ea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</x:si>
  <x:si>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</x:si>
  <x:si>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</x:si>
  <x:si>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  <x:r>
      <x:rPr>
        <x:rFont val="Arial"/>
        <x:sz val="10"/>
        <x:color rgb="ff000000"/>
      </x:rPr>
      <x:t>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</x:si>
  <x:si>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크림소다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</x:si>
  <x:si>
    <x:t>1box=10kg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</x:si>
  <x:si>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</x:si>
  <x:si>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</x:si>
  <x:si>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t>성유엔터프라이즈</x:t>
  </x:si>
  <x:si>
    <x:t>1.89L x 4ea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</x:si>
  <x:si>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</x:si>
  <x:si>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</x:si>
  <x:si>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t>1box=10pack</x:t>
  </x:si>
  <x:si>
    <x:t>1box=12ea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</x:si>
  <x:si>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</x:si>
  <x:si>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</x:si>
  <x:si>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t>1box=8000ea</x:t>
  </x:si>
  <x:si>
    <x:t>1box=1000ea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</x:si>
  <x:si>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</x:si>
  <x:si>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</x:si>
  <x:si>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t>1box=3200ea</x:t>
  </x:si>
  <x:si>
    <x:t>1box=20ea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</x:si>
  <x:si>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</x:si>
  <x:si>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t>1kg x 12ea</x:t>
  </x:si>
  <x:si>
    <x:t>1box=6ea</x:t>
  </x:si>
  <x:si>
    <x:t>1box = 12ea</x:t>
  </x:si>
  <x:si>
    <x:t>1box=8ea</x:t>
  </x:si>
  <x:si>
    <x:t>1pack=200ea</x:t>
  </x:si>
  <x:si>
    <x:t>1box=5000ea</x:t>
  </x:si>
  <x:si>
    <x:t>1box=4000ea</x:t>
  </x:si>
  <x:si>
    <x:t>1box=200ea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</x:si>
  <x:si>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</x:si>
  <x:si>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</x:si>
  <x:si>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t>비스토리코리아</x:t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</x:si>
  <x:si>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</x:si>
  <x:si>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</x:si>
  <x:si>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t>pack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</x:si>
  <x:si>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</x:si>
  <x:si>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t>3주차 발주</x:t>
  </x:si>
  <x:si>
    <x:t>성원애드피아</x:t>
  </x:si>
  <x:si>
    <x:t>1주차 발주</x:t>
  </x:si>
  <x:si>
    <x:t>세미기업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</x:si>
  <x:si>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</x:si>
  <x:si>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</x:si>
  <x:si>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</x:si>
  <x:si>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</x:si>
  <x:si>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</x:si>
  <x:si>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t>월 발주량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</x:si>
  <x:si>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</x:si>
  <x:si>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</x:si>
  <x:si>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t>전월 재고</x:t>
  </x:si>
  <x:si>
    <x:t>입고단위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</x:si>
  <x:si>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</x:si>
  <x:si>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t>콤부차진저레몬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</x:si>
  <x:si>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</x:si>
  <x:si>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t>5주차 발주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</x:si>
  <x:si>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</x:si>
  <x:si>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</x:si>
  <x:si>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</x:si>
  <x:si>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t>월 발주 금액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</x:si>
  <x:si>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</x:si>
  <x:si>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</x:si>
  <x:si>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</x:si>
  <x:si>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t>2주차 발주</x:t>
  </x:si>
  <x:si>
    <x:t>4주차 발주</x:t>
  </x:si>
  <x:si>
    <x:t>입고단가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</x:si>
  <x:si>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</x:si>
  <x:si>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재고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</x:si>
  <x:si>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</x:si>
  <x:si>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</x:si>
  <x:si>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</x:si>
  <x:si>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</x:si>
  <x:si>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</x:si>
  <x:si>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</x:si>
  <x:si>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</x:si>
  <x:si>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</x:si>
  <x:si>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자두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스무디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</x:si>
  <x:si>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</x:si>
  <x:si>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</x:si>
  <x:si>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t>입고단위단가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</x:si>
  <x:si>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</x:si>
  <x:si>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</x:si>
  <x:si>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</x:si>
  <x:si>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</x:si>
  <x:si>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</x:si>
  <x:si>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</x:si>
  <x:si>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</x:si>
  <x:si>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</x:si>
  <x:si>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</x:si>
  <x:si>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</x:si>
  <x:si>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</x:si>
  <x:si>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</x:si>
  <x:si>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</x:si>
  <x:si>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</x:si>
  <x:si>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t>카페 쿠피 1월 발주 관리 대장 (교육용,R&amp;D,삼의원(잇다카페))</x:t>
  </x:si>
  <x:si>
    <x:t>1kg x 6ea</x:t>
  </x:si>
  <x:si>
    <x:t>500g * 12ea</x:t>
  </x:si>
  <x:si>
    <x:t>신규 원두(가격인상)</x:t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</x:si>
  <x:si>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</x:si>
  <x:si>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</x:si>
  <x:si>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t>단위</x:t>
  </x:si>
  <x:si>
    <x:t>삼다수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</x:si>
  <x:si>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</x:si>
  <x:si>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t>협력사</x:t>
  </x:si>
  <x:si>
    <x:t>휴럼</x:t>
  </x:si>
  <x:si>
    <x:t>현재고</x:t>
  </x:si>
  <x:si>
    <x:t xml:space="preserve"> </x:t>
  </x:si>
  <x:si>
    <x:t>품목명</x:t>
  </x:si>
  <x:si>
    <x:t>ea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</x:si>
  <x:si>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</x:si>
  <x:si>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t>1ea</x:t>
  </x:si>
  <x:si>
    <x:t>규격</x:t>
  </x:si>
  <x:si>
    <x:t>kg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</x:si>
  <x:si>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</x:si>
  <x:si>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</x:si>
  <x:si>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</x:si>
  <x:si>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군고구마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  <x:r>
      <x:rPr>
        <x:rFont val="Arial"/>
        <x:sz val="10"/>
        <x:color rgb="ff000000"/>
      </x:rPr>
      <x:t xml:space="preserve"> 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추가</x:t>
    </x:r>
    <x:r>
      <x:rPr>
        <x:rFont val="Arial"/>
        <x:sz val="10"/>
        <x:color rgb="ff000000"/>
      </x:rPr>
      <x:t>)</x:t>
    </x:r>
  </x:si>
  <x:si>
    <x:t>월 마감 후 익월 15일 결제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</x:si>
  <x:si>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(750ml)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</x:si>
  <x:si>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피스타치오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파우더</x:t>
    </x:r>
    <x:r>
      <x:rPr>
        <x:rFont val="Arial"/>
        <x:sz val="10"/>
        <x:color rgb="ff000000"/>
      </x:rPr>
      <x:t xml:space="preserve"> 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추가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</x:si>
  <x:si>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(750ml)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</x:si>
  <x:si>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</x:si>
  <x:si>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</x:si>
  <x:si>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t>카페 쿠피 1월 발주 관리 대장 (학생회관)</x:t>
  </x:si>
  <x:si>
    <x:t>카페 쿠피 1월 발주 관리 대장 (멀티미디어관)</x:t>
  </x:si>
  <x:si>
    <x:t>카페 쿠피 1월 발주 관리 대장 (예술디자인대)</x:t>
  </x:si>
  <x:si>
    <x:t>카페 쿠피 1월 발주 관리 대장 (제2기숙사)</x:t>
  </x:si>
  <x:si>
    <x:t>카페 쿠피 1월 발주 관리 대장 (의과대학)</x:t>
  </x:si>
  <x:si>
    <x:t>카페 쿠피 1월 입출고 관리 대장 (본사창고)</x:t>
  </x:si>
  <x:si>
    <x:t>카페 쿠피 1월 발주 관리 대장 (중앙도서관)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</x:si>
  <x:si>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제주하늘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말차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파우더</x:t>
    </x:r>
    <x:r>
      <x:rPr>
        <x:rFont val="Arial"/>
        <x:sz val="10"/>
        <x:color rgb="ff000000"/>
      </x:rPr>
      <x:t xml:space="preserve"> 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추가</x:t>
    </x:r>
    <x:r>
      <x:rPr>
        <x:rFont val="Arial"/>
        <x:sz val="10"/>
        <x:color rgb="ff000000"/>
      </x:rPr>
      <x:t>)</x:t>
    </x:r>
  </x:si>
  <x:si>
    <x:t>카페 쿠피 1월 발주 관리 대장 (선승관)</x:t>
  </x:si>
  <x:si>
    <x:t>카페 쿠피 1월 발주 관리 대장 (공학관)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</x:si>
  <x:si>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공주밤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파우더</x:t>
    </x:r>
    <x:r>
      <x:rPr>
        <x:rFont val="Arial"/>
        <x:sz val="10"/>
        <x:color rgb="ff000000"/>
      </x:rPr>
      <x:t xml:space="preserve"> 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추가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</x:si>
  <x:si>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</x:si>
  <x:si>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립톤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복숭아파우더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(907g)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가격인상</x:t>
    </x:r>
  </x:si>
  <x:si>
    <x:t>카페 쿠피 1월 발주 관리 대장 (푸른솔)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</x:si>
</x:sst>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  <x:numFmt numFmtId="167" formatCode="_-* #,##0.0000_-;\-* #,##0.0000_-;_-* &quot;-&quot;_-;_-@_-"/>
    <x:numFmt numFmtId="168" formatCode="0_);[Red]\(0\)"/>
  </x:numFmts>
  <x:fonts count="2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  <x:b val="1"/>
    </x:fo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c9c9c9"/>
        <x:bgColor rgb="ff000000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ff00"/>
        <x:bgColor rgb="ff000000"/>
      </x:patternFill>
    </x:fill>
  </x:fills>
  <x:borders count="96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thin">
        <x:color auto="1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</x:borders>
  <x:cellStyleXfs count="17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530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2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2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3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3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5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5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9" fillId="0" borderId="7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7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1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5" xfId="2" applyNumberFormat="1" applyFont="1" applyBorder="1">
      <x:alignment horizontal="general" vertical="center"/>
    </x:xf>
    <x:xf numFmtId="41" fontId="9" fillId="0" borderId="16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0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5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2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3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0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0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7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7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6" xfId="2" applyNumberFormat="1" applyFont="1" applyFill="1" applyBorder="1" applyAlignment="1" applyProtection="1">
      <x:alignment horizontal="left" vertical="center"/>
      <x:protection locked="0"/>
    </x:xf>
    <x:xf numFmtId="41" fontId="9" fillId="0" borderId="7" xfId="2" applyNumberFormat="1" applyFont="1" applyFill="1" applyBorder="1" applyAlignment="1" applyProtection="1">
      <x:alignment horizontal="left" vertical="center"/>
      <x:protection locked="0"/>
    </x:xf>
    <x:xf numFmtId="41" fontId="9" fillId="0" borderId="16" xfId="2" applyNumberFormat="1" applyFont="1" applyFill="1" applyBorder="1" applyAlignment="1" applyProtection="1">
      <x:alignment horizontal="left" vertical="center"/>
      <x:protection locked="0"/>
    </x:xf>
    <x:xf numFmtId="41" fontId="9" fillId="0" borderId="16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1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4" xfId="2" applyNumberFormat="1" applyFont="1" applyBorder="1">
      <x:alignment horizontal="general" vertical="center"/>
    </x:xf>
    <x:xf numFmtId="41" fontId="10" fillId="0" borderId="31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4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37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5" borderId="3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x:xf numFmtId="166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8" fillId="2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6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8" fillId="2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1" applyNumberFormat="1">
      <x:alignment horizontal="general" vertical="center"/>
    </x:xf>
    <x:xf numFmtId="41" fontId="0" fillId="0" borderId="39" xfId="2" applyNumberFormat="1" applyFont="1" applyBorder="1">
      <x:alignment horizontal="general" vertical="center"/>
    </x:xf>
    <x:xf numFmtId="41" fontId="10" fillId="0" borderId="5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4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0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0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1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1" xfId="2" applyNumberFormat="1" applyFont="1" applyBorder="1" applyAlignment="1">
          <x:alignment horizontal="center" vertical="center" wrapText="1"/>
        </x:xf>
      </mc:Fallback>
    </mc:AlternateContent>
    <x:xf numFmtId="41" fontId="9" fillId="0" borderId="15" xfId="2" applyNumberFormat="1" applyFont="1" applyBorder="1">
      <x:alignment horizontal="general" vertical="center"/>
    </x:xf>
    <x:xf numFmtId="41" fontId="9" fillId="0" borderId="8" xfId="2" applyNumberFormat="1" applyFont="1" applyBorder="1">
      <x:alignment horizontal="general" vertical="center"/>
    </x:xf>
    <x:xf numFmtId="41" fontId="9" fillId="0" borderId="26" xfId="2" applyNumberFormat="1" applyFont="1" applyBorder="1">
      <x:alignment horizontal="general" vertical="center"/>
    </x:xf>
    <x:xf numFmtId="41" fontId="9" fillId="0" borderId="39" xfId="2" applyNumberFormat="1" applyFont="1" applyBorder="1">
      <x:alignment horizontal="general" vertical="center"/>
    </x:xf>
    <x:xf numFmtId="41" fontId="9" fillId="0" borderId="24" xfId="2" applyNumberFormat="1" applyFont="1" applyBorder="1">
      <x:alignment horizontal="general" vertical="center"/>
    </x:xf>
    <x:xf numFmtId="41" fontId="9" fillId="0" borderId="2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20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0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42" xfId="2" applyNumberFormat="1" applyFont="1" applyBorder="1">
      <x:alignment horizontal="general" vertical="center"/>
    </x:xf>
    <x:xf numFmtId="41" fontId="12" fillId="0" borderId="11" xfId="2" applyNumberFormat="1" applyFont="1" applyBorder="1" applyAlignment="1" applyProtection="1">
      <x:alignment horizontal="left" vertical="center"/>
      <x:protection locked="0"/>
    </x:xf>
    <x:xf numFmtId="41" fontId="10" fillId="0" borderId="43" xfId="2" applyNumberFormat="1" applyFont="1" applyBorder="1">
      <x:alignment horizontal="general" vertical="center"/>
    </x:xf>
    <x:xf numFmtId="41" fontId="10" fillId="0" borderId="44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9" fillId="0" borderId="1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6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0" fontId="13" fillId="0" borderId="0" xfId="0" applyNumberFormat="1" applyFont="1">
      <x:alignment horizontal="general" vertical="center"/>
    </x:xf>
    <x:xf numFmtId="41" fontId="12" fillId="0" borderId="16" xfId="2" applyNumberFormat="1" applyFont="1" applyFill="1" applyBorder="1" applyAlignment="1" applyProtection="1">
      <x:alignment horizontal="left" vertical="center"/>
      <x:protection locked="0"/>
    </x:xf>
    <x:xf numFmtId="41" fontId="9" fillId="0" borderId="25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9" fillId="0" borderId="25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5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5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5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5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5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5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5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8" fontId="9" fillId="3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2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2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0" xfId="3" applyNumberFormat="1" applyFont="1" applyAlignment="1">
      <x:alignment horizontal="general" vertical="center"/>
    </x:xf>
    <x:xf numFmtId="41" fontId="0" fillId="0" borderId="0" xfId="3" applyNumberFormat="1" applyFont="1">
      <x:alignment horizontal="general" vertical="center"/>
    </x:xf>
    <x:xf numFmtId="41" fontId="0" fillId="0" borderId="0" xfId="3" applyNumberFormat="1" applyFont="1" applyFill="1">
      <x:alignment horizontal="general" vertical="center"/>
    </x:xf>
    <x:xf numFmtId="41" fontId="0" fillId="0" borderId="56" xfId="3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2" xfId="3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" xfId="3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2" xfId="3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2" xfId="3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2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2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3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3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3" borderId="6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3" borderId="6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4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4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5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5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57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57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5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5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58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58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7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7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8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8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9" borderId="4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9" borderId="4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9" fillId="0" borderId="7" xfId="3" applyNumberFormat="1" applyFont="1" applyFill="1" applyBorder="1" applyAlignment="1" applyProtection="1">
      <x:alignment horizontal="left" vertical="center"/>
      <x:protection locked="0"/>
    </x:xf>
    <x:xf numFmtId="41" fontId="9" fillId="0" borderId="7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7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3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59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59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32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32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3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3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6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45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45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33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33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6" xfId="3" applyNumberFormat="1" applyFont="1" applyFill="1" applyBorder="1" applyAlignment="1" applyProtection="1">
      <x:alignment horizontal="left" vertical="center"/>
      <x:protection locked="0"/>
    </x:xf>
    <x:xf numFmtId="41" fontId="9" fillId="0" borderId="16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1" xfId="3" applyNumberFormat="1" applyFont="1" applyBorder="1" applyAlignment="1" applyProtection="1">
      <x:alignment horizontal="left" vertical="center"/>
      <x:protection locked="0"/>
    </x:xf>
    <x:xf numFmtId="41" fontId="9" fillId="0" borderId="11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18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18" xfId="3" applyNumberFormat="1" applyFont="1" applyFill="1" applyBorder="1" applyAlignment="1" applyProtection="1">
          <x:alignment horizontal="right" vertical="center"/>
        </x:xf>
      </mc:Fallback>
    </mc:AlternateContent>
    <x:xf numFmtId="41" fontId="9" fillId="0" borderId="25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2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3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3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36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36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3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3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0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3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35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35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3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3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2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2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63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63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1" xfId="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4" borderId="3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3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3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0" xfId="3" applyNumberFormat="1" applyFont="1">
      <x:alignment horizontal="general" vertical="center"/>
    </x:xf>
    <x:xf numFmtId="41" fontId="10" fillId="0" borderId="31" xfId="3" applyNumberFormat="1" applyFont="1" applyBorder="1">
      <x:alignment horizontal="general" vertical="center"/>
    </x:xf>
    <x:xf numFmtId="41" fontId="10" fillId="0" borderId="37" xfId="3" applyNumberFormat="1" applyFont="1" applyBorder="1">
      <x:alignment horizontal="general" vertical="center"/>
    </x:xf>
    <x:xf numFmtId="41" fontId="10" fillId="0" borderId="58" xfId="3" applyNumberFormat="1" applyFont="1" applyBorder="1">
      <x:alignment horizontal="general" vertical="center"/>
    </x:xf>
    <x:xf numFmtId="41" fontId="10" fillId="0" borderId="5" xfId="3" applyNumberFormat="1" applyFont="1" applyBorder="1">
      <x:alignment horizontal="general" vertical="center"/>
    </x:xf>
    <x:xf numFmtId="41" fontId="10" fillId="0" borderId="65" xfId="3" applyNumberFormat="1" applyFont="1" applyBorder="1">
      <x:alignment horizontal="general" vertical="center"/>
    </x:xf>
    <x:xf numFmtId="41" fontId="0" fillId="0" borderId="0" xfId="3" applyNumberFormat="1" applyFont="1">
      <x:alignment horizontal="general" vertical="center"/>
    </x:xf>
    <x:xf numFmtId="41" fontId="10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16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6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25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5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20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0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7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7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5" fillId="0" borderId="0" xfId="3" applyNumberFormat="1" applyFont="1">
      <x:alignment horizontal="general" vertical="center"/>
    </x:xf>
    <x:xf numFmtId="41" fontId="16" fillId="0" borderId="0" xfId="3" applyNumberFormat="1" applyFont="1">
      <x:alignment horizontal="general" vertical="center"/>
    </x:xf>
    <x:xf numFmtId="41" fontId="0" fillId="0" borderId="0" xfId="3" applyNumberFormat="1" applyFont="1" applyFill="1" applyBorder="1">
      <x:alignment horizontal="general" vertical="center"/>
    </x:xf>
    <x:xf numFmtId="41" fontId="17" fillId="0" borderId="0" xfId="3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43" xfId="3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3" xfId="3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1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1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0" xfId="3" applyNumberFormat="1" applyFont="1" applyFill="1" applyBorder="1">
      <x:alignment horizontal="general" vertical="center"/>
    </x:xf>
    <x:xf numFmtId="41" fontId="0" fillId="0" borderId="0" xfId="3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0" borderId="5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1" xfId="2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9" fillId="0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53" xfId="2" applyNumberFormat="1" applyFont="1" applyFill="1" applyBorder="1">
      <x:alignment horizontal="general" vertical="center"/>
    </x:xf>
    <x:xf numFmtId="41" fontId="9" fillId="0" borderId="23" xfId="2" applyNumberFormat="1" applyFont="1" applyFill="1" applyBorder="1">
      <x:alignment horizontal="general" vertical="center"/>
    </x:xf>
    <x:xf numFmtId="41" fontId="9" fillId="0" borderId="29" xfId="2" applyNumberFormat="1" applyFont="1" applyFill="1" applyBorder="1">
      <x:alignment horizontal="general" vertical="center"/>
    </x:xf>
    <x:xf numFmtId="41" fontId="9" fillId="0" borderId="54" xfId="2" applyNumberFormat="1" applyFont="1" applyFill="1" applyBorder="1">
      <x:alignment horizontal="general" vertical="center"/>
    </x:xf>
    <x:xf numFmtId="41" fontId="0" fillId="0" borderId="23" xfId="2" applyNumberFormat="1" applyFont="1" applyFill="1" applyBorder="1">
      <x:alignment horizontal="general" vertical="center"/>
    </x:xf>
    <x:xf numFmtId="41" fontId="0" fillId="0" borderId="54" xfId="2" applyNumberFormat="1" applyFont="1" applyFill="1" applyBorder="1">
      <x:alignment horizontal="general" vertical="center"/>
    </x:xf>
    <x:xf numFmtId="41" fontId="0" fillId="0" borderId="53" xfId="2" applyNumberFormat="1" applyFont="1" applyFill="1" applyBorder="1">
      <x:alignment horizontal="general" vertical="center"/>
    </x:xf>
    <x:xf numFmtId="41" fontId="0" fillId="0" borderId="67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3" borderId="7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8" xfId="3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2" borderId="9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9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8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8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8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8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3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3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21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21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8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8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21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21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3" borderId="20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3" borderId="20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9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9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8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8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8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8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3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3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21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21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8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8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21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21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0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0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7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7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68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68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69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69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69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69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70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70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71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71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10" borderId="69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0" borderId="69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10" borderId="71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0" borderId="71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72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72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73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73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74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74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75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75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2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9" fillId="0" borderId="22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2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7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7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7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7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7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7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7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0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0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78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78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7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7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77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77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7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60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7" borderId="79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79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34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34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1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1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80" xfId="2" applyNumberFormat="1" applyFont="1" applyFill="1" applyBorder="1">
      <x:alignment horizontal="general" vertical="center"/>
    </x:xf>
    <x:xf numFmtId="41" fontId="9" fillId="0" borderId="59" xfId="3" applyNumberFormat="1" applyFont="1" applyBorder="1" applyAlignment="1" applyProtection="1">
      <x:alignment horizontal="left" vertical="center"/>
      <x:protection locked="0"/>
    </x:xf>
    <x:xf numFmtId="41" fontId="16" fillId="0" borderId="81" xfId="3" applyNumberFormat="1" applyFont="1" applyBorder="1" applyAlignment="1" applyProtection="1">
      <x:alignment horizontal="left" vertical="center"/>
      <x:protection locked="0"/>
    </x:xf>
    <x:xf numFmtId="41" fontId="9" fillId="0" borderId="27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1" fillId="0" borderId="82" xfId="3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82" xfId="3" applyNumberFormat="1" applyFont="1" applyBorder="1" applyAlignment="1" applyProtection="1">
          <x:alignment horizontal="center" vertical="center"/>
          <x:protection locked="0"/>
        </x:xf>
      </mc:Fallback>
    </mc:AlternateContent>
    <x:xf numFmtId="41" fontId="9" fillId="0" borderId="10" xfId="3" applyNumberFormat="1" applyFont="1" applyFill="1" applyBorder="1" applyAlignment="1" applyProtection="1">
      <x:alignment horizontal="left" vertical="center"/>
      <x:protection locked="0"/>
    </x:xf>
    <x:xf numFmtId="41" fontId="9" fillId="0" borderId="19" xfId="3" applyNumberFormat="1" applyFont="1" applyBorder="1" applyAlignment="1" applyProtection="1">
      <x:alignment horizontal="left" vertical="center"/>
      <x:protection locked="0"/>
    </x:xf>
    <x:xf numFmtId="41" fontId="9" fillId="0" borderId="19" xfId="3" applyNumberFormat="1" applyFont="1" applyFill="1" applyBorder="1" applyAlignment="1" applyProtection="1">
      <x:alignment horizontal="left" vertical="center"/>
      <x:protection locked="0"/>
    </x:xf>
    <x:xf numFmtId="41" fontId="9" fillId="0" borderId="19" xfId="3" applyNumberFormat="1" applyFont="1" applyFill="1" applyBorder="1" applyAlignment="1" applyProtection="1">
      <x:alignment horizontal="left" vertical="center"/>
      <x:protection locked="0"/>
    </x:xf>
    <x:xf numFmtId="41" fontId="9" fillId="0" borderId="14" xfId="3" applyNumberFormat="1" applyFont="1" applyBorder="1" applyAlignment="1" applyProtection="1">
      <x:alignment horizontal="left" vertical="center"/>
      <x:protection locked="0"/>
    </x:xf>
    <x:xf numFmtId="41" fontId="19" fillId="0" borderId="19" xfId="3" applyNumberFormat="1" applyFont="1" applyBorder="1" applyAlignment="1" applyProtection="1">
      <x:alignment horizontal="left" vertical="center"/>
      <x:protection locked="0"/>
    </x:xf>
    <x:xf numFmtId="41" fontId="9" fillId="0" borderId="10" xfId="3" applyNumberFormat="1" applyFont="1" applyBorder="1" applyAlignment="1" applyProtection="1">
      <x:alignment horizontal="left" vertical="center"/>
      <x:protection locked="0"/>
    </x:xf>
    <x:xf numFmtId="41" fontId="9" fillId="0" borderId="14" xfId="3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1" fillId="0" borderId="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5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5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3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3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30" xfId="2" applyNumberFormat="1" applyFont="1" applyBorder="1">
      <x:alignment horizontal="general" vertical="center"/>
    </x:xf>
    <x:xf numFmtId="41" fontId="9" fillId="0" borderId="19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0" borderId="8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6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6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8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8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9" borderId="1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9" borderId="1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8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8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7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7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6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6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77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77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1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1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7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7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9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9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0" borderId="84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0" borderId="84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5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5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7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7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8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8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9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9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91" xfId="10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91" xfId="10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77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77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8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8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9" fillId="3" borderId="6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9" fillId="3" borderId="6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2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2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3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3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0" xfId="2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0" xfId="2" applyNumberFormat="1" applyFont="1" applyAlignment="1">
          <x:alignment horizontal="right" vertical="center"/>
        </x:xf>
      </mc:Fallback>
    </mc:AlternateContent>
    <x:xf numFmtId="41" fontId="9" fillId="0" borderId="81" xfId="3" applyNumberFormat="1" applyFont="1" applyBorder="1" applyAlignment="1" applyProtection="1">
      <x:alignment horizontal="left" vertical="center"/>
      <x:protection locked="0"/>
    </x:xf>
    <x:xf numFmtId="41" fontId="9" fillId="0" borderId="61" xfId="3" applyNumberFormat="1" applyFont="1" applyBorder="1" applyAlignment="1" applyProtection="1">
      <x:alignment horizontal="left" vertical="center"/>
      <x:protection locked="0"/>
    </x:xf>
    <x:xf numFmtId="41" fontId="9" fillId="0" borderId="19" xfId="3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3" borderId="5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5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66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66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18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18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13" xfId="3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13" xfId="3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34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34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9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9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0" xfId="3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0" xfId="3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1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1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1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1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1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1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1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1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2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2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0" xfId="15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0" xfId="15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6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6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7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7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7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7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48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8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85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85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55" xfId="16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55" xfId="16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2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2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29" xfId="2" applyNumberFormat="1" applyFont="1" applyBorder="1" applyAlignment="1">
          <x:alignment horizontal="center" vertical="center"/>
        </x:xf>
      </mc:Fallback>
    </mc:AlternateContent>
    <x:xf numFmtId="41" fontId="17" fillId="0" borderId="0" xfId="2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20" fillId="0" borderId="5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5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6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6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6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6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7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7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8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0" xfId="2" applyNumberFormat="1" applyFont="1" applyBorder="1" applyAlignment="1">
          <x:alignment horizontal="center" vertical="center"/>
        </x:xf>
      </mc:Fallback>
    </mc:AlternateContent>
    <x:xf numFmtId="41" fontId="17" fillId="0" borderId="0" xfId="3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1" fillId="0" borderId="9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9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1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18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2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2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77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77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3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3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6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6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0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0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9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9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1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18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2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2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7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7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4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4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13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13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3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38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7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76" xfId="3" applyNumberFormat="1" applyFont="1" applyBorder="1" applyAlignment="1">
          <x:alignment horizontal="center" vertical="center"/>
        </x:xf>
      </mc:Fallback>
    </mc:AlternateContent>
  </x:cellXfs>
  <x:cellStyles count="17">
    <x:cellStyle name="표준" xfId="0" builtinId="0"/>
    <x:cellStyle name="표준 30" xfId="1"/>
    <x:cellStyle name="쉼표 [0] 2 10 13" xfId="2"/>
    <x:cellStyle name="쉼표 [0] 2 10 13 3" xfId="3"/>
    <x:cellStyle name="쉼표 [0] 2 10 13 4" xfId="4"/>
    <x:cellStyle name="쉼표 [0] 2 10 13 2 2" xfId="5"/>
    <x:cellStyle name="쉼표 [0] 2 10 13 5" xfId="6"/>
    <x:cellStyle name="쉼표 [0] 2 10 13 6" xfId="7"/>
    <x:cellStyle name="쉼표 [0] 2 10 13 10" xfId="8"/>
    <x:cellStyle name="쉼표 [0] 2 10 13 11" xfId="9"/>
    <x:cellStyle name="쉼표 [0] 2 10 13 3 9" xfId="10"/>
    <x:cellStyle name="쉼표 [0] 2 10 13 7 2" xfId="11"/>
    <x:cellStyle name="쉼표 [0] 2 10 13 9 2" xfId="12"/>
    <x:cellStyle name="쉼표 [0] 2 10 13 2 3 2" xfId="13"/>
    <x:cellStyle name="쉼표 [0] 2 10 13 13" xfId="14"/>
    <x:cellStyle name="쉼표 [0] 2 10 13 11 2" xfId="15"/>
    <x:cellStyle name="쉼표 [0] 2 10 13 8 2" xfId="16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tabColor rgb="ffffff00"/>
    <x:pageSetUpPr autoPageBreaks="1" fitToPage="1"/>
  </x:sheetPr>
  <x:dimension ref="A1:AC103"/>
  <x:sheetViews>
    <x:sheetView topLeftCell="A1" zoomScale="85" zoomScaleNormal="85" zoomScaleSheetLayoutView="75" workbookViewId="0">
      <x:pane xSplit="2" ySplit="0" topLeftCell="C1" activePane="topRight" state="frozen"/>
      <x:selection pane="topRight" activeCell="K9" activeCellId="0" sqref="K9:K9"/>
    </x:sheetView>
  </x:sheetViews>
  <x:sheetFormatPr defaultColWidth="6.625" defaultRowHeight="16.399999999999999"/>
  <x:cols>
    <x:col min="1" max="1" width="20.875" style="253" customWidth="1"/>
    <x:col min="2" max="2" width="31.125" style="253" bestFit="1" customWidth="1"/>
    <x:col min="3" max="3" width="15.25" style="253" customWidth="1"/>
    <x:col min="4" max="4" width="6.5" style="253" customWidth="1"/>
    <x:col min="5" max="6" width="9.5" style="253" customWidth="1"/>
    <x:col min="7" max="7" width="13.375" style="253" customWidth="1"/>
    <x:col min="8" max="8" width="9.625" style="253" customWidth="1"/>
    <x:col min="9" max="13" width="10.5" style="253" customWidth="1"/>
    <x:col min="14" max="14" width="9.625" style="253" customWidth="1"/>
    <x:col min="15" max="15" width="11.75" style="253" customWidth="1"/>
    <x:col min="16" max="20" width="12.25" style="253" customWidth="1"/>
    <x:col min="21" max="21" width="9.625" style="253" customWidth="1"/>
    <x:col min="22" max="22" width="11.75" style="253" customWidth="1"/>
    <x:col min="23" max="23" width="11.125" style="253" customWidth="1"/>
    <x:col min="24" max="24" width="11.25" style="253" customWidth="1"/>
    <x:col min="25" max="25" width="11.75" style="280" customWidth="1"/>
    <x:col min="26" max="26" width="8.125" style="2" bestFit="1" customWidth="1"/>
    <x:col min="27" max="27" width="10.5" style="2" bestFit="1" customWidth="1"/>
    <x:col min="28" max="29" width="11.75" style="2" customWidth="1"/>
  </x:cols>
  <x:sheetData>
    <x:row r="1" spans="1:29" ht="20.649999999999999">
      <x:c r="A1" s="514" t="s">
        <x:v>160</x:v>
      </x:c>
      <x:c r="B1" s="514"/>
      <x:c r="C1" s="514"/>
      <x:c r="D1" s="514"/>
      <x:c r="E1" s="514"/>
      <x:c r="F1" s="514"/>
      <x:c r="G1" s="514"/>
      <x:c r="H1" s="514"/>
      <x:c r="I1" s="514"/>
      <x:c r="J1" s="514"/>
      <x:c r="K1" s="514"/>
      <x:c r="L1" s="514"/>
      <x:c r="M1" s="514"/>
      <x:c r="N1" s="514"/>
      <x:c r="O1" s="514"/>
      <x:c r="P1" s="514"/>
      <x:c r="Q1" s="514"/>
      <x:c r="R1" s="514"/>
      <x:c r="S1" s="514"/>
      <x:c r="T1" s="514"/>
      <x:c r="U1" s="514"/>
      <x:c r="V1" s="514"/>
      <x:c r="W1" s="514"/>
      <x:c r="X1" s="514"/>
      <x:c r="Y1" s="271"/>
      <x:c r="Z1" s="3"/>
      <x:c r="AA1" s="3"/>
      <x:c r="AB1" s="3"/>
      <x:c r="AC1" s="3"/>
    </x:row>
    <x:row r="2" spans="1:29" ht="20.649999999999999">
      <x:c r="A2" s="514"/>
      <x:c r="B2" s="514"/>
      <x:c r="C2" s="514"/>
      <x:c r="D2" s="514"/>
      <x:c r="E2" s="514"/>
      <x:c r="F2" s="514"/>
      <x:c r="G2" s="514"/>
      <x:c r="H2" s="514"/>
      <x:c r="I2" s="514"/>
      <x:c r="J2" s="514"/>
      <x:c r="K2" s="514"/>
      <x:c r="L2" s="514"/>
      <x:c r="M2" s="514"/>
      <x:c r="N2" s="514"/>
      <x:c r="O2" s="514"/>
      <x:c r="P2" s="514"/>
      <x:c r="Q2" s="514"/>
      <x:c r="R2" s="514"/>
      <x:c r="S2" s="514"/>
      <x:c r="T2" s="514"/>
      <x:c r="U2" s="514"/>
      <x:c r="V2" s="514"/>
      <x:c r="W2" s="514"/>
      <x:c r="X2" s="514"/>
      <x:c r="Y2" s="271"/>
      <x:c r="Z2" s="3"/>
      <x:c r="AA2" s="3"/>
      <x:c r="AB2" s="3"/>
      <x:c r="AC2" s="3"/>
    </x:row>
    <x:row r="3" spans="1:29" ht="16.75">
      <x:c r="A3" s="142"/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  <x:c r="O3" s="143"/>
      <x:c r="P3" s="143"/>
      <x:c r="Q3" s="143"/>
      <x:c r="R3" s="143"/>
      <x:c r="S3" s="143"/>
      <x:c r="T3" s="143"/>
      <x:c r="U3" s="143"/>
      <x:c r="V3" s="144" t="s">
        <x:v>138</x:v>
      </x:c>
      <x:c r="W3" s="143"/>
      <x:c r="X3" s="145"/>
      <x:c r="Y3" s="270"/>
      <x:c r="Z3" s="3"/>
      <x:c r="AA3" s="3"/>
      <x:c r="AB3" s="3"/>
      <x:c r="AC3" s="3"/>
    </x:row>
    <x:row r="4" spans="1:29" ht="27.100000000000001">
      <x:c r="A4" s="385" t="s">
        <x:v>145</x:v>
      </x:c>
      <x:c r="B4" s="376" t="s">
        <x:v>139</x:v>
      </x:c>
      <x:c r="C4" s="146" t="s">
        <x:v>143</x:v>
      </x:c>
      <x:c r="D4" s="146" t="s">
        <x:v>132</x:v>
      </x:c>
      <x:c r="E4" s="147" t="s">
        <x:v>97</x:v>
      </x:c>
      <x:c r="F4" s="148" t="s">
        <x:v>83</x:v>
      </x:c>
      <x:c r="G4" s="148" t="s">
        <x:v>111</x:v>
      </x:c>
      <x:c r="H4" s="149" t="s">
        <x:v>99</x:v>
      </x:c>
      <x:c r="I4" s="150" t="s">
        <x:v>115</x:v>
      </x:c>
      <x:c r="J4" s="151" t="s">
        <x:v>125</x:v>
      </x:c>
      <x:c r="K4" s="151" t="s">
        <x:v>117</x:v>
      </x:c>
      <x:c r="L4" s="152" t="s">
        <x:v>120</x:v>
      </x:c>
      <x:c r="M4" s="151" t="s">
        <x:v>124</x:v>
      </x:c>
      <x:c r="N4" s="153" t="s">
        <x:v>106</x:v>
      </x:c>
      <x:c r="O4" s="154" t="s">
        <x:v>112</x:v>
      </x:c>
      <x:c r="P4" s="155" t="s">
        <x:v>121</x:v>
      </x:c>
      <x:c r="Q4" s="156" t="s">
        <x:v>122</x:v>
      </x:c>
      <x:c r="R4" s="156" t="s">
        <x:v>118</x:v>
      </x:c>
      <x:c r="S4" s="157" t="s">
        <x:v>123</x:v>
      </x:c>
      <x:c r="T4" s="158" t="s">
        <x:v>119</x:v>
      </x:c>
      <x:c r="U4" s="159" t="s">
        <x:v>109</x:v>
      </x:c>
      <x:c r="V4" s="159" t="s">
        <x:v>113</x:v>
      </x:c>
      <x:c r="W4" s="160" t="s">
        <x:v>137</x:v>
      </x:c>
      <x:c r="X4" s="161" t="s">
        <x:v>103</x:v>
      </x:c>
      <x:c r="Y4" s="272" t="s">
        <x:v>1</x:v>
      </x:c>
      <x:c r="Z4" s="95" t="s">
        <x:v>131</x:v>
      </x:c>
      <x:c r="AA4" s="96" t="s">
        <x:v>101</x:v>
      </x:c>
      <x:c r="AB4" s="97" t="s">
        <x:v>16</x:v>
      </x:c>
      <x:c r="AC4" s="98" t="s">
        <x:v>17</x:v>
      </x:c>
    </x:row>
    <x:row r="5" spans="1:29">
      <x:c r="A5" s="526" t="s">
        <x:v>104</x:v>
      </x:c>
      <x:c r="B5" s="377" t="s">
        <x:v>51</x:v>
      </x:c>
      <x:c r="C5" s="163" t="s">
        <x:v>49</x:v>
      </x:c>
      <x:c r="D5" s="163" t="s">
        <x:v>140</x:v>
      </x:c>
      <x:c r="E5" s="164">
        <x:v>37</x:v>
      </x:c>
      <x:c r="F5" s="165">
        <x:v>1000</x:v>
      </x:c>
      <x:c r="G5" s="166">
        <x:v>37000</x:v>
      </x:c>
      <x:c r="H5" s="167">
        <x:v>4000</x:v>
      </x:c>
      <x:c r="I5" s="168"/>
      <x:c r="J5" s="169"/>
      <x:c r="K5" s="169"/>
      <x:c r="L5" s="169"/>
      <x:c r="M5" s="170"/>
      <x:c r="N5" s="171">
        <x:f>I5+J5+K5+L5+M5</x:f>
        <x:v>0</x:v>
      </x:c>
      <x:c r="O5" s="172">
        <x:f>E5*N5</x:f>
        <x:v>0</x:v>
      </x:c>
      <x:c r="P5" s="173">
        <x:f>캠퍼스타운_외부원두영업!I5+잇다카페_외부원두영업!I5+푸른솔!J5+의과대학!I5+중앙도서관!I5+학생회관!I5+멀티미디어관!I5+제2기숙사!I5+선승관!I5+예술디자인대!I5+공학관!I5</x:f>
        <x:v>0</x:v>
      </x:c>
      <x:c r="Q5" s="165">
        <x:f>캠퍼스타운_외부원두영업!J5+잇다카페_외부원두영업!J5+푸른솔!K5+의과대학!J5+중앙도서관!J5+학생회관!J5+멀티미디어관!J5+제2기숙사!J5+선승관!J5+예술디자인대!J5+공학관!J5</x:f>
        <x:v>1000</x:v>
      </x:c>
      <x:c r="R5" s="165">
        <x:f>캠퍼스타운_외부원두영업!K5+잇다카페_외부원두영업!K5+푸른솔!L5+의과대학!K5+중앙도서관!K5+학생회관!K5+제2기숙사!K5+멀티미디어관!K5+선승관!K5+예술디자인대!K5+공학관!K5</x:f>
        <x:v>0</x:v>
      </x:c>
      <x:c r="S5" s="165">
        <x:f>캠퍼스타운_외부원두영업!L5+잇다카페_외부원두영업!L5+푸른솔!M5+의과대학!L5+중앙도서관!L5+학생회관!L5+멀티미디어관!L5+제2기숙사!L5+선승관!L5+예술디자인대!L5+공학관!L5</x:f>
        <x:v>0</x:v>
      </x:c>
      <x:c r="T5" s="174">
        <x:f>캠퍼스타운_외부원두영업!M5+잇다카페_외부원두영업!M5+푸른솔!N5+의과대학!M5+중앙도서관!M5+학생회관!M5+멀티미디어관!M5+제2기숙사!M5+선승관!M5+예술디자인대!M5+공학관!M5</x:f>
        <x:v>0</x:v>
      </x:c>
      <x:c r="U5" s="175">
        <x:f>P5+Q5+R5+S5+T5</x:f>
        <x:v>1000</x:v>
      </x:c>
      <x:c r="V5" s="176">
        <x:f>E5*U5</x:f>
        <x:v>37000</x:v>
      </x:c>
      <x:c r="W5" s="177">
        <x:f>(H5+N5)-U5</x:f>
        <x:v>3000</x:v>
      </x:c>
      <x:c r="X5" s="178">
        <x:f t="shared" ref="X5:X36" si="0">E5*W5</x:f>
        <x:v>111000</x:v>
      </x:c>
      <x:c r="Y5" s="273">
        <x:v>1000</x:v>
      </x:c>
      <x:c r="Z5" s="302">
        <x:v>0</x:v>
      </x:c>
      <x:c r="AA5" s="100">
        <x:f t="shared" ref="AA5:AA41" si="1">Z5*E5</x:f>
        <x:v>0</x:v>
      </x:c>
      <x:c r="AB5" s="490">
        <x:f>SUM(AA5:AA40)</x:f>
        <x:v>4954000</x:v>
      </x:c>
      <x:c r="AC5" s="493">
        <x:f>AB5*1.1</x:f>
        <x:v>5449400</x:v>
      </x:c>
    </x:row>
    <x:row r="6" spans="1:29">
      <x:c r="A6" s="527"/>
      <x:c r="B6" s="378" t="s">
        <x:v>50</x:v>
      </x:c>
      <x:c r="C6" s="179" t="s">
        <x:v>49</x:v>
      </x:c>
      <x:c r="D6" s="179" t="s">
        <x:v>140</x:v>
      </x:c>
      <x:c r="E6" s="180">
        <x:v>43</x:v>
      </x:c>
      <x:c r="F6" s="181">
        <x:v>1000</x:v>
      </x:c>
      <x:c r="G6" s="182">
        <x:v>43000</x:v>
      </x:c>
      <x:c r="H6" s="183">
        <x:v>1000</x:v>
      </x:c>
      <x:c r="I6" s="184"/>
      <x:c r="J6" s="185"/>
      <x:c r="K6" s="185">
        <x:v>10000</x:v>
      </x:c>
      <x:c r="L6" s="185"/>
      <x:c r="M6" s="186"/>
      <x:c r="N6" s="187">
        <x:f t="shared" ref="N6:N75" si="2">I6+J6+K6+L6+M6</x:f>
        <x:v>10000</x:v>
      </x:c>
      <x:c r="O6" s="188">
        <x:f t="shared" ref="O6:O75" si="3">E6*N6</x:f>
        <x:v>430000</x:v>
      </x:c>
      <x:c r="P6" s="189">
        <x:f>캠퍼스타운_외부원두영업!I6+잇다카페_외부원두영업!I6+푸른솔!J6+의과대학!I6+중앙도서관!I6+학생회관!I6+제2기숙사!I6+멀티미디어관!I6+선승관!I6+예술디자인대!I6+공학관!I6</x:f>
        <x:v>0</x:v>
      </x:c>
      <x:c r="Q6" s="181">
        <x:f>캠퍼스타운_외부원두영업!J6+잇다카페_외부원두영업!J6+푸른솔!K6+의과대학!J6+중앙도서관!J6+학생회관!J6+멀티미디어관!J6+제2기숙사!J6+선승관!J6+예술디자인대!J6+공학관!J6</x:f>
        <x:v>1000</x:v>
      </x:c>
      <x:c r="R6" s="181">
        <x:f>캠퍼스타운_외부원두영업!K6+잇다카페_외부원두영업!K6+푸른솔!L6+의과대학!K6+중앙도서관!K6+학생회관!K6+제2기숙사!K6+멀티미디어관!K6+선승관!K6+예술디자인대!K6+공학관!K6</x:f>
        <x:v>0</x:v>
      </x:c>
      <x:c r="S6" s="181">
        <x:f>캠퍼스타운_외부원두영업!L6+잇다카페_외부원두영업!L6+푸른솔!M6+의과대학!L6+중앙도서관!L6+학생회관!L6+멀티미디어관!L6+제2기숙사!L6+선승관!L6+예술디자인대!L6+공학관!L6</x:f>
        <x:v>1000</x:v>
      </x:c>
      <x:c r="T6" s="190">
        <x:f>캠퍼스타운_외부원두영업!M6+잇다카페_외부원두영업!M6+푸른솔!N6+의과대학!M6+중앙도서관!M6+학생회관!M6+멀티미디어관!M6+제2기숙사!M6+선승관!M6+예술디자인대!M6+공학관!M6</x:f>
        <x:v>0</x:v>
      </x:c>
      <x:c r="U6" s="191">
        <x:f>P6+Q6+R6+S6+T6</x:f>
        <x:v>2000</x:v>
      </x:c>
      <x:c r="V6" s="192">
        <x:f t="shared" ref="V6:V75" si="4">E6*U6</x:f>
        <x:v>86000</x:v>
      </x:c>
      <x:c r="W6" s="193">
        <x:f>(H6+N6)-U6</x:f>
        <x:v>9000</x:v>
      </x:c>
      <x:c r="X6" s="194">
        <x:f t="shared" si="0"/>
        <x:v>387000</x:v>
      </x:c>
      <x:c r="Y6" s="274">
        <x:v>12000</x:v>
      </x:c>
      <x:c r="Z6" s="302">
        <x:v>10000</x:v>
      </x:c>
      <x:c r="AA6" s="99">
        <x:f t="shared" si="1"/>
        <x:v>430000</x:v>
      </x:c>
      <x:c r="AB6" s="491"/>
      <x:c r="AC6" s="494"/>
    </x:row>
    <x:row r="7" spans="1:29">
      <x:c r="A7" s="528"/>
      <x:c r="B7" s="379" t="s">
        <x:v>9</x:v>
      </x:c>
      <x:c r="C7" s="195" t="s">
        <x:v>49</x:v>
      </x:c>
      <x:c r="D7" s="195" t="s">
        <x:v>140</x:v>
      </x:c>
      <x:c r="E7" s="181">
        <x:v>20</x:v>
      </x:c>
      <x:c r="F7" s="181">
        <x:v>1000</x:v>
      </x:c>
      <x:c r="G7" s="182">
        <x:v>20000</x:v>
      </x:c>
      <x:c r="H7" s="183">
        <x:v>4000</x:v>
      </x:c>
      <x:c r="I7" s="184"/>
      <x:c r="J7" s="185"/>
      <x:c r="K7" s="185">
        <x:v>7000</x:v>
      </x:c>
      <x:c r="L7" s="185"/>
      <x:c r="M7" s="186"/>
      <x:c r="N7" s="187">
        <x:f t="shared" si="2"/>
        <x:v>7000</x:v>
      </x:c>
      <x:c r="O7" s="188">
        <x:f t="shared" si="3"/>
        <x:v>140000</x:v>
      </x:c>
      <x:c r="P7" s="189">
        <x:f>캠퍼스타운_외부원두영업!I7+잇다카페_외부원두영업!I7+푸른솔!J7+의과대학!I7+중앙도서관!I7+학생회관!I7+제2기숙사!I7+멀티미디어관!I7+선승관!I7+예술디자인대!I7+공학관!I7</x:f>
        <x:v>0</x:v>
      </x:c>
      <x:c r="Q7" s="181">
        <x:f>캠퍼스타운_외부원두영업!J7+잇다카페_외부원두영업!J7+푸른솔!K7+의과대학!J7+중앙도서관!J7+학생회관!J7+멀티미디어관!J7+제2기숙사!J7+선승관!J7+예술디자인대!J7+공학관!J7</x:f>
        <x:v>1000</x:v>
      </x:c>
      <x:c r="R7" s="181">
        <x:f>캠퍼스타운_외부원두영업!K7+잇다카페_외부원두영업!K7+푸른솔!L7+의과대학!K7+중앙도서관!K7+학생회관!K7+제2기숙사!K7+멀티미디어관!K7+선승관!K7+예술디자인대!K7+공학관!K7</x:f>
        <x:v>0</x:v>
      </x:c>
      <x:c r="S7" s="181">
        <x:f>캠퍼스타운_외부원두영업!L7+잇다카페_외부원두영업!L7+푸른솔!M7+의과대학!L7+중앙도서관!L7+학생회관!L7+멀티미디어관!L7+제2기숙사!L7+선승관!L7+예술디자인대!L7+공학관!L7</x:f>
        <x:v>3000</x:v>
      </x:c>
      <x:c r="T7" s="190">
        <x:f>캠퍼스타운_외부원두영업!M7+잇다카페_외부원두영업!M7+푸른솔!N7+의과대학!M7+중앙도서관!M7+학생회관!M7+멀티미디어관!M7+제2기숙사!M7+선승관!M7+예술디자인대!M7+공학관!M7</x:f>
        <x:v>0</x:v>
      </x:c>
      <x:c r="U7" s="191">
        <x:f t="shared" ref="U7:U40" si="5">P7+Q7+R7+S7+T7</x:f>
        <x:v>4000</x:v>
      </x:c>
      <x:c r="V7" s="192">
        <x:f t="shared" si="4"/>
        <x:v>80000</x:v>
      </x:c>
      <x:c r="W7" s="193">
        <x:f>(H7+N7)-U7</x:f>
        <x:v>7000</x:v>
      </x:c>
      <x:c r="X7" s="194">
        <x:f t="shared" si="0"/>
        <x:v>140000</x:v>
      </x:c>
      <x:c r="Y7" s="274">
        <x:v>12000</x:v>
      </x:c>
      <x:c r="Z7" s="302">
        <x:v>7000</x:v>
      </x:c>
      <x:c r="AA7" s="99">
        <x:f t="shared" si="1"/>
        <x:v>140000</x:v>
      </x:c>
      <x:c r="AB7" s="491"/>
      <x:c r="AC7" s="494"/>
    </x:row>
    <x:row r="8" spans="1:29">
      <x:c r="A8" s="518"/>
      <x:c r="B8" s="380" t="s">
        <x:v>13</x:v>
      </x:c>
      <x:c r="C8" s="196" t="s">
        <x:v>49</x:v>
      </x:c>
      <x:c r="D8" s="196" t="s">
        <x:v>140</x:v>
      </x:c>
      <x:c r="E8" s="197">
        <x:v>42</x:v>
      </x:c>
      <x:c r="F8" s="198">
        <x:v>1000</x:v>
      </x:c>
      <x:c r="G8" s="199">
        <x:v>42000</x:v>
      </x:c>
      <x:c r="H8" s="200">
        <x:v>0</x:v>
      </x:c>
      <x:c r="I8" s="184"/>
      <x:c r="J8" s="201"/>
      <x:c r="K8" s="201"/>
      <x:c r="L8" s="185"/>
      <x:c r="M8" s="202"/>
      <x:c r="N8" s="187">
        <x:f t="shared" si="2"/>
        <x:v>0</x:v>
      </x:c>
      <x:c r="O8" s="188">
        <x:f t="shared" si="3"/>
        <x:v>0</x:v>
      </x:c>
      <x:c r="P8" s="189">
        <x:f>캠퍼스타운_외부원두영업!I8+잇다카페_외부원두영업!I8+푸른솔!J8+의과대학!I8+중앙도서관!I8+학생회관!I8+제2기숙사!I8+멀티미디어관!I8+선승관!I8+예술디자인대!I8+공학관!I8</x:f>
        <x:v>0</x:v>
      </x:c>
      <x:c r="Q8" s="181">
        <x:f>캠퍼스타운_외부원두영업!J8+잇다카페_외부원두영업!J8+푸른솔!K8+의과대학!J8+중앙도서관!J8+학생회관!J8+멀티미디어관!J8+제2기숙사!J8+선승관!J8+예술디자인대!J8+공학관!J8</x:f>
        <x:v>0</x:v>
      </x:c>
      <x:c r="R8" s="181">
        <x:f>캠퍼스타운_외부원두영업!K8+잇다카페_외부원두영업!K8+푸른솔!L8+의과대학!K8+중앙도서관!K8+학생회관!K8+제2기숙사!K8+멀티미디어관!K8+선승관!K8+예술디자인대!K8+공학관!K8</x:f>
        <x:v>0</x:v>
      </x:c>
      <x:c r="S8" s="181">
        <x:f>캠퍼스타운_외부원두영업!L8+잇다카페_외부원두영업!L8+푸른솔!M8+의과대학!L8+중앙도서관!L8+학생회관!L8+멀티미디어관!L8+제2기숙사!L8+선승관!L8+예술디자인대!L8+공학관!L8</x:f>
        <x:v>0</x:v>
      </x:c>
      <x:c r="T8" s="190">
        <x:f>캠퍼스타운_외부원두영업!M8+잇다카페_외부원두영업!M8+푸른솔!N8+의과대학!M8+중앙도서관!M8+학생회관!M8+멀티미디어관!M8+제2기숙사!M8+선승관!M8+예술디자인대!M8+공학관!M8</x:f>
        <x:v>0</x:v>
      </x:c>
      <x:c r="U8" s="191">
        <x:f t="shared" si="5"/>
        <x:v>0</x:v>
      </x:c>
      <x:c r="V8" s="192">
        <x:f t="shared" si="4"/>
        <x:v>0</x:v>
      </x:c>
      <x:c r="W8" s="193">
        <x:f t="shared" ref="W8:W75" si="6">(H8+N8)-U8</x:f>
        <x:v>0</x:v>
      </x:c>
      <x:c r="X8" s="194">
        <x:f t="shared" si="0"/>
        <x:v>0</x:v>
      </x:c>
      <x:c r="Y8" s="274">
        <x:v>0</x:v>
      </x:c>
      <x:c r="Z8" s="302">
        <x:v>0</x:v>
      </x:c>
      <x:c r="AA8" s="99">
        <x:f t="shared" si="1"/>
        <x:v>0</x:v>
      </x:c>
      <x:c r="AB8" s="491"/>
      <x:c r="AC8" s="494"/>
    </x:row>
    <x:row r="9" spans="1:29">
      <x:c r="A9" s="527"/>
      <x:c r="B9" s="379" t="s">
        <x:v>46</x:v>
      </x:c>
      <x:c r="C9" s="179" t="s">
        <x:v>49</x:v>
      </x:c>
      <x:c r="D9" s="179" t="s">
        <x:v>140</x:v>
      </x:c>
      <x:c r="E9" s="255">
        <x:v>53</x:v>
      </x:c>
      <x:c r="F9" s="181">
        <x:v>1000</x:v>
      </x:c>
      <x:c r="G9" s="182">
        <x:v>53000</x:v>
      </x:c>
      <x:c r="H9" s="183">
        <x:v>6000</x:v>
      </x:c>
      <x:c r="I9" s="184"/>
      <x:c r="J9" s="185"/>
      <x:c r="K9" s="185">
        <x:v>14000</x:v>
      </x:c>
      <x:c r="L9" s="185"/>
      <x:c r="M9" s="186"/>
      <x:c r="N9" s="187">
        <x:f t="shared" si="2"/>
        <x:v>14000</x:v>
      </x:c>
      <x:c r="O9" s="188">
        <x:f t="shared" si="3"/>
        <x:v>742000</x:v>
      </x:c>
      <x:c r="P9" s="189">
        <x:f>캠퍼스타운_외부원두영업!I9+잇다카페_외부원두영업!I9+푸른솔!J9+의과대학!I9+중앙도서관!I9+학생회관!I9+제2기숙사!I9+멀티미디어관!I9+선승관!I9+예술디자인대!I9+공학관!I9</x:f>
        <x:v>0</x:v>
      </x:c>
      <x:c r="Q9" s="181">
        <x:f>캠퍼스타운_외부원두영업!J9+잇다카페_외부원두영업!J9+푸른솔!K9+의과대학!J9+중앙도서관!J9+학생회관!J9+멀티미디어관!J9+제2기숙사!J9+선승관!J9+예술디자인대!J9+공학관!J9</x:f>
        <x:v>0</x:v>
      </x:c>
      <x:c r="R9" s="181">
        <x:f>캠퍼스타운_외부원두영업!K9+잇다카페_외부원두영업!K9+푸른솔!L9+의과대학!K9+중앙도서관!K9+학생회관!K9+제2기숙사!K9+멀티미디어관!K9+선승관!K9+예술디자인대!K9+공학관!K9</x:f>
        <x:v>0</x:v>
      </x:c>
      <x:c r="S9" s="181">
        <x:f>캠퍼스타운_외부원두영업!L9+잇다카페_외부원두영업!L9+푸른솔!M9+의과대학!L9+중앙도서관!L9+학생회관!L9+멀티미디어관!L9+제2기숙사!L9+선승관!L9+예술디자인대!L9+공학관!L9</x:f>
        <x:v>1000</x:v>
      </x:c>
      <x:c r="T9" s="190">
        <x:f>캠퍼스타운_외부원두영업!M9+잇다카페_외부원두영업!M9+푸른솔!N9+의과대학!M9+중앙도서관!M9+학생회관!M9+멀티미디어관!M9+제2기숙사!M9+선승관!M9+예술디자인대!M9+공학관!M9</x:f>
        <x:v>0</x:v>
      </x:c>
      <x:c r="U9" s="191">
        <x:f t="shared" si="5"/>
        <x:v>1000</x:v>
      </x:c>
      <x:c r="V9" s="192">
        <x:f t="shared" si="4"/>
        <x:v>53000</x:v>
      </x:c>
      <x:c r="W9" s="193">
        <x:f t="shared" ref="W9:W15" si="7">(H9+N9)-U9</x:f>
        <x:v>19000</x:v>
      </x:c>
      <x:c r="X9" s="194">
        <x:f t="shared" si="0"/>
        <x:v>1007000</x:v>
      </x:c>
      <x:c r="Y9" s="274">
        <x:v>22000</x:v>
      </x:c>
      <x:c r="Z9" s="302">
        <x:v>14000</x:v>
      </x:c>
      <x:c r="AA9" s="99">
        <x:f t="shared" si="1"/>
        <x:v>742000</x:v>
      </x:c>
      <x:c r="AB9" s="491"/>
      <x:c r="AC9" s="494"/>
    </x:row>
    <x:row r="10" spans="1:29">
      <x:c r="A10" s="518"/>
      <x:c r="B10" s="379" t="s">
        <x:v>47</x:v>
      </x:c>
      <x:c r="C10" s="195" t="s">
        <x:v>49</x:v>
      </x:c>
      <x:c r="D10" s="195" t="s">
        <x:v>140</x:v>
      </x:c>
      <x:c r="E10" s="256">
        <x:v>65</x:v>
      </x:c>
      <x:c r="F10" s="181">
        <x:v>1000</x:v>
      </x:c>
      <x:c r="G10" s="182">
        <x:v>65000</x:v>
      </x:c>
      <x:c r="H10" s="183">
        <x:v>4000</x:v>
      </x:c>
      <x:c r="I10" s="184"/>
      <x:c r="J10" s="185"/>
      <x:c r="K10" s="185">
        <x:v>6000</x:v>
      </x:c>
      <x:c r="L10" s="185"/>
      <x:c r="M10" s="186"/>
      <x:c r="N10" s="187">
        <x:f t="shared" si="2"/>
        <x:v>6000</x:v>
      </x:c>
      <x:c r="O10" s="188">
        <x:f t="shared" si="3"/>
        <x:v>390000</x:v>
      </x:c>
      <x:c r="P10" s="189">
        <x:f>캠퍼스타운_외부원두영업!I10+잇다카페_외부원두영업!I10+푸른솔!J10+의과대학!I10+중앙도서관!I10+학생회관!I10+제2기숙사!I10+멀티미디어관!I10+선승관!I10+예술디자인대!I10+공학관!I10</x:f>
        <x:v>0</x:v>
      </x:c>
      <x:c r="Q10" s="181">
        <x:f>캠퍼스타운_외부원두영업!J10+잇다카페_외부원두영업!J10+푸른솔!K10+의과대학!J10+중앙도서관!J10+학생회관!J10+멀티미디어관!J10+제2기숙사!J10+선승관!J10+예술디자인대!J10+공학관!J10</x:f>
        <x:v>0</x:v>
      </x:c>
      <x:c r="R10" s="181">
        <x:f>캠퍼스타운_외부원두영업!K10+잇다카페_외부원두영업!K10+푸른솔!L10+의과대학!K10+중앙도서관!K10+학생회관!K10+제2기숙사!K10+멀티미디어관!K10+선승관!K10+예술디자인대!K10+공학관!K10</x:f>
        <x:v>0</x:v>
      </x:c>
      <x:c r="S10" s="181">
        <x:f>캠퍼스타운_외부원두영업!L10+잇다카페_외부원두영업!L10+푸른솔!M10+의과대학!L10+중앙도서관!L10+학생회관!L10+멀티미디어관!L10+제2기숙사!L10+선승관!L10+예술디자인대!L10+공학관!L10</x:f>
        <x:v>1000</x:v>
      </x:c>
      <x:c r="T10" s="190">
        <x:f>캠퍼스타운_외부원두영업!M10+잇다카페_외부원두영업!M10+푸른솔!N10+의과대학!M10+중앙도서관!M10+학생회관!M10+멀티미디어관!M10+제2기숙사!M10+선승관!M10+예술디자인대!M10+공학관!M10</x:f>
        <x:v>0</x:v>
      </x:c>
      <x:c r="U10" s="191">
        <x:f t="shared" si="5"/>
        <x:v>1000</x:v>
      </x:c>
      <x:c r="V10" s="192">
        <x:f t="shared" si="4"/>
        <x:v>65000</x:v>
      </x:c>
      <x:c r="W10" s="193">
        <x:f t="shared" si="7"/>
        <x:v>9000</x:v>
      </x:c>
      <x:c r="X10" s="194">
        <x:f t="shared" si="0"/>
        <x:v>585000</x:v>
      </x:c>
      <x:c r="Y10" s="274">
        <x:v>4000</x:v>
      </x:c>
      <x:c r="Z10" s="302">
        <x:v>6000</x:v>
      </x:c>
      <x:c r="AA10" s="99">
        <x:f t="shared" si="1"/>
        <x:v>390000</x:v>
      </x:c>
      <x:c r="AB10" s="491"/>
      <x:c r="AC10" s="494"/>
    </x:row>
    <x:row r="11" spans="1:29" ht="15.75" customHeight="1">
      <x:c r="A11" s="518"/>
      <x:c r="B11" s="380" t="s">
        <x:v>15</x:v>
      </x:c>
      <x:c r="C11" s="196" t="s">
        <x:v>49</x:v>
      </x:c>
      <x:c r="D11" s="196" t="s">
        <x:v>140</x:v>
      </x:c>
      <x:c r="E11" s="257">
        <x:v>18.5</x:v>
      </x:c>
      <x:c r="F11" s="198">
        <x:v>1000</x:v>
      </x:c>
      <x:c r="G11" s="199">
        <x:v>18500</x:v>
      </x:c>
      <x:c r="H11" s="200">
        <x:v>6000</x:v>
      </x:c>
      <x:c r="I11" s="184"/>
      <x:c r="J11" s="201"/>
      <x:c r="K11" s="201">
        <x:v>14000</x:v>
      </x:c>
      <x:c r="L11" s="185"/>
      <x:c r="M11" s="202"/>
      <x:c r="N11" s="187">
        <x:f t="shared" si="2"/>
        <x:v>14000</x:v>
      </x:c>
      <x:c r="O11" s="188">
        <x:f t="shared" si="3"/>
        <x:v>259000</x:v>
      </x:c>
      <x:c r="P11" s="189">
        <x:f>캠퍼스타운_외부원두영업!I11+잇다카페_외부원두영업!I11+푸른솔!J11+의과대학!I11+중앙도서관!I11+학생회관!I11+제2기숙사!I11+멀티미디어관!I11+선승관!I11+예술디자인대!I11+공학관!I11</x:f>
        <x:v>0</x:v>
      </x:c>
      <x:c r="Q11" s="181">
        <x:f>캠퍼스타운_외부원두영업!J11+잇다카페_외부원두영업!J11+푸른솔!K11+의과대학!J11+중앙도서관!J11+학생회관!J11+멀티미디어관!J11+제2기숙사!J11+선승관!J11+예술디자인대!J11+공학관!J11</x:f>
        <x:v>0</x:v>
      </x:c>
      <x:c r="R11" s="181">
        <x:f>캠퍼스타운_외부원두영업!K11+잇다카페_외부원두영업!K11+푸른솔!L11+의과대학!K11+중앙도서관!K11+학생회관!K11+제2기숙사!K11+멀티미디어관!K11+선승관!K11+예술디자인대!K11+공학관!K11</x:f>
        <x:v>0</x:v>
      </x:c>
      <x:c r="S11" s="181">
        <x:f>캠퍼스타운_외부원두영업!L11+잇다카페_외부원두영업!L11+푸른솔!M11+의과대학!L11+중앙도서관!L11+학생회관!L11+멀티미디어관!L11+제2기숙사!L11+선승관!L11+예술디자인대!L11+공학관!L11</x:f>
        <x:v>4000</x:v>
      </x:c>
      <x:c r="T11" s="190">
        <x:f>캠퍼스타운_외부원두영업!M11+잇다카페_외부원두영업!M11+푸른솔!N11+의과대학!M11+중앙도서관!M11+학생회관!M11+멀티미디어관!M11+제2기숙사!M11+선승관!M11+예술디자인대!M11+공학관!M11</x:f>
        <x:v>0</x:v>
      </x:c>
      <x:c r="U11" s="191">
        <x:f t="shared" si="5"/>
        <x:v>4000</x:v>
      </x:c>
      <x:c r="V11" s="192">
        <x:f t="shared" si="4"/>
        <x:v>74000</x:v>
      </x:c>
      <x:c r="W11" s="193">
        <x:f t="shared" si="7"/>
        <x:v>16000</x:v>
      </x:c>
      <x:c r="X11" s="194">
        <x:f t="shared" si="0"/>
        <x:v>296000</x:v>
      </x:c>
      <x:c r="Y11" s="274">
        <x:v>23000</x:v>
      </x:c>
      <x:c r="Z11" s="302">
        <x:v>14000</x:v>
      </x:c>
      <x:c r="AA11" s="99">
        <x:f t="shared" si="1"/>
        <x:v>259000</x:v>
      </x:c>
      <x:c r="AB11" s="491"/>
      <x:c r="AC11" s="494"/>
    </x:row>
    <x:row r="12" spans="1:29">
      <x:c r="A12" s="528"/>
      <x:c r="B12" s="379" t="s">
        <x:v>11</x:v>
      </x:c>
      <x:c r="C12" s="179" t="s">
        <x:v>49</x:v>
      </x:c>
      <x:c r="D12" s="179" t="s">
        <x:v>140</x:v>
      </x:c>
      <x:c r="E12" s="255">
        <x:v>20</x:v>
      </x:c>
      <x:c r="F12" s="181">
        <x:v>1000</x:v>
      </x:c>
      <x:c r="G12" s="182">
        <x:v>20000</x:v>
      </x:c>
      <x:c r="H12" s="183">
        <x:v>3000</x:v>
      </x:c>
      <x:c r="I12" s="184"/>
      <x:c r="J12" s="185"/>
      <x:c r="K12" s="185">
        <x:v>7000</x:v>
      </x:c>
      <x:c r="L12" s="185"/>
      <x:c r="M12" s="186"/>
      <x:c r="N12" s="187">
        <x:f t="shared" si="2"/>
        <x:v>7000</x:v>
      </x:c>
      <x:c r="O12" s="188">
        <x:f t="shared" si="3"/>
        <x:v>140000</x:v>
      </x:c>
      <x:c r="P12" s="189">
        <x:f>캠퍼스타운_외부원두영업!I12+잇다카페_외부원두영업!I12+푸른솔!J12+의과대학!I12+중앙도서관!I12+학생회관!I12+제2기숙사!I12+멀티미디어관!I12+선승관!I12+예술디자인대!I12+공학관!I12</x:f>
        <x:v>0</x:v>
      </x:c>
      <x:c r="Q12" s="181">
        <x:f>캠퍼스타운_외부원두영업!J12+잇다카페_외부원두영업!J12+푸른솔!K12+의과대학!J12+중앙도서관!J12+학생회관!J12+멀티미디어관!J12+제2기숙사!J12+선승관!J12+예술디자인대!J12+공학관!J12</x:f>
        <x:v>0</x:v>
      </x:c>
      <x:c r="R12" s="181">
        <x:f>캠퍼스타운_외부원두영업!K12+잇다카페_외부원두영업!K12+푸른솔!L12+의과대학!K12+중앙도서관!K12+학생회관!K12+제2기숙사!K12+멀티미디어관!K12+선승관!K12+예술디자인대!K12+공학관!K12</x:f>
        <x:v>0</x:v>
      </x:c>
      <x:c r="S12" s="181">
        <x:f>캠퍼스타운_외부원두영업!L12+잇다카페_외부원두영업!L12+푸른솔!M12+의과대학!L12+중앙도서관!L12+학생회관!L12+멀티미디어관!L12+제2기숙사!L12+선승관!L12+예술디자인대!L12+공학관!L12</x:f>
        <x:v>0</x:v>
      </x:c>
      <x:c r="T12" s="190">
        <x:f>캠퍼스타운_외부원두영업!M12+잇다카페_외부원두영업!M12+푸른솔!N12+의과대학!M12+중앙도서관!M12+학생회관!M12+멀티미디어관!M12+제2기숙사!M12+선승관!M12+예술디자인대!M12+공학관!M12</x:f>
        <x:v>0</x:v>
      </x:c>
      <x:c r="U12" s="191">
        <x:f t="shared" si="5"/>
        <x:v>0</x:v>
      </x:c>
      <x:c r="V12" s="192">
        <x:f t="shared" si="4"/>
        <x:v>0</x:v>
      </x:c>
      <x:c r="W12" s="193">
        <x:f t="shared" si="7"/>
        <x:v>10000</x:v>
      </x:c>
      <x:c r="X12" s="194">
        <x:f t="shared" si="0"/>
        <x:v>200000</x:v>
      </x:c>
      <x:c r="Y12" s="274">
        <x:v>3000</x:v>
      </x:c>
      <x:c r="Z12" s="302">
        <x:v>7000</x:v>
      </x:c>
      <x:c r="AA12" s="99">
        <x:f t="shared" si="1"/>
        <x:v>140000</x:v>
      </x:c>
      <x:c r="AB12" s="491"/>
      <x:c r="AC12" s="494"/>
    </x:row>
    <x:row r="13" spans="1:29">
      <x:c r="A13" s="518"/>
      <x:c r="B13" s="379" t="s">
        <x:v>8</x:v>
      </x:c>
      <x:c r="C13" s="179" t="s">
        <x:v>49</x:v>
      </x:c>
      <x:c r="D13" s="179" t="s">
        <x:v>140</x:v>
      </x:c>
      <x:c r="E13" s="255">
        <x:v>19</x:v>
      </x:c>
      <x:c r="F13" s="181">
        <x:v>1000</x:v>
      </x:c>
      <x:c r="G13" s="182">
        <x:v>19000</x:v>
      </x:c>
      <x:c r="H13" s="183">
        <x:v>0</x:v>
      </x:c>
      <x:c r="I13" s="184"/>
      <x:c r="J13" s="185"/>
      <x:c r="K13" s="185"/>
      <x:c r="L13" s="185"/>
      <x:c r="M13" s="186"/>
      <x:c r="N13" s="187">
        <x:f t="shared" si="2"/>
        <x:v>0</x:v>
      </x:c>
      <x:c r="O13" s="188">
        <x:f t="shared" si="3"/>
        <x:v>0</x:v>
      </x:c>
      <x:c r="P13" s="189">
        <x:f>캠퍼스타운_외부원두영업!I13+잇다카페_외부원두영업!I13+푸른솔!J13+의과대학!I13+중앙도서관!I13+학생회관!I13+제2기숙사!I13+멀티미디어관!I13+선승관!I13+예술디자인대!I13+공학관!I13</x:f>
        <x:v>0</x:v>
      </x:c>
      <x:c r="Q13" s="181">
        <x:f>캠퍼스타운_외부원두영업!J13+잇다카페_외부원두영업!J13+푸른솔!K13+의과대학!J13+중앙도서관!J13+학생회관!J13+멀티미디어관!J13+제2기숙사!J13+선승관!J13+예술디자인대!J13+공학관!J13</x:f>
        <x:v>0</x:v>
      </x:c>
      <x:c r="R13" s="181">
        <x:f>캠퍼스타운_외부원두영업!K13+잇다카페_외부원두영업!K13+푸른솔!L13+의과대학!K13+중앙도서관!K13+학생회관!K13+제2기숙사!K13+멀티미디어관!K13+선승관!K13+예술디자인대!K13+공학관!K13</x:f>
        <x:v>0</x:v>
      </x:c>
      <x:c r="S13" s="181">
        <x:f>캠퍼스타운_외부원두영업!L13+잇다카페_외부원두영업!L13+푸른솔!M13+의과대학!L13+중앙도서관!L13+학생회관!L13+멀티미디어관!L13+제2기숙사!L13+선승관!L13+예술디자인대!L13+공학관!L13</x:f>
        <x:v>0</x:v>
      </x:c>
      <x:c r="T13" s="190">
        <x:f>캠퍼스타운_외부원두영업!M13+잇다카페_외부원두영업!M13+푸른솔!N13+의과대학!M13+중앙도서관!M13+학생회관!M13+멀티미디어관!M13+제2기숙사!M13+선승관!M13+예술디자인대!M13+공학관!M13</x:f>
        <x:v>0</x:v>
      </x:c>
      <x:c r="U13" s="191">
        <x:f t="shared" si="5"/>
        <x:v>0</x:v>
      </x:c>
      <x:c r="V13" s="192">
        <x:f t="shared" si="4"/>
        <x:v>0</x:v>
      </x:c>
      <x:c r="W13" s="193">
        <x:f t="shared" si="7"/>
        <x:v>0</x:v>
      </x:c>
      <x:c r="X13" s="194">
        <x:f t="shared" si="0"/>
        <x:v>0</x:v>
      </x:c>
      <x:c r="Y13" s="274">
        <x:v>1000</x:v>
      </x:c>
      <x:c r="Z13" s="302">
        <x:v>0</x:v>
      </x:c>
      <x:c r="AA13" s="99">
        <x:f t="shared" si="1"/>
        <x:v>0</x:v>
      </x:c>
      <x:c r="AB13" s="491"/>
      <x:c r="AC13" s="494"/>
    </x:row>
    <x:row r="14" spans="1:29">
      <x:c r="A14" s="518"/>
      <x:c r="B14" s="379" t="s">
        <x:v>130</x:v>
      </x:c>
      <x:c r="C14" s="179" t="s">
        <x:v>49</x:v>
      </x:c>
      <x:c r="D14" s="179" t="s">
        <x:v>140</x:v>
      </x:c>
      <x:c r="E14" s="255">
        <x:v>17.5</x:v>
      </x:c>
      <x:c r="F14" s="181">
        <x:v>1000</x:v>
      </x:c>
      <x:c r="G14" s="182">
        <x:v>17500</x:v>
      </x:c>
      <x:c r="H14" s="183">
        <x:v>3000</x:v>
      </x:c>
      <x:c r="I14" s="184"/>
      <x:c r="J14" s="185"/>
      <x:c r="K14" s="185"/>
      <x:c r="L14" s="185"/>
      <x:c r="M14" s="186"/>
      <x:c r="N14" s="187">
        <x:f t="shared" si="2"/>
        <x:v>0</x:v>
      </x:c>
      <x:c r="O14" s="188">
        <x:f t="shared" si="3"/>
        <x:v>0</x:v>
      </x:c>
      <x:c r="P14" s="189">
        <x:f>캠퍼스타운_외부원두영업!I14+잇다카페_외부원두영업!I14+푸른솔!J14+의과대학!I14+중앙도서관!I14+학생회관!I14+제2기숙사!I14+멀티미디어관!I14+선승관!I14+예술디자인대!I14+공학관!I14</x:f>
        <x:v>0</x:v>
      </x:c>
      <x:c r="Q14" s="181">
        <x:f>캠퍼스타운_외부원두영업!J14+잇다카페_외부원두영업!J14+푸른솔!K14+의과대학!J14+중앙도서관!J14+학생회관!J14+멀티미디어관!J14+제2기숙사!J14+선승관!J14+예술디자인대!J14+공학관!J14</x:f>
        <x:v>0</x:v>
      </x:c>
      <x:c r="R14" s="181">
        <x:f>캠퍼스타운_외부원두영업!K14+잇다카페_외부원두영업!K14+푸른솔!L14+의과대학!K14+중앙도서관!K14+학생회관!K14+제2기숙사!K14+멀티미디어관!K14+선승관!K14+예술디자인대!K14+공학관!K14</x:f>
        <x:v>0</x:v>
      </x:c>
      <x:c r="S14" s="181">
        <x:f>캠퍼스타운_외부원두영업!L14+잇다카페_외부원두영업!L14+푸른솔!M14+의과대학!L14+중앙도서관!L14+학생회관!L14+멀티미디어관!L14+제2기숙사!L14+선승관!L14+예술디자인대!L14+공학관!L14</x:f>
        <x:v>0</x:v>
      </x:c>
      <x:c r="T14" s="190">
        <x:f>캠퍼스타운_외부원두영업!M14+잇다카페_외부원두영업!M14+푸른솔!N14+의과대학!M14+중앙도서관!M14+학생회관!M14+멀티미디어관!M14+제2기숙사!M14+선승관!M14+예술디자인대!M14+공학관!M14</x:f>
        <x:v>0</x:v>
      </x:c>
      <x:c r="U14" s="191">
        <x:f t="shared" si="5"/>
        <x:v>0</x:v>
      </x:c>
      <x:c r="V14" s="192">
        <x:f t="shared" si="4"/>
        <x:v>0</x:v>
      </x:c>
      <x:c r="W14" s="193">
        <x:f t="shared" si="7"/>
        <x:v>3000</x:v>
      </x:c>
      <x:c r="X14" s="194">
        <x:f t="shared" si="0"/>
        <x:v>52500</x:v>
      </x:c>
      <x:c r="Y14" s="274">
        <x:v>1000</x:v>
      </x:c>
      <x:c r="Z14" s="302">
        <x:v>0</x:v>
      </x:c>
      <x:c r="AA14" s="99">
        <x:f t="shared" si="1"/>
        <x:v>0</x:v>
      </x:c>
      <x:c r="AB14" s="491"/>
      <x:c r="AC14" s="494"/>
    </x:row>
    <x:row r="15" spans="1:29">
      <x:c r="A15" s="516"/>
      <x:c r="B15" s="379" t="s">
        <x:v>116</x:v>
      </x:c>
      <x:c r="C15" s="179" t="s">
        <x:v>49</x:v>
      </x:c>
      <x:c r="D15" s="179" t="s">
        <x:v>140</x:v>
      </x:c>
      <x:c r="E15" s="255">
        <x:v>18</x:v>
      </x:c>
      <x:c r="F15" s="181">
        <x:v>1000</x:v>
      </x:c>
      <x:c r="G15" s="182">
        <x:v>18000</x:v>
      </x:c>
      <x:c r="H15" s="183">
        <x:v>4000</x:v>
      </x:c>
      <x:c r="I15" s="184"/>
      <x:c r="J15" s="185"/>
      <x:c r="K15" s="185">
        <x:v>30000</x:v>
      </x:c>
      <x:c r="L15" s="185"/>
      <x:c r="M15" s="186"/>
      <x:c r="N15" s="187">
        <x:f t="shared" si="2"/>
        <x:v>30000</x:v>
      </x:c>
      <x:c r="O15" s="188">
        <x:f t="shared" si="3"/>
        <x:v>540000</x:v>
      </x:c>
      <x:c r="P15" s="189">
        <x:f>캠퍼스타운_외부원두영업!I15+잇다카페_외부원두영업!I15+푸른솔!J15+의과대학!I15+중앙도서관!I15+학생회관!I15+제2기숙사!I15+멀티미디어관!I15+선승관!I15+예술디자인대!I15+공학관!I15</x:f>
        <x:v>0</x:v>
      </x:c>
      <x:c r="Q15" s="181">
        <x:f>캠퍼스타운_외부원두영업!J15+잇다카페_외부원두영업!J15+푸른솔!K15+의과대학!J15+중앙도서관!J15+학생회관!J15+멀티미디어관!J15+제2기숙사!J15+선승관!J15+예술디자인대!J15+공학관!J15</x:f>
        <x:v>2000</x:v>
      </x:c>
      <x:c r="R15" s="181">
        <x:f>캠퍼스타운_외부원두영업!K15+잇다카페_외부원두영업!K15+푸른솔!L15+의과대학!K15+중앙도서관!K15+학생회관!K15+제2기숙사!K15+멀티미디어관!K15+선승관!K15+예술디자인대!K15+공학관!K15</x:f>
        <x:v>0</x:v>
      </x:c>
      <x:c r="S15" s="181">
        <x:f>캠퍼스타운_외부원두영업!L15+잇다카페_외부원두영업!L15+푸른솔!M15+의과대학!L15+중앙도서관!L15+학생회관!L15+멀티미디어관!L15+제2기숙사!L15+선승관!L15+예술디자인대!L15+공학관!L15</x:f>
        <x:v>6000</x:v>
      </x:c>
      <x:c r="T15" s="190">
        <x:f>캠퍼스타운_외부원두영업!M15+잇다카페_외부원두영업!M15+푸른솔!N15+의과대학!M15+중앙도서관!M15+학생회관!M15+멀티미디어관!M15+제2기숙사!M15+선승관!M15+예술디자인대!M15+공학관!M15</x:f>
        <x:v>0</x:v>
      </x:c>
      <x:c r="U15" s="191">
        <x:f t="shared" si="5"/>
        <x:v>8000</x:v>
      </x:c>
      <x:c r="V15" s="192">
        <x:f t="shared" si="4"/>
        <x:v>144000</x:v>
      </x:c>
      <x:c r="W15" s="193">
        <x:f t="shared" si="7"/>
        <x:v>26000</x:v>
      </x:c>
      <x:c r="X15" s="194">
        <x:f t="shared" si="0"/>
        <x:v>468000</x:v>
      </x:c>
      <x:c r="Y15" s="274">
        <x:v>35000</x:v>
      </x:c>
      <x:c r="Z15" s="302">
        <x:v>30000</x:v>
      </x:c>
      <x:c r="AA15" s="99">
        <x:f t="shared" si="1"/>
        <x:v>540000</x:v>
      </x:c>
      <x:c r="AB15" s="491"/>
      <x:c r="AC15" s="494"/>
    </x:row>
    <x:row r="16" spans="1:29">
      <x:c r="A16" s="518"/>
      <x:c r="B16" s="379" t="s">
        <x:v>146</x:v>
      </x:c>
      <x:c r="C16" s="195" t="s">
        <x:v>3</x:v>
      </x:c>
      <x:c r="D16" s="195" t="s">
        <x:v>140</x:v>
      </x:c>
      <x:c r="E16" s="256">
        <x:v>6.9000000000000004</x:v>
      </x:c>
      <x:c r="F16" s="181">
        <x:v>10000</x:v>
      </x:c>
      <x:c r="G16" s="182">
        <x:v>69000</x:v>
      </x:c>
      <x:c r="H16" s="183">
        <x:v>11000</x:v>
      </x:c>
      <x:c r="I16" s="184"/>
      <x:c r="J16" s="185"/>
      <x:c r="K16" s="185"/>
      <x:c r="L16" s="185"/>
      <x:c r="M16" s="186"/>
      <x:c r="N16" s="187">
        <x:f t="shared" si="2"/>
        <x:v>0</x:v>
      </x:c>
      <x:c r="O16" s="188">
        <x:f t="shared" si="3"/>
        <x:v>0</x:v>
      </x:c>
      <x:c r="P16" s="189">
        <x:f>캠퍼스타운_외부원두영업!I16+잇다카페_외부원두영업!I16+푸른솔!J16+의과대학!I16+중앙도서관!I16+학생회관!I16+제2기숙사!I16+멀티미디어관!I16+선승관!I16+예술디자인대!I16+공학관!I16</x:f>
        <x:v>0</x:v>
      </x:c>
      <x:c r="Q16" s="181">
        <x:f>캠퍼스타운_외부원두영업!J16+잇다카페_외부원두영업!J16+푸른솔!K16+의과대학!J16+중앙도서관!J16+학생회관!J16+멀티미디어관!J16+제2기숙사!J16+선승관!J16+예술디자인대!J16+공학관!J16</x:f>
        <x:v>500</x:v>
      </x:c>
      <x:c r="R16" s="181">
        <x:f>캠퍼스타운_외부원두영업!K16+잇다카페_외부원두영업!K16+푸른솔!L16+의과대학!K16+중앙도서관!K16+학생회관!K16+제2기숙사!K16+멀티미디어관!K16+선승관!K16+예술디자인대!K16+공학관!K16</x:f>
        <x:v>0</x:v>
      </x:c>
      <x:c r="S16" s="181">
        <x:f>캠퍼스타운_외부원두영업!L16+잇다카페_외부원두영업!L16+푸른솔!M16+의과대학!L16+중앙도서관!L16+학생회관!L16+멀티미디어관!L16+제2기숙사!L16+선승관!L16+예술디자인대!L16+공학관!L16</x:f>
        <x:v>1000</x:v>
      </x:c>
      <x:c r="T16" s="190">
        <x:f>캠퍼스타운_외부원두영업!M16+잇다카페_외부원두영업!M16+푸른솔!N16+의과대학!M16+중앙도서관!M16+학생회관!M16+멀티미디어관!M16+제2기숙사!M16+선승관!M16+예술디자인대!M16+공학관!M16</x:f>
        <x:v>0</x:v>
      </x:c>
      <x:c r="U16" s="191">
        <x:f t="shared" si="5"/>
        <x:v>1500</x:v>
      </x:c>
      <x:c r="V16" s="192">
        <x:f t="shared" si="4"/>
        <x:v>10350</x:v>
      </x:c>
      <x:c r="W16" s="193">
        <x:f t="shared" si="6"/>
        <x:v>9500</x:v>
      </x:c>
      <x:c r="X16" s="194">
        <x:f t="shared" si="0"/>
        <x:v>65550</x:v>
      </x:c>
      <x:c r="Y16" s="274">
        <x:v>14500</x:v>
      </x:c>
      <x:c r="Z16" s="302">
        <x:v>0</x:v>
      </x:c>
      <x:c r="AA16" s="99">
        <x:f t="shared" si="1"/>
        <x:v>0</x:v>
      </x:c>
      <x:c r="AB16" s="491"/>
      <x:c r="AC16" s="494"/>
    </x:row>
    <x:row r="17" spans="1:29">
      <x:c r="A17" s="518"/>
      <x:c r="B17" s="379" t="s">
        <x:v>19</x:v>
      </x:c>
      <x:c r="C17" s="196" t="s">
        <x:v>52</x:v>
      </x:c>
      <x:c r="D17" s="196" t="s">
        <x:v>140</x:v>
      </x:c>
      <x:c r="E17" s="259">
        <x:v>22.1875</x:v>
      </x:c>
      <x:c r="F17" s="198">
        <x:v>3200</x:v>
      </x:c>
      <x:c r="G17" s="199">
        <x:v>71000</x:v>
      </x:c>
      <x:c r="H17" s="200">
        <x:v>5000</x:v>
      </x:c>
      <x:c r="I17" s="184"/>
      <x:c r="J17" s="201"/>
      <x:c r="K17" s="185"/>
      <x:c r="L17" s="185"/>
      <x:c r="M17" s="202"/>
      <x:c r="N17" s="187">
        <x:f t="shared" si="2"/>
        <x:v>0</x:v>
      </x:c>
      <x:c r="O17" s="188">
        <x:f t="shared" si="3"/>
        <x:v>0</x:v>
      </x:c>
      <x:c r="P17" s="189">
        <x:f>캠퍼스타운_외부원두영업!I17+잇다카페_외부원두영업!I17+푸른솔!J17+의과대학!I17+중앙도서관!I17+학생회관!I17+제2기숙사!I17+멀티미디어관!I17+선승관!I17+예술디자인대!I17+공학관!I17</x:f>
        <x:v>0</x:v>
      </x:c>
      <x:c r="Q17" s="181">
        <x:f>캠퍼스타운_외부원두영업!J17+잇다카페_외부원두영업!J17+푸른솔!K17+의과대학!J17+중앙도서관!J17+학생회관!J17+멀티미디어관!J17+제2기숙사!J17+선승관!J17+예술디자인대!J17+공학관!J17</x:f>
        <x:v>200</x:v>
      </x:c>
      <x:c r="R17" s="181">
        <x:f>캠퍼스타운_외부원두영업!K17+잇다카페_외부원두영업!K17+푸른솔!L17+의과대학!K17+중앙도서관!K17+학생회관!K17+제2기숙사!K17+멀티미디어관!K17+선승관!K17+예술디자인대!K17+공학관!K17</x:f>
        <x:v>0</x:v>
      </x:c>
      <x:c r="S17" s="181">
        <x:f>캠퍼스타운_외부원두영업!L17+잇다카페_외부원두영업!L17+푸른솔!M17+의과대학!L17+중앙도서관!L17+학생회관!L17+멀티미디어관!L17+제2기숙사!L17+선승관!L17+예술디자인대!L17+공학관!L17</x:f>
        <x:v>0</x:v>
      </x:c>
      <x:c r="T17" s="190">
        <x:f>캠퍼스타운_외부원두영업!M17+잇다카페_외부원두영업!M17+푸른솔!N17+의과대학!M17+중앙도서관!M17+학생회관!M17+멀티미디어관!M17+제2기숙사!M17+선승관!M17+예술디자인대!M17+공학관!M17</x:f>
        <x:v>0</x:v>
      </x:c>
      <x:c r="U17" s="191">
        <x:f t="shared" si="5"/>
        <x:v>200</x:v>
      </x:c>
      <x:c r="V17" s="192">
        <x:f t="shared" si="4"/>
        <x:v>4437.5</x:v>
      </x:c>
      <x:c r="W17" s="193">
        <x:f t="shared" si="6"/>
        <x:v>4800</x:v>
      </x:c>
      <x:c r="X17" s="194">
        <x:f t="shared" si="0"/>
        <x:v>106500</x:v>
      </x:c>
      <x:c r="Y17" s="274">
        <x:v>1200</x:v>
      </x:c>
      <x:c r="Z17" s="302">
        <x:v>0</x:v>
      </x:c>
      <x:c r="AA17" s="99">
        <x:f t="shared" si="1"/>
        <x:v>0</x:v>
      </x:c>
      <x:c r="AB17" s="491"/>
      <x:c r="AC17" s="494"/>
    </x:row>
    <x:row r="18" spans="1:29">
      <x:c r="A18" s="518"/>
      <x:c r="B18" s="379" t="s">
        <x:v>147</x:v>
      </x:c>
      <x:c r="C18" s="179" t="s">
        <x:v>3</x:v>
      </x:c>
      <x:c r="D18" s="179" t="s">
        <x:v>140</x:v>
      </x:c>
      <x:c r="E18" s="255">
        <x:v>7.2000000000000002</x:v>
      </x:c>
      <x:c r="F18" s="181">
        <x:v>10000</x:v>
      </x:c>
      <x:c r="G18" s="182">
        <x:v>72000</x:v>
      </x:c>
      <x:c r="H18" s="183">
        <x:v>6000</x:v>
      </x:c>
      <x:c r="I18" s="184"/>
      <x:c r="J18" s="185"/>
      <x:c r="K18" s="185">
        <x:v>10000</x:v>
      </x:c>
      <x:c r="L18" s="185"/>
      <x:c r="M18" s="186"/>
      <x:c r="N18" s="187">
        <x:f t="shared" si="2"/>
        <x:v>10000</x:v>
      </x:c>
      <x:c r="O18" s="188">
        <x:f t="shared" si="3"/>
        <x:v>72000</x:v>
      </x:c>
      <x:c r="P18" s="189">
        <x:f>캠퍼스타운_외부원두영업!I18+잇다카페_외부원두영업!I18+푸른솔!J18+의과대학!I18+중앙도서관!I18+학생회관!I18+제2기숙사!I18+멀티미디어관!I18+선승관!I18+예술디자인대!I18+공학관!I18</x:f>
        <x:v>0</x:v>
      </x:c>
      <x:c r="Q18" s="181">
        <x:f>캠퍼스타운_외부원두영업!J18+잇다카페_외부원두영업!J18+푸른솔!K18+의과대학!J18+중앙도서관!J18+학생회관!J18+멀티미디어관!J18+제2기숙사!J18+선승관!J18+예술디자인대!J18+공학관!J18</x:f>
        <x:v>1000</x:v>
      </x:c>
      <x:c r="R18" s="181">
        <x:f>캠퍼스타운_외부원두영업!K18+잇다카페_외부원두영업!K18+푸른솔!L18+의과대학!K18+중앙도서관!K18+학생회관!K18+제2기숙사!K18+멀티미디어관!K18+선승관!K18+예술디자인대!K18+공학관!K18</x:f>
        <x:v>0</x:v>
      </x:c>
      <x:c r="S18" s="181">
        <x:f>캠퍼스타운_외부원두영업!L18+잇다카페_외부원두영업!L18+푸른솔!M18+의과대학!L18+중앙도서관!L18+학생회관!L18+멀티미디어관!L18+제2기숙사!L18+선승관!L18+예술디자인대!L18+공학관!L18</x:f>
        <x:v>1000</x:v>
      </x:c>
      <x:c r="T18" s="190">
        <x:f>캠퍼스타운_외부원두영업!M18+잇다카페_외부원두영업!M18+푸른솔!N18+의과대학!M18+중앙도서관!M18+학생회관!M18+멀티미디어관!M18+제2기숙사!M18+선승관!M18+예술디자인대!M18+공학관!M18</x:f>
        <x:v>0</x:v>
      </x:c>
      <x:c r="U18" s="191">
        <x:f t="shared" si="5"/>
        <x:v>2000</x:v>
      </x:c>
      <x:c r="V18" s="192">
        <x:f t="shared" si="4"/>
        <x:v>14400</x:v>
      </x:c>
      <x:c r="W18" s="193">
        <x:f t="shared" si="6"/>
        <x:v>14000</x:v>
      </x:c>
      <x:c r="X18" s="194">
        <x:f t="shared" si="0"/>
        <x:v>100800</x:v>
      </x:c>
      <x:c r="Y18" s="274">
        <x:v>8000</x:v>
      </x:c>
      <x:c r="Z18" s="302">
        <x:v>10000</x:v>
      </x:c>
      <x:c r="AA18" s="99">
        <x:f t="shared" si="1"/>
        <x:v>72000</x:v>
      </x:c>
      <x:c r="AB18" s="491"/>
      <x:c r="AC18" s="494"/>
    </x:row>
    <x:row r="19" spans="1:29">
      <x:c r="A19" s="518"/>
      <x:c r="B19" s="379" t="s">
        <x:v>7</x:v>
      </x:c>
      <x:c r="C19" s="179" t="s">
        <x:v>60</x:v>
      </x:c>
      <x:c r="D19" s="179" t="s">
        <x:v>140</x:v>
      </x:c>
      <x:c r="E19" s="255">
        <x:v>18</x:v>
      </x:c>
      <x:c r="F19" s="181">
        <x:v>5000</x:v>
      </x:c>
      <x:c r="G19" s="182">
        <x:v>90000</x:v>
      </x:c>
      <x:c r="H19" s="183">
        <x:v>3500</x:v>
      </x:c>
      <x:c r="I19" s="184"/>
      <x:c r="J19" s="185"/>
      <x:c r="K19" s="185"/>
      <x:c r="L19" s="185"/>
      <x:c r="M19" s="186"/>
      <x:c r="N19" s="187">
        <x:f t="shared" si="2"/>
        <x:v>0</x:v>
      </x:c>
      <x:c r="O19" s="188">
        <x:f t="shared" si="3"/>
        <x:v>0</x:v>
      </x:c>
      <x:c r="P19" s="189">
        <x:f>캠퍼스타운_외부원두영업!I19+잇다카페_외부원두영업!I19+푸른솔!J19+의과대학!I19+중앙도서관!I19+학생회관!I19+제2기숙사!I19+멀티미디어관!I19+선승관!I19+예술디자인대!I19+공학관!I19</x:f>
        <x:v>0</x:v>
      </x:c>
      <x:c r="Q19" s="181">
        <x:f>캠퍼스타운_외부원두영업!J19+잇다카페_외부원두영업!J19+푸른솔!K19+의과대학!J19+중앙도서관!J19+학생회관!J19+멀티미디어관!J19+제2기숙사!J19+선승관!J19+예술디자인대!J19+공학관!J19</x:f>
        <x:v>0</x:v>
      </x:c>
      <x:c r="R19" s="181">
        <x:f>캠퍼스타운_외부원두영업!K19+잇다카페_외부원두영업!K19+푸른솔!L19+의과대학!K19+중앙도서관!K19+학생회관!K19+제2기숙사!K19+멀티미디어관!K19+선승관!K19+예술디자인대!K19+공학관!K19</x:f>
        <x:v>0</x:v>
      </x:c>
      <x:c r="S19" s="181">
        <x:f>캠퍼스타운_외부원두영업!L19+잇다카페_외부원두영업!L19+푸른솔!M19+의과대학!L19+중앙도서관!L19+학생회관!L19+멀티미디어관!L19+제2기숙사!L19+선승관!L19+예술디자인대!L19+공학관!L19</x:f>
        <x:v>0</x:v>
      </x:c>
      <x:c r="T19" s="190">
        <x:f>캠퍼스타운_외부원두영업!M19+잇다카페_외부원두영업!M19+푸른솔!N19+의과대학!M19+중앙도서관!M19+학생회관!M19+멀티미디어관!M19+제2기숙사!M19+선승관!M19+예술디자인대!M19+공학관!M19</x:f>
        <x:v>0</x:v>
      </x:c>
      <x:c r="U19" s="191">
        <x:f t="shared" si="5"/>
        <x:v>0</x:v>
      </x:c>
      <x:c r="V19" s="192">
        <x:f t="shared" si="4"/>
        <x:v>0</x:v>
      </x:c>
      <x:c r="W19" s="193">
        <x:f t="shared" si="6"/>
        <x:v>3500</x:v>
      </x:c>
      <x:c r="X19" s="194">
        <x:f t="shared" si="0"/>
        <x:v>63000</x:v>
      </x:c>
      <x:c r="Y19" s="274">
        <x:v>750</x:v>
      </x:c>
      <x:c r="Z19" s="302">
        <x:v>0</x:v>
      </x:c>
      <x:c r="AA19" s="99">
        <x:f t="shared" si="1"/>
        <x:v>0</x:v>
      </x:c>
      <x:c r="AB19" s="491"/>
      <x:c r="AC19" s="494"/>
    </x:row>
    <x:row r="20" spans="1:29">
      <x:c r="A20" s="518"/>
      <x:c r="B20" s="380" t="s">
        <x:v>20</x:v>
      </x:c>
      <x:c r="C20" s="196" t="s">
        <x:v>61</x:v>
      </x:c>
      <x:c r="D20" s="196" t="s">
        <x:v>140</x:v>
      </x:c>
      <x:c r="E20" s="257">
        <x:v>26.699999999999999</x:v>
      </x:c>
      <x:c r="F20" s="198">
        <x:v>4000</x:v>
      </x:c>
      <x:c r="G20" s="199">
        <x:v>106800</x:v>
      </x:c>
      <x:c r="H20" s="200">
        <x:v>4600</x:v>
      </x:c>
      <x:c r="I20" s="184"/>
      <x:c r="J20" s="201"/>
      <x:c r="K20" s="185"/>
      <x:c r="L20" s="185"/>
      <x:c r="M20" s="202"/>
      <x:c r="N20" s="187">
        <x:f t="shared" si="2"/>
        <x:v>0</x:v>
      </x:c>
      <x:c r="O20" s="188">
        <x:f t="shared" si="3"/>
        <x:v>0</x:v>
      </x:c>
      <x:c r="P20" s="189">
        <x:f>캠퍼스타운_외부원두영업!I20+잇다카페_외부원두영업!I20+푸른솔!J20+의과대학!I20+중앙도서관!I20+학생회관!I20+제2기숙사!I20+멀티미디어관!I20+선승관!I20+예술디자인대!I20+공학관!I20</x:f>
        <x:v>0</x:v>
      </x:c>
      <x:c r="Q20" s="181">
        <x:f>캠퍼스타운_외부원두영업!J20+잇다카페_외부원두영업!J20+푸른솔!K20+의과대학!J20+중앙도서관!J20+학생회관!J20+멀티미디어관!J20+제2기숙사!J20+선승관!J20+예술디자인대!J20+공학관!J20</x:f>
        <x:v>0</x:v>
      </x:c>
      <x:c r="R20" s="181">
        <x:f>캠퍼스타운_외부원두영업!K20+잇다카페_외부원두영업!K20+푸른솔!L20+의과대학!K20+중앙도서관!K20+학생회관!K20+제2기숙사!K20+멀티미디어관!K20+선승관!K20+예술디자인대!K20+공학관!K20</x:f>
        <x:v>0</x:v>
      </x:c>
      <x:c r="S20" s="181">
        <x:f>캠퍼스타운_외부원두영업!L20+잇다카페_외부원두영업!L20+푸른솔!M20+의과대학!L20+중앙도서관!L20+학생회관!L20+멀티미디어관!L20+제2기숙사!L20+선승관!L20+예술디자인대!L20+공학관!L20</x:f>
        <x:v>0</x:v>
      </x:c>
      <x:c r="T20" s="190">
        <x:f>캠퍼스타운_외부원두영업!M20+잇다카페_외부원두영업!M20+푸른솔!N20+의과대학!M20+중앙도서관!M20+학생회관!M20+멀티미디어관!M20+제2기숙사!M20+선승관!M20+예술디자인대!M20+공학관!M20</x:f>
        <x:v>0</x:v>
      </x:c>
      <x:c r="U20" s="191">
        <x:f t="shared" si="5"/>
        <x:v>0</x:v>
      </x:c>
      <x:c r="V20" s="192">
        <x:f t="shared" si="4"/>
        <x:v>0</x:v>
      </x:c>
      <x:c r="W20" s="193">
        <x:f t="shared" si="6"/>
        <x:v>4600</x:v>
      </x:c>
      <x:c r="X20" s="194">
        <x:f t="shared" si="0"/>
        <x:v>122820</x:v>
      </x:c>
      <x:c r="Y20" s="274">
        <x:v>400</x:v>
      </x:c>
      <x:c r="Z20" s="302">
        <x:v>0</x:v>
      </x:c>
      <x:c r="AA20" s="99">
        <x:f t="shared" si="1"/>
        <x:v>0</x:v>
      </x:c>
      <x:c r="AB20" s="491"/>
      <x:c r="AC20" s="494"/>
    </x:row>
    <x:row r="21" spans="1:29">
      <x:c r="A21" s="518"/>
      <x:c r="B21" s="379" t="s">
        <x:v>23</x:v>
      </x:c>
      <x:c r="C21" s="179" t="s">
        <x:v>52</x:v>
      </x:c>
      <x:c r="D21" s="179" t="s">
        <x:v>140</x:v>
      </x:c>
      <x:c r="E21" s="260">
        <x:v>22.8125</x:v>
      </x:c>
      <x:c r="F21" s="181">
        <x:v>3200</x:v>
      </x:c>
      <x:c r="G21" s="182">
        <x:v>73000</x:v>
      </x:c>
      <x:c r="H21" s="183">
        <x:v>3800</x:v>
      </x:c>
      <x:c r="I21" s="184"/>
      <x:c r="J21" s="185"/>
      <x:c r="K21" s="185"/>
      <x:c r="L21" s="185"/>
      <x:c r="M21" s="186"/>
      <x:c r="N21" s="187">
        <x:f t="shared" si="2"/>
        <x:v>0</x:v>
      </x:c>
      <x:c r="O21" s="188">
        <x:f t="shared" si="3"/>
        <x:v>0</x:v>
      </x:c>
      <x:c r="P21" s="189">
        <x:f>캠퍼스타운_외부원두영업!I21+잇다카페_외부원두영업!I21+푸른솔!J21+의과대학!I21+중앙도서관!I21+학생회관!I21+제2기숙사!I21+멀티미디어관!I21+선승관!I21+예술디자인대!I21+공학관!I21</x:f>
        <x:v>0</x:v>
      </x:c>
      <x:c r="Q21" s="181">
        <x:f>캠퍼스타운_외부원두영업!J21+잇다카페_외부원두영업!J21+푸른솔!K21+의과대학!J21+중앙도서관!J21+학생회관!J21+멀티미디어관!J21+제2기숙사!J21+선승관!J21+예술디자인대!J21+공학관!J21</x:f>
        <x:v>0</x:v>
      </x:c>
      <x:c r="R21" s="181">
        <x:f>캠퍼스타운_외부원두영업!K21+잇다카페_외부원두영업!K21+푸른솔!L21+의과대학!K21+중앙도서관!K21+학생회관!K21+제2기숙사!K21+멀티미디어관!K21+선승관!K21+예술디자인대!K21+공학관!K21</x:f>
        <x:v>0</x:v>
      </x:c>
      <x:c r="S21" s="181">
        <x:f>캠퍼스타운_외부원두영업!L21+잇다카페_외부원두영업!L21+푸른솔!M21+의과대학!L21+중앙도서관!L21+학생회관!L21+멀티미디어관!L21+제2기숙사!L21+선승관!L21+예술디자인대!L21+공학관!L21</x:f>
        <x:v>0</x:v>
      </x:c>
      <x:c r="T21" s="190">
        <x:f>캠퍼스타운_외부원두영업!M21+잇다카페_외부원두영업!M21+푸른솔!N21+의과대학!M21+중앙도서관!M21+학생회관!M21+멀티미디어관!M21+제2기숙사!M21+선승관!M21+예술디자인대!M21+공학관!M21</x:f>
        <x:v>0</x:v>
      </x:c>
      <x:c r="U21" s="191">
        <x:f t="shared" si="5"/>
        <x:v>0</x:v>
      </x:c>
      <x:c r="V21" s="192">
        <x:f t="shared" si="4"/>
        <x:v>0</x:v>
      </x:c>
      <x:c r="W21" s="193">
        <x:f t="shared" si="6"/>
        <x:v>3800</x:v>
      </x:c>
      <x:c r="X21" s="194">
        <x:f t="shared" si="0"/>
        <x:v>86687.5</x:v>
      </x:c>
      <x:c r="Y21" s="274">
        <x:v>200</x:v>
      </x:c>
      <x:c r="Z21" s="302">
        <x:v>0</x:v>
      </x:c>
      <x:c r="AA21" s="99">
        <x:f t="shared" si="1"/>
        <x:v>0</x:v>
      </x:c>
      <x:c r="AB21" s="491"/>
      <x:c r="AC21" s="494"/>
    </x:row>
    <x:row r="22" spans="1:29">
      <x:c r="A22" s="518"/>
      <x:c r="B22" s="379" t="s">
        <x:v>10</x:v>
      </x:c>
      <x:c r="C22" s="195" t="s">
        <x:v>62</x:v>
      </x:c>
      <x:c r="D22" s="195" t="s">
        <x:v>140</x:v>
      </x:c>
      <x:c r="E22" s="256">
        <x:v>112.5</x:v>
      </x:c>
      <x:c r="F22" s="181">
        <x:v>200</x:v>
      </x:c>
      <x:c r="G22" s="182">
        <x:v>22500</x:v>
      </x:c>
      <x:c r="H22" s="183">
        <x:v>600</x:v>
      </x:c>
      <x:c r="I22" s="184"/>
      <x:c r="J22" s="185"/>
      <x:c r="K22" s="185">
        <x:v>2000</x:v>
      </x:c>
      <x:c r="L22" s="185"/>
      <x:c r="M22" s="186"/>
      <x:c r="N22" s="187">
        <x:f t="shared" si="2"/>
        <x:v>2000</x:v>
      </x:c>
      <x:c r="O22" s="188">
        <x:f t="shared" si="3"/>
        <x:v>225000</x:v>
      </x:c>
      <x:c r="P22" s="189">
        <x:f>캠퍼스타운_외부원두영업!I22+잇다카페_외부원두영업!I22+푸른솔!J22+의과대학!I22+중앙도서관!I22+학생회관!I22+제2기숙사!I22+멀티미디어관!I22+선승관!I22+예술디자인대!I22+공학관!I22</x:f>
        <x:v>0</x:v>
      </x:c>
      <x:c r="Q22" s="181">
        <x:f>캠퍼스타운_외부원두영업!J22+잇다카페_외부원두영업!J22+푸른솔!K22+의과대학!J22+중앙도서관!J22+학생회관!J22+멀티미디어관!J22+제2기숙사!J22+선승관!J22+예술디자인대!J22+공학관!J22</x:f>
        <x:v>400</x:v>
      </x:c>
      <x:c r="R22" s="181">
        <x:f>캠퍼스타운_외부원두영업!K22+잇다카페_외부원두영업!K22+푸른솔!L22+의과대학!K22+중앙도서관!K22+학생회관!K22+제2기숙사!K22+멀티미디어관!K22+선승관!K22+예술디자인대!K22+공학관!K22</x:f>
        <x:v>0</x:v>
      </x:c>
      <x:c r="S22" s="181">
        <x:f>캠퍼스타운_외부원두영업!L22+잇다카페_외부원두영업!L22+푸른솔!M22+의과대학!L22+중앙도서관!L22+학생회관!L22+멀티미디어관!L22+제2기숙사!L22+선승관!L22+예술디자인대!L22+공학관!L22</x:f>
        <x:v>600</x:v>
      </x:c>
      <x:c r="T22" s="190">
        <x:f>캠퍼스타운_외부원두영업!M22+잇다카페_외부원두영업!M22+푸른솔!N22+의과대학!M22+중앙도서관!M22+학생회관!M22+멀티미디어관!M22+제2기숙사!M22+선승관!M22+예술디자인대!M22+공학관!M22</x:f>
        <x:v>0</x:v>
      </x:c>
      <x:c r="U22" s="191">
        <x:f t="shared" si="5"/>
        <x:v>1000</x:v>
      </x:c>
      <x:c r="V22" s="192">
        <x:f t="shared" si="4"/>
        <x:v>112500</x:v>
      </x:c>
      <x:c r="W22" s="193">
        <x:f t="shared" si="6"/>
        <x:v>1600</x:v>
      </x:c>
      <x:c r="X22" s="194">
        <x:f t="shared" si="0"/>
        <x:v>180000</x:v>
      </x:c>
      <x:c r="Y22" s="274">
        <x:v>2200</x:v>
      </x:c>
      <x:c r="Z22" s="302">
        <x:v>2000</x:v>
      </x:c>
      <x:c r="AA22" s="99">
        <x:f t="shared" si="1"/>
        <x:v>225000</x:v>
      </x:c>
      <x:c r="AB22" s="491"/>
      <x:c r="AC22" s="494"/>
    </x:row>
    <x:row r="23" spans="1:29">
      <x:c r="A23" s="516"/>
      <x:c r="B23" s="379" t="s">
        <x:v>76</x:v>
      </x:c>
      <x:c r="C23" s="196" t="s">
        <x:v>48</x:v>
      </x:c>
      <x:c r="D23" s="196" t="s">
        <x:v>140</x:v>
      </x:c>
      <x:c r="E23" s="258">
        <x:v>3.625</x:v>
      </x:c>
      <x:c r="F23" s="198">
        <x:v>8000</x:v>
      </x:c>
      <x:c r="G23" s="199">
        <x:v>29000</x:v>
      </x:c>
      <x:c r="H23" s="200">
        <x:v>32000</x:v>
      </x:c>
      <x:c r="I23" s="184"/>
      <x:c r="J23" s="201"/>
      <x:c r="K23" s="185"/>
      <x:c r="L23" s="185"/>
      <x:c r="M23" s="202"/>
      <x:c r="N23" s="187">
        <x:f t="shared" si="2"/>
        <x:v>0</x:v>
      </x:c>
      <x:c r="O23" s="188">
        <x:f t="shared" si="3"/>
        <x:v>0</x:v>
      </x:c>
      <x:c r="P23" s="189">
        <x:f>캠퍼스타운_외부원두영업!I23+잇다카페_외부원두영업!I23+푸른솔!J23+의과대학!I23+중앙도서관!I23+학생회관!I23+제2기숙사!I23+멀티미디어관!I23+선승관!I23+예술디자인대!I23+공학관!I23</x:f>
        <x:v>0</x:v>
      </x:c>
      <x:c r="Q23" s="181">
        <x:f>캠퍼스타운_외부원두영업!J23+잇다카페_외부원두영업!J23+푸른솔!K23+의과대학!J23+중앙도서관!J23+학생회관!J23+멀티미디어관!J23+제2기숙사!J23+선승관!J23+예술디자인대!J23+공학관!J23</x:f>
        <x:v>0</x:v>
      </x:c>
      <x:c r="R23" s="181">
        <x:f>캠퍼스타운_외부원두영업!K23+잇다카페_외부원두영업!K23+푸른솔!L23+의과대학!K23+중앙도서관!K23+학생회관!K23+제2기숙사!K23+멀티미디어관!K23+선승관!K23+예술디자인대!K23+공학관!K23</x:f>
        <x:v>0</x:v>
      </x:c>
      <x:c r="S23" s="181">
        <x:f>캠퍼스타운_외부원두영업!L23+잇다카페_외부원두영업!L23+푸른솔!M23+의과대학!L23+중앙도서관!L23+학생회관!L23+멀티미디어관!L23+제2기숙사!L23+선승관!L23+예술디자인대!L23+공학관!L23</x:f>
        <x:v>8000</x:v>
      </x:c>
      <x:c r="T23" s="190">
        <x:f>캠퍼스타운_외부원두영업!M23+잇다카페_외부원두영업!M23+푸른솔!N23+의과대학!M23+중앙도서관!M23+학생회관!M23+멀티미디어관!M23+제2기숙사!M23+선승관!M23+예술디자인대!M23+공학관!M23</x:f>
        <x:v>0</x:v>
      </x:c>
      <x:c r="U23" s="191">
        <x:f t="shared" si="5"/>
        <x:v>8000</x:v>
      </x:c>
      <x:c r="V23" s="192">
        <x:f t="shared" si="4"/>
        <x:v>29000</x:v>
      </x:c>
      <x:c r="W23" s="193">
        <x:f t="shared" si="6"/>
        <x:v>24000</x:v>
      </x:c>
      <x:c r="X23" s="194">
        <x:f t="shared" si="0"/>
        <x:v>87000</x:v>
      </x:c>
      <x:c r="Y23" s="274">
        <x:v>24000</x:v>
      </x:c>
      <x:c r="Z23" s="302">
        <x:v>0</x:v>
      </x:c>
      <x:c r="AA23" s="99">
        <x:f t="shared" si="1"/>
        <x:v>0</x:v>
      </x:c>
      <x:c r="AB23" s="491"/>
      <x:c r="AC23" s="494"/>
    </x:row>
    <x:row r="24" spans="1:29">
      <x:c r="A24" s="518"/>
      <x:c r="B24" s="379" t="s">
        <x:v>75</x:v>
      </x:c>
      <x:c r="C24" s="179" t="s">
        <x:v>142</x:v>
      </x:c>
      <x:c r="D24" s="179" t="s">
        <x:v>144</x:v>
      </x:c>
      <x:c r="E24" s="255">
        <x:v>12000</x:v>
      </x:c>
      <x:c r="F24" s="181">
        <x:v>1</x:v>
      </x:c>
      <x:c r="G24" s="182">
        <x:v>12000</x:v>
      </x:c>
      <x:c r="H24" s="183">
        <x:v>3</x:v>
      </x:c>
      <x:c r="I24" s="184"/>
      <x:c r="J24" s="185"/>
      <x:c r="K24" s="185"/>
      <x:c r="L24" s="185"/>
      <x:c r="M24" s="186"/>
      <x:c r="N24" s="187">
        <x:f t="shared" si="2"/>
        <x:v>0</x:v>
      </x:c>
      <x:c r="O24" s="188">
        <x:f t="shared" si="3"/>
        <x:v>0</x:v>
      </x:c>
      <x:c r="P24" s="189">
        <x:f>캠퍼스타운_외부원두영업!I24+잇다카페_외부원두영업!I24+푸른솔!J24+의과대학!I24+중앙도서관!I24+학생회관!I24+제2기숙사!I24+멀티미디어관!I24+선승관!I24+예술디자인대!I24+공학관!I24</x:f>
        <x:v>0</x:v>
      </x:c>
      <x:c r="Q24" s="181">
        <x:f>캠퍼스타운_외부원두영업!J24+잇다카페_외부원두영업!J24+푸른솔!K24+의과대학!J24+중앙도서관!J24+학생회관!J24+멀티미디어관!J24+제2기숙사!J24+선승관!J24+예술디자인대!J24+공학관!J24</x:f>
        <x:v>0</x:v>
      </x:c>
      <x:c r="R24" s="181">
        <x:f>캠퍼스타운_외부원두영업!K24+잇다카페_외부원두영업!K24+푸른솔!L24+의과대학!K24+중앙도서관!K24+학생회관!K24+제2기숙사!K24+멀티미디어관!K24+선승관!K24+예술디자인대!K24+공학관!K24</x:f>
        <x:v>0</x:v>
      </x:c>
      <x:c r="S24" s="181">
        <x:f>캠퍼스타운_외부원두영업!L24+잇다카페_외부원두영업!L24+푸른솔!M24+의과대학!L24+중앙도서관!L24+학생회관!L24+멀티미디어관!L24+제2기숙사!L24+선승관!L24+예술디자인대!L24+공학관!L24</x:f>
        <x:v>1</x:v>
      </x:c>
      <x:c r="T24" s="190">
        <x:f>캠퍼스타운_외부원두영업!M24+잇다카페_외부원두영업!M24+푸른솔!N24+의과대학!M24+중앙도서관!M24+학생회관!M24+멀티미디어관!M24+제2기숙사!M24+선승관!M24+예술디자인대!M24+공학관!M24</x:f>
        <x:v>0</x:v>
      </x:c>
      <x:c r="U24" s="191">
        <x:f t="shared" si="5"/>
        <x:v>1</x:v>
      </x:c>
      <x:c r="V24" s="192">
        <x:f t="shared" si="4"/>
        <x:v>12000</x:v>
      </x:c>
      <x:c r="W24" s="193">
        <x:f t="shared" si="6"/>
        <x:v>2</x:v>
      </x:c>
      <x:c r="X24" s="194">
        <x:f t="shared" si="0"/>
        <x:v>24000</x:v>
      </x:c>
      <x:c r="Y24" s="274">
        <x:v>0</x:v>
      </x:c>
      <x:c r="Z24" s="302">
        <x:v>0</x:v>
      </x:c>
      <x:c r="AA24" s="99">
        <x:f t="shared" si="1"/>
        <x:v>0</x:v>
      </x:c>
      <x:c r="AB24" s="491"/>
      <x:c r="AC24" s="494"/>
    </x:row>
    <x:row r="25" spans="1:29">
      <x:c r="A25" s="518"/>
      <x:c r="B25" s="378" t="s">
        <x:v>2</x:v>
      </x:c>
      <x:c r="C25" s="179" t="s">
        <x:v>3</x:v>
      </x:c>
      <x:c r="D25" s="179" t="s">
        <x:v>140</x:v>
      </x:c>
      <x:c r="E25" s="255">
        <x:v>6.4000000000000004</x:v>
      </x:c>
      <x:c r="F25" s="181">
        <x:v>10000</x:v>
      </x:c>
      <x:c r="G25" s="182">
        <x:v>64000</x:v>
      </x:c>
      <x:c r="H25" s="183">
        <x:v>13000</x:v>
      </x:c>
      <x:c r="I25" s="184"/>
      <x:c r="J25" s="185"/>
      <x:c r="K25" s="185"/>
      <x:c r="L25" s="185"/>
      <x:c r="M25" s="186"/>
      <x:c r="N25" s="187">
        <x:f t="shared" si="2"/>
        <x:v>0</x:v>
      </x:c>
      <x:c r="O25" s="188">
        <x:f t="shared" si="3"/>
        <x:v>0</x:v>
      </x:c>
      <x:c r="P25" s="189">
        <x:f>캠퍼스타운_외부원두영업!I25+잇다카페_외부원두영업!I25+푸른솔!J25+의과대학!I25+중앙도서관!I25+학생회관!I25+제2기숙사!I25+멀티미디어관!I25+선승관!I25+예술디자인대!I25+공학관!I25</x:f>
        <x:v>0</x:v>
      </x:c>
      <x:c r="Q25" s="181">
        <x:f>캠퍼스타운_외부원두영업!J25+잇다카페_외부원두영업!J25+푸른솔!K25+의과대학!J25+중앙도서관!J25+학생회관!J25+멀티미디어관!J25+제2기숙사!J25+선승관!J25+예술디자인대!J25+공학관!J25</x:f>
        <x:v>0</x:v>
      </x:c>
      <x:c r="R25" s="181">
        <x:f>캠퍼스타운_외부원두영업!K25+잇다카페_외부원두영업!K25+푸른솔!L25+의과대학!K25+중앙도서관!K25+학생회관!K25+제2기숙사!K25+멀티미디어관!K25+선승관!K25+예술디자인대!K25+공학관!K25</x:f>
        <x:v>0</x:v>
      </x:c>
      <x:c r="S25" s="181">
        <x:f>캠퍼스타운_외부원두영업!L25+잇다카페_외부원두영업!L25+푸른솔!M25+의과대학!L25+중앙도서관!L25+학생회관!L25+멀티미디어관!L25+제2기숙사!L25+선승관!L25+예술디자인대!L25+공학관!L25</x:f>
        <x:v>0</x:v>
      </x:c>
      <x:c r="T25" s="190">
        <x:f>캠퍼스타운_외부원두영업!M25+잇다카페_외부원두영업!M25+푸른솔!N25+의과대학!M25+중앙도서관!M25+학생회관!M25+멀티미디어관!M25+제2기숙사!M25+선승관!M25+예술디자인대!M25+공학관!M25</x:f>
        <x:v>0</x:v>
      </x:c>
      <x:c r="U25" s="191">
        <x:f t="shared" si="5"/>
        <x:v>0</x:v>
      </x:c>
      <x:c r="V25" s="192">
        <x:f t="shared" si="4"/>
        <x:v>0</x:v>
      </x:c>
      <x:c r="W25" s="193">
        <x:f t="shared" si="6"/>
        <x:v>13000</x:v>
      </x:c>
      <x:c r="X25" s="194">
        <x:f t="shared" si="0"/>
        <x:v>83200</x:v>
      </x:c>
      <x:c r="Y25" s="274">
        <x:v>0</x:v>
      </x:c>
      <x:c r="Z25" s="302">
        <x:v>0</x:v>
      </x:c>
      <x:c r="AA25" s="99">
        <x:f t="shared" si="1"/>
        <x:v>0</x:v>
      </x:c>
      <x:c r="AB25" s="491"/>
      <x:c r="AC25" s="494"/>
    </x:row>
    <x:row r="26" spans="1:29">
      <x:c r="A26" s="518"/>
      <x:c r="B26" s="378" t="s">
        <x:v>21</x:v>
      </x:c>
      <x:c r="C26" s="179" t="s">
        <x:v>3</x:v>
      </x:c>
      <x:c r="D26" s="179" t="s">
        <x:v>140</x:v>
      </x:c>
      <x:c r="E26" s="255">
        <x:v>6.7999999999999998</x:v>
      </x:c>
      <x:c r="F26" s="181">
        <x:v>10000</x:v>
      </x:c>
      <x:c r="G26" s="182">
        <x:v>68000</x:v>
      </x:c>
      <x:c r="H26" s="183">
        <x:v>11000</x:v>
      </x:c>
      <x:c r="I26" s="184"/>
      <x:c r="J26" s="185"/>
      <x:c r="K26" s="185"/>
      <x:c r="L26" s="185"/>
      <x:c r="M26" s="186"/>
      <x:c r="N26" s="187">
        <x:f t="shared" si="2"/>
        <x:v>0</x:v>
      </x:c>
      <x:c r="O26" s="188">
        <x:f t="shared" si="3"/>
        <x:v>0</x:v>
      </x:c>
      <x:c r="P26" s="189">
        <x:f>캠퍼스타운_외부원두영업!I26+잇다카페_외부원두영업!I26+푸른솔!J26+의과대학!I26+중앙도서관!I26+학생회관!I26+제2기숙사!I26+멀티미디어관!I26+선승관!I26+예술디자인대!I26+공학관!I26</x:f>
        <x:v>0</x:v>
      </x:c>
      <x:c r="Q26" s="181">
        <x:f>캠퍼스타운_외부원두영업!J26+잇다카페_외부원두영업!J26+푸른솔!K26+의과대학!J26+중앙도서관!J26+학생회관!J26+멀티미디어관!J26+제2기숙사!J26+선승관!J26+예술디자인대!J26+공학관!J26</x:f>
        <x:v>0</x:v>
      </x:c>
      <x:c r="R26" s="181">
        <x:f>캠퍼스타운_외부원두영업!K26+잇다카페_외부원두영업!K26+푸른솔!L26+의과대학!K26+중앙도서관!K26+학생회관!K26+제2기숙사!K26+멀티미디어관!K26+선승관!K26+예술디자인대!K26+공학관!K26</x:f>
        <x:v>0</x:v>
      </x:c>
      <x:c r="S26" s="181">
        <x:f>캠퍼스타운_외부원두영업!L26+잇다카페_외부원두영업!L26+푸른솔!M26+의과대학!L26+중앙도서관!L26+학생회관!L26+멀티미디어관!L26+제2기숙사!L26+선승관!L26+예술디자인대!L26+공학관!L26</x:f>
        <x:v>0</x:v>
      </x:c>
      <x:c r="T26" s="190">
        <x:f>캠퍼스타운_외부원두영업!M26+잇다카페_외부원두영업!M26+푸른솔!N26+의과대학!M26+중앙도서관!M26+학생회관!M26+멀티미디어관!M26+제2기숙사!M26+선승관!M26+예술디자인대!M26+공학관!M26</x:f>
        <x:v>0</x:v>
      </x:c>
      <x:c r="U26" s="191">
        <x:f t="shared" si="5"/>
        <x:v>0</x:v>
      </x:c>
      <x:c r="V26" s="192">
        <x:f t="shared" si="4"/>
        <x:v>0</x:v>
      </x:c>
      <x:c r="W26" s="193">
        <x:f t="shared" si="6"/>
        <x:v>11000</x:v>
      </x:c>
      <x:c r="X26" s="194">
        <x:f t="shared" si="0"/>
        <x:v>74800</x:v>
      </x:c>
      <x:c r="Y26" s="274">
        <x:v>1000</x:v>
      </x:c>
      <x:c r="Z26" s="302">
        <x:v>0</x:v>
      </x:c>
      <x:c r="AA26" s="99">
        <x:f t="shared" si="1"/>
        <x:v>0</x:v>
      </x:c>
      <x:c r="AB26" s="491"/>
      <x:c r="AC26" s="494"/>
    </x:row>
    <x:row r="27" spans="1:29">
      <x:c r="A27" s="518"/>
      <x:c r="B27" s="378" t="s">
        <x:v>24</x:v>
      </x:c>
      <x:c r="C27" s="179" t="s">
        <x:v>59</x:v>
      </x:c>
      <x:c r="D27" s="179" t="s">
        <x:v>140</x:v>
      </x:c>
      <x:c r="E27" s="255">
        <x:v>25</x:v>
      </x:c>
      <x:c r="F27" s="181">
        <x:v>200</x:v>
      </x:c>
      <x:c r="G27" s="182">
        <x:v>5000</x:v>
      </x:c>
      <x:c r="H27" s="183">
        <x:v>600</x:v>
      </x:c>
      <x:c r="I27" s="184"/>
      <x:c r="J27" s="185"/>
      <x:c r="K27" s="185"/>
      <x:c r="L27" s="185"/>
      <x:c r="M27" s="186"/>
      <x:c r="N27" s="187">
        <x:f t="shared" si="2"/>
        <x:v>0</x:v>
      </x:c>
      <x:c r="O27" s="188">
        <x:f t="shared" si="3"/>
        <x:v>0</x:v>
      </x:c>
      <x:c r="P27" s="189">
        <x:f>캠퍼스타운_외부원두영업!I27+잇다카페_외부원두영업!I27+푸른솔!J27+의과대학!I27+중앙도서관!I27+학생회관!I27+제2기숙사!I27+멀티미디어관!I27+선승관!I27+예술디자인대!I27+공학관!I27</x:f>
        <x:v>0</x:v>
      </x:c>
      <x:c r="Q27" s="181">
        <x:f>캠퍼스타운_외부원두영업!J27+잇다카페_외부원두영업!J27+푸른솔!K27+의과대학!J27+중앙도서관!J27+학생회관!J27+멀티미디어관!J27+제2기숙사!J27+선승관!J27+예술디자인대!J27+공학관!J27</x:f>
        <x:v>0</x:v>
      </x:c>
      <x:c r="R27" s="181">
        <x:f>캠퍼스타운_외부원두영업!K27+잇다카페_외부원두영업!K27+푸른솔!L27+의과대학!K27+중앙도서관!K27+학생회관!K27+제2기숙사!K27+멀티미디어관!K27+선승관!K27+예술디자인대!K27+공학관!K27</x:f>
        <x:v>0</x:v>
      </x:c>
      <x:c r="S27" s="181">
        <x:f>캠퍼스타운_외부원두영업!L27+잇다카페_외부원두영업!L27+푸른솔!M27+의과대학!L27+중앙도서관!L27+학생회관!L27+멀티미디어관!L27+제2기숙사!L27+선승관!L27+예술디자인대!L27+공학관!L27</x:f>
        <x:v>0</x:v>
      </x:c>
      <x:c r="T27" s="190">
        <x:f>캠퍼스타운_외부원두영업!M27+잇다카페_외부원두영업!M27+푸른솔!N27+의과대학!M27+중앙도서관!M27+학생회관!M27+멀티미디어관!M27+제2기숙사!M27+선승관!M27+예술디자인대!M27+공학관!M27</x:f>
        <x:v>0</x:v>
      </x:c>
      <x:c r="U27" s="191">
        <x:f t="shared" si="5"/>
        <x:v>0</x:v>
      </x:c>
      <x:c r="V27" s="192">
        <x:f t="shared" si="4"/>
        <x:v>0</x:v>
      </x:c>
      <x:c r="W27" s="193">
        <x:f t="shared" si="6"/>
        <x:v>600</x:v>
      </x:c>
      <x:c r="X27" s="194">
        <x:f t="shared" si="0"/>
        <x:v>15000</x:v>
      </x:c>
      <x:c r="Y27" s="274">
        <x:v>0</x:v>
      </x:c>
      <x:c r="Z27" s="302">
        <x:v>0</x:v>
      </x:c>
      <x:c r="AA27" s="99">
        <x:f t="shared" si="1"/>
        <x:v>0</x:v>
      </x:c>
      <x:c r="AB27" s="491"/>
      <x:c r="AC27" s="494"/>
    </x:row>
    <x:row r="28" spans="1:29">
      <x:c r="A28" s="527"/>
      <x:c r="B28" s="379" t="s">
        <x:v>69</x:v>
      </x:c>
      <x:c r="C28" s="196" t="s">
        <x:v>45</x:v>
      </x:c>
      <x:c r="D28" s="196" t="s">
        <x:v>140</x:v>
      </x:c>
      <x:c r="E28" s="257">
        <x:v>2100</x:v>
      </x:c>
      <x:c r="F28" s="198">
        <x:v>12</x:v>
      </x:c>
      <x:c r="G28" s="199">
        <x:v>25200</x:v>
      </x:c>
      <x:c r="H28" s="200">
        <x:v>20</x:v>
      </x:c>
      <x:c r="I28" s="184"/>
      <x:c r="J28" s="201"/>
      <x:c r="K28" s="185">
        <x:v>12</x:v>
      </x:c>
      <x:c r="L28" s="185"/>
      <x:c r="M28" s="202"/>
      <x:c r="N28" s="187">
        <x:f t="shared" si="2"/>
        <x:v>12</x:v>
      </x:c>
      <x:c r="O28" s="188">
        <x:f t="shared" si="3"/>
        <x:v>25200</x:v>
      </x:c>
      <x:c r="P28" s="189">
        <x:f>캠퍼스타운_외부원두영업!I28+잇다카페_외부원두영업!I28+푸른솔!J28+의과대학!I28+중앙도서관!I28+학생회관!I28+제2기숙사!I28+멀티미디어관!I28+선승관!I28+예술디자인대!I28+공학관!I28</x:f>
        <x:v>0</x:v>
      </x:c>
      <x:c r="Q28" s="181">
        <x:f>캠퍼스타운_외부원두영업!J28+잇다카페_외부원두영업!J28+푸른솔!K28+의과대학!J28+중앙도서관!J28+학생회관!J28+멀티미디어관!J28+제2기숙사!J28+선승관!J28+예술디자인대!J28+공학관!J28</x:f>
        <x:v>0</x:v>
      </x:c>
      <x:c r="R28" s="181">
        <x:f>캠퍼스타운_외부원두영업!K28+잇다카페_외부원두영업!K28+푸른솔!L28+의과대학!K28+중앙도서관!K28+학생회관!K28+제2기숙사!K28+멀티미디어관!K28+선승관!K28+예술디자인대!K28+공학관!K28</x:f>
        <x:v>0</x:v>
      </x:c>
      <x:c r="S28" s="181">
        <x:f>캠퍼스타운_외부원두영업!L28+잇다카페_외부원두영업!L28+푸른솔!M28+의과대학!L28+중앙도서관!L28+학생회관!L28+멀티미디어관!L28+제2기숙사!L28+선승관!L28+예술디자인대!L28+공학관!L28</x:f>
        <x:v>0</x:v>
      </x:c>
      <x:c r="T28" s="190">
        <x:f>캠퍼스타운_외부원두영업!M28+잇다카페_외부원두영업!M28+푸른솔!N28+의과대학!M28+중앙도서관!M28+학생회관!M28+멀티미디어관!M28+제2기숙사!M28+선승관!M28+예술디자인대!M28+공학관!M28</x:f>
        <x:v>0</x:v>
      </x:c>
      <x:c r="U28" s="191">
        <x:f t="shared" si="5"/>
        <x:v>0</x:v>
      </x:c>
      <x:c r="V28" s="192">
        <x:f t="shared" si="4"/>
        <x:v>0</x:v>
      </x:c>
      <x:c r="W28" s="193">
        <x:f t="shared" si="6"/>
        <x:v>32</x:v>
      </x:c>
      <x:c r="X28" s="194">
        <x:f t="shared" si="0"/>
        <x:v>67200</x:v>
      </x:c>
      <x:c r="Y28" s="274">
        <x:v>24</x:v>
      </x:c>
      <x:c r="Z28" s="302">
        <x:v>12</x:v>
      </x:c>
      <x:c r="AA28" s="99">
        <x:f t="shared" si="1"/>
        <x:v>25200</x:v>
      </x:c>
      <x:c r="AB28" s="491"/>
      <x:c r="AC28" s="494"/>
    </x:row>
    <x:row r="29" spans="1:29">
      <x:c r="A29" s="518"/>
      <x:c r="B29" s="379" t="s">
        <x:v>64</x:v>
      </x:c>
      <x:c r="C29" s="195" t="s">
        <x:v>45</x:v>
      </x:c>
      <x:c r="D29" s="195" t="s">
        <x:v>140</x:v>
      </x:c>
      <x:c r="E29" s="256">
        <x:v>2100</x:v>
      </x:c>
      <x:c r="F29" s="181">
        <x:v>12</x:v>
      </x:c>
      <x:c r="G29" s="182">
        <x:v>25200</x:v>
      </x:c>
      <x:c r="H29" s="183">
        <x:v>22</x:v>
      </x:c>
      <x:c r="I29" s="184"/>
      <x:c r="J29" s="185"/>
      <x:c r="K29" s="185">
        <x:v>36</x:v>
      </x:c>
      <x:c r="L29" s="185"/>
      <x:c r="M29" s="186"/>
      <x:c r="N29" s="187">
        <x:f t="shared" si="2"/>
        <x:v>36</x:v>
      </x:c>
      <x:c r="O29" s="188">
        <x:f t="shared" si="3"/>
        <x:v>75600</x:v>
      </x:c>
      <x:c r="P29" s="189">
        <x:f>캠퍼스타운_외부원두영업!I29+잇다카페_외부원두영업!I29+푸른솔!J29+의과대학!I29+중앙도서관!I29+학생회관!I29+제2기숙사!I29+멀티미디어관!I29+선승관!I29+예술디자인대!I29+공학관!I29</x:f>
        <x:v>0</x:v>
      </x:c>
      <x:c r="Q29" s="181">
        <x:f>캠퍼스타운_외부원두영업!J29+잇다카페_외부원두영업!J29+푸른솔!K29+의과대학!J29+중앙도서관!J29+학생회관!J29+멀티미디어관!J29+제2기숙사!J29+선승관!J29+예술디자인대!J29+공학관!J29</x:f>
        <x:v>0</x:v>
      </x:c>
      <x:c r="R29" s="181">
        <x:f>캠퍼스타운_외부원두영업!K29+잇다카페_외부원두영업!K29+푸른솔!L29+의과대학!K29+중앙도서관!K29+학생회관!K29+제2기숙사!K29+멀티미디어관!K29+선승관!K29+예술디자인대!K29+공학관!K29</x:f>
        <x:v>0</x:v>
      </x:c>
      <x:c r="S29" s="181">
        <x:f>캠퍼스타운_외부원두영업!L29+잇다카페_외부원두영업!L29+푸른솔!M29+의과대학!L29+중앙도서관!L29+학생회관!L29+멀티미디어관!L29+제2기숙사!L29+선승관!L29+예술디자인대!L29+공학관!L29</x:f>
        <x:v>0</x:v>
      </x:c>
      <x:c r="T29" s="190">
        <x:f>캠퍼스타운_외부원두영업!M29+잇다카페_외부원두영업!M29+푸른솔!N29+의과대학!M29+중앙도서관!M29+학생회관!M29+멀티미디어관!M29+제2기숙사!M29+선승관!M29+예술디자인대!M29+공학관!M29</x:f>
        <x:v>0</x:v>
      </x:c>
      <x:c r="U29" s="191">
        <x:f>P29+Q29+R29+S29+T29</x:f>
        <x:v>0</x:v>
      </x:c>
      <x:c r="V29" s="192">
        <x:f t="shared" si="4"/>
        <x:v>0</x:v>
      </x:c>
      <x:c r="W29" s="193">
        <x:f t="shared" si="6"/>
        <x:v>58</x:v>
      </x:c>
      <x:c r="X29" s="194">
        <x:f t="shared" si="0"/>
        <x:v>121800</x:v>
      </x:c>
      <x:c r="Y29" s="274">
        <x:v>44</x:v>
      </x:c>
      <x:c r="Z29" s="302">
        <x:v>36</x:v>
      </x:c>
      <x:c r="AA29" s="99">
        <x:f t="shared" si="1"/>
        <x:v>75600</x:v>
      </x:c>
      <x:c r="AB29" s="491"/>
      <x:c r="AC29" s="494"/>
    </x:row>
    <x:row r="30" spans="1:29">
      <x:c r="A30" s="525"/>
      <x:c r="B30" s="379" t="s">
        <x:v>67</x:v>
      </x:c>
      <x:c r="C30" s="179" t="s">
        <x:v>45</x:v>
      </x:c>
      <x:c r="D30" s="179" t="s">
        <x:v>140</x:v>
      </x:c>
      <x:c r="E30" s="255">
        <x:v>2100</x:v>
      </x:c>
      <x:c r="F30" s="181">
        <x:v>12</x:v>
      </x:c>
      <x:c r="G30" s="182">
        <x:v>25200</x:v>
      </x:c>
      <x:c r="H30" s="183">
        <x:v>30</x:v>
      </x:c>
      <x:c r="I30" s="184"/>
      <x:c r="J30" s="185"/>
      <x:c r="K30" s="185">
        <x:v>24</x:v>
      </x:c>
      <x:c r="L30" s="185"/>
      <x:c r="M30" s="186"/>
      <x:c r="N30" s="187">
        <x:f t="shared" si="2"/>
        <x:v>24</x:v>
      </x:c>
      <x:c r="O30" s="188">
        <x:f t="shared" si="3"/>
        <x:v>50400</x:v>
      </x:c>
      <x:c r="P30" s="189">
        <x:f>캠퍼스타운_외부원두영업!I30+잇다카페_외부원두영업!I30+푸른솔!J30+의과대학!I30+중앙도서관!I30+학생회관!I30+제2기숙사!I30+멀티미디어관!I30+선승관!I30+예술디자인대!I30+공학관!I30</x:f>
        <x:v>0</x:v>
      </x:c>
      <x:c r="Q30" s="181">
        <x:f>캠퍼스타운_외부원두영업!J30+잇다카페_외부원두영업!J30+푸른솔!K30+의과대학!J30+중앙도서관!J30+학생회관!J30+멀티미디어관!J30+제2기숙사!J30+선승관!J30+예술디자인대!J30+공학관!J30</x:f>
        <x:v>0</x:v>
      </x:c>
      <x:c r="R30" s="181">
        <x:f>캠퍼스타운_외부원두영업!K30+잇다카페_외부원두영업!K30+푸른솔!L30+의과대학!K30+중앙도서관!K30+학생회관!K30+제2기숙사!K30+멀티미디어관!K30+선승관!K30+예술디자인대!K30+공학관!K30</x:f>
        <x:v>0</x:v>
      </x:c>
      <x:c r="S30" s="181">
        <x:f>캠퍼스타운_외부원두영업!L30+잇다카페_외부원두영업!L30+푸른솔!M30+의과대학!L30+중앙도서관!L30+학생회관!L30+멀티미디어관!L30+제2기숙사!L30+선승관!L30+예술디자인대!L30+공학관!L30</x:f>
        <x:v>6</x:v>
      </x:c>
      <x:c r="T30" s="190">
        <x:f>캠퍼스타운_외부원두영업!M30+잇다카페_외부원두영업!M30+푸른솔!N30+의과대학!M30+중앙도서관!M30+학생회관!M30+멀티미디어관!M30+제2기숙사!M30+선승관!M30+예술디자인대!M30+공학관!M30</x:f>
        <x:v>0</x:v>
      </x:c>
      <x:c r="U30" s="191">
        <x:f t="shared" si="5"/>
        <x:v>6</x:v>
      </x:c>
      <x:c r="V30" s="192">
        <x:f t="shared" si="4"/>
        <x:v>12600</x:v>
      </x:c>
      <x:c r="W30" s="193">
        <x:f t="shared" si="6"/>
        <x:v>48</x:v>
      </x:c>
      <x:c r="X30" s="194">
        <x:f t="shared" si="0"/>
        <x:v>100800</x:v>
      </x:c>
      <x:c r="Y30" s="274">
        <x:v>39</x:v>
      </x:c>
      <x:c r="Z30" s="302">
        <x:v>24</x:v>
      </x:c>
      <x:c r="AA30" s="99">
        <x:f t="shared" si="1"/>
        <x:v>50400</x:v>
      </x:c>
      <x:c r="AB30" s="491"/>
      <x:c r="AC30" s="494"/>
    </x:row>
    <x:row r="31" spans="1:29">
      <x:c r="A31" s="518"/>
      <x:c r="B31" s="379" t="s">
        <x:v>74</x:v>
      </x:c>
      <x:c r="C31" s="195" t="s">
        <x:v>56</x:v>
      </x:c>
      <x:c r="D31" s="195" t="s">
        <x:v>140</x:v>
      </x:c>
      <x:c r="E31" s="256">
        <x:v>2800</x:v>
      </x:c>
      <x:c r="F31" s="181">
        <x:v>6</x:v>
      </x:c>
      <x:c r="G31" s="182">
        <x:v>16800</x:v>
      </x:c>
      <x:c r="H31" s="183">
        <x:v>0</x:v>
      </x:c>
      <x:c r="I31" s="184"/>
      <x:c r="J31" s="185"/>
      <x:c r="K31" s="185"/>
      <x:c r="L31" s="185"/>
      <x:c r="M31" s="186"/>
      <x:c r="N31" s="187">
        <x:f t="shared" si="2"/>
        <x:v>0</x:v>
      </x:c>
      <x:c r="O31" s="188">
        <x:f t="shared" si="3"/>
        <x:v>0</x:v>
      </x:c>
      <x:c r="P31" s="189">
        <x:f>캠퍼스타운_외부원두영업!I31+잇다카페_외부원두영업!I31+푸른솔!J31+의과대학!I31+중앙도서관!I31+학생회관!I31+제2기숙사!I31+멀티미디어관!I31+선승관!I31+예술디자인대!I31+공학관!I31</x:f>
        <x:v>0</x:v>
      </x:c>
      <x:c r="Q31" s="181">
        <x:f>캠퍼스타운_외부원두영업!J31+잇다카페_외부원두영업!J31+푸른솔!K31+의과대학!J31+중앙도서관!J31+학생회관!J31+멀티미디어관!J31+제2기숙사!J31+선승관!J31+예술디자인대!J31+공학관!J31</x:f>
        <x:v>0</x:v>
      </x:c>
      <x:c r="R31" s="181">
        <x:f>캠퍼스타운_외부원두영업!K31+잇다카페_외부원두영업!K31+푸른솔!L31+의과대학!K31+중앙도서관!K31+학생회관!K31+제2기숙사!K31+멀티미디어관!K31+선승관!K31+예술디자인대!K31+공학관!K31</x:f>
        <x:v>0</x:v>
      </x:c>
      <x:c r="S31" s="181">
        <x:f>캠퍼스타운_외부원두영업!L31+잇다카페_외부원두영업!L31+푸른솔!M31+의과대학!L31+중앙도서관!L31+학생회관!L31+멀티미디어관!L31+제2기숙사!L31+선승관!L31+예술디자인대!L31+공학관!L31</x:f>
        <x:v>0</x:v>
      </x:c>
      <x:c r="T31" s="190">
        <x:f>캠퍼스타운_외부원두영업!M31+잇다카페_외부원두영업!M31+푸른솔!N31+의과대학!M31+중앙도서관!M31+학생회관!M31+멀티미디어관!M31+제2기숙사!M31+선승관!M31+예술디자인대!M31+공학관!M31</x:f>
        <x:v>0</x:v>
      </x:c>
      <x:c r="U31" s="191">
        <x:f t="shared" si="5"/>
        <x:v>0</x:v>
      </x:c>
      <x:c r="V31" s="192">
        <x:f t="shared" si="4"/>
        <x:v>0</x:v>
      </x:c>
      <x:c r="W31" s="193">
        <x:f t="shared" si="6"/>
        <x:v>0</x:v>
      </x:c>
      <x:c r="X31" s="194">
        <x:f t="shared" si="0"/>
        <x:v>0</x:v>
      </x:c>
      <x:c r="Y31" s="274"/>
      <x:c r="Z31" s="302"/>
      <x:c r="AA31" s="99">
        <x:f t="shared" si="1"/>
        <x:v>0</x:v>
      </x:c>
      <x:c r="AB31" s="491"/>
      <x:c r="AC31" s="494"/>
    </x:row>
    <x:row r="32" spans="1:29">
      <x:c r="A32" s="515"/>
      <x:c r="B32" s="379" t="s">
        <x:v>35</x:v>
      </x:c>
      <x:c r="C32" s="195" t="s">
        <x:v>56</x:v>
      </x:c>
      <x:c r="D32" s="195" t="s">
        <x:v>140</x:v>
      </x:c>
      <x:c r="E32" s="256">
        <x:v>3200</x:v>
      </x:c>
      <x:c r="F32" s="181">
        <x:v>6</x:v>
      </x:c>
      <x:c r="G32" s="182">
        <x:v>19200</x:v>
      </x:c>
      <x:c r="H32" s="183">
        <x:v>23</x:v>
      </x:c>
      <x:c r="I32" s="184"/>
      <x:c r="J32" s="185"/>
      <x:c r="K32" s="185">
        <x:v>18</x:v>
      </x:c>
      <x:c r="L32" s="185"/>
      <x:c r="M32" s="186"/>
      <x:c r="N32" s="187">
        <x:f>I32+J32+K32+L32+M32</x:f>
        <x:v>18</x:v>
      </x:c>
      <x:c r="O32" s="188">
        <x:f>E32*N32</x:f>
        <x:v>57600</x:v>
      </x:c>
      <x:c r="P32" s="189">
        <x:f>캠퍼스타운_외부원두영업!I32+잇다카페_외부원두영업!I32+푸른솔!J32+의과대학!I32+중앙도서관!I32+학생회관!I32+제2기숙사!I32+멀티미디어관!I32+선승관!I32+예술디자인대!I32+공학관!I32</x:f>
        <x:v>0</x:v>
      </x:c>
      <x:c r="Q32" s="181">
        <x:f>캠퍼스타운_외부원두영업!J32+잇다카페_외부원두영업!J32+푸른솔!K32+의과대학!J32+중앙도서관!J32+학생회관!J32+멀티미디어관!J32+제2기숙사!J32+선승관!J32+예술디자인대!J32+공학관!J32</x:f>
        <x:v>3</x:v>
      </x:c>
      <x:c r="R32" s="181">
        <x:f>캠퍼스타운_외부원두영업!K32+잇다카페_외부원두영업!K32+푸른솔!L32+의과대학!K32+중앙도서관!K32+학생회관!K32+제2기숙사!K32+멀티미디어관!K32+선승관!K32+예술디자인대!K32+공학관!K32</x:f>
        <x:v>0</x:v>
      </x:c>
      <x:c r="S32" s="181">
        <x:f>캠퍼스타운_외부원두영업!L32+잇다카페_외부원두영업!L32+푸른솔!M32+의과대학!L32+중앙도서관!L32+학생회관!L32+멀티미디어관!L32+제2기숙사!L32+선승관!L32+예술디자인대!L32+공학관!L32</x:f>
        <x:v>2</x:v>
      </x:c>
      <x:c r="T32" s="190">
        <x:f>캠퍼스타운_외부원두영업!M32+잇다카페_외부원두영업!M32+푸른솔!N32+의과대학!M32+중앙도서관!M32+학생회관!M32+멀티미디어관!M32+제2기숙사!M32+선승관!M32+예술디자인대!M32+공학관!M32</x:f>
        <x:v>0</x:v>
      </x:c>
      <x:c r="U32" s="191">
        <x:f t="shared" si="5"/>
        <x:v>5</x:v>
      </x:c>
      <x:c r="V32" s="192">
        <x:f>E32*U32</x:f>
        <x:v>16000</x:v>
      </x:c>
      <x:c r="W32" s="193">
        <x:f>(H32+N32)-U32</x:f>
        <x:v>36</x:v>
      </x:c>
      <x:c r="X32" s="194">
        <x:f>E32*W32</x:f>
        <x:v>115200</x:v>
      </x:c>
      <x:c r="Y32" s="274">
        <x:v>38</x:v>
      </x:c>
      <x:c r="Z32" s="302">
        <x:v>18</x:v>
      </x:c>
      <x:c r="AA32" s="99">
        <x:f>Z32*E32</x:f>
        <x:v>57600</x:v>
      </x:c>
      <x:c r="AB32" s="491"/>
      <x:c r="AC32" s="494"/>
    </x:row>
    <x:row r="33" spans="1:29">
      <x:c r="A33" s="525"/>
      <x:c r="B33" s="381" t="s">
        <x:v>141</x:v>
      </x:c>
      <x:c r="C33" s="205" t="s">
        <x:v>53</x:v>
      </x:c>
      <x:c r="D33" s="205" t="s">
        <x:v>140</x:v>
      </x:c>
      <x:c r="E33" s="261">
        <x:v>410</x:v>
      </x:c>
      <x:c r="F33" s="206">
        <x:v>20</x:v>
      </x:c>
      <x:c r="G33" s="207">
        <x:v>8200</x:v>
      </x:c>
      <x:c r="H33" s="200">
        <x:v>40</x:v>
      </x:c>
      <x:c r="I33" s="184"/>
      <x:c r="J33" s="201"/>
      <x:c r="K33" s="185"/>
      <x:c r="L33" s="185"/>
      <x:c r="M33" s="202"/>
      <x:c r="N33" s="187">
        <x:f t="shared" si="2"/>
        <x:v>0</x:v>
      </x:c>
      <x:c r="O33" s="188">
        <x:f t="shared" si="3"/>
        <x:v>0</x:v>
      </x:c>
      <x:c r="P33" s="189">
        <x:f>캠퍼스타운_외부원두영업!I33+잇다카페_외부원두영업!I33+푸른솔!J33+의과대학!I33+중앙도서관!I33+학생회관!I33+제2기숙사!I33+멀티미디어관!I33+선승관!I33+예술디자인대!I33+공학관!I33</x:f>
        <x:v>0</x:v>
      </x:c>
      <x:c r="Q33" s="181">
        <x:f>캠퍼스타운_외부원두영업!J33+잇다카페_외부원두영업!J33+푸른솔!K33+의과대학!J33+중앙도서관!J33+학생회관!J33+멀티미디어관!J33+제2기숙사!J33+선승관!J33+예술디자인대!J33+공학관!J33</x:f>
        <x:v>0</x:v>
      </x:c>
      <x:c r="R33" s="181">
        <x:f>캠퍼스타운_외부원두영업!K33+잇다카페_외부원두영업!K33+푸른솔!L33+의과대학!K33+중앙도서관!K33+학생회관!K33+제2기숙사!K33+멀티미디어관!K33+선승관!K33+예술디자인대!K33+공학관!K33</x:f>
        <x:v>0</x:v>
      </x:c>
      <x:c r="S33" s="181">
        <x:f>캠퍼스타운_외부원두영업!L33+잇다카페_외부원두영업!L33+푸른솔!M33+의과대학!L33+중앙도서관!L33+학생회관!L33+멀티미디어관!L33+제2기숙사!L33+선승관!L33+예술디자인대!L33+공학관!L33</x:f>
        <x:v>0</x:v>
      </x:c>
      <x:c r="T33" s="182">
        <x:f>캠퍼스타운_외부원두영업!M33+잇다카페_외부원두영업!M33+푸른솔!N33+의과대학!M33+중앙도서관!M33+학생회관!M33+멀티미디어관!M33+제2기숙사!M33+선승관!M33+예술디자인대!M33+공학관!M33</x:f>
        <x:v>0</x:v>
      </x:c>
      <x:c r="U33" s="208">
        <x:f t="shared" si="5"/>
        <x:v>0</x:v>
      </x:c>
      <x:c r="V33" s="192">
        <x:f t="shared" si="4"/>
        <x:v>0</x:v>
      </x:c>
      <x:c r="W33" s="193">
        <x:f>(H33+N33)-U33</x:f>
        <x:v>40</x:v>
      </x:c>
      <x:c r="X33" s="194">
        <x:f>E33*W33</x:f>
        <x:v>16400</x:v>
      </x:c>
      <x:c r="Y33" s="274">
        <x:v>180</x:v>
      </x:c>
      <x:c r="Z33" s="302">
        <x:v>0</x:v>
      </x:c>
      <x:c r="AA33" s="99">
        <x:f>Z33*E33</x:f>
        <x:v>0</x:v>
      </x:c>
      <x:c r="AB33" s="491"/>
      <x:c r="AC33" s="494"/>
    </x:row>
    <x:row r="34" spans="1:29" ht="18" customHeight="1">
      <x:c r="A34" s="518"/>
      <x:c r="B34" s="378" t="s">
        <x:v>14</x:v>
      </x:c>
      <x:c r="C34" s="179" t="s">
        <x:v>45</x:v>
      </x:c>
      <x:c r="D34" s="179" t="s">
        <x:v>140</x:v>
      </x:c>
      <x:c r="E34" s="255">
        <x:v>7200</x:v>
      </x:c>
      <x:c r="F34" s="181">
        <x:v>12</x:v>
      </x:c>
      <x:c r="G34" s="190">
        <x:v>86400</x:v>
      </x:c>
      <x:c r="H34" s="200">
        <x:v>0</x:v>
      </x:c>
      <x:c r="I34" s="184"/>
      <x:c r="J34" s="201"/>
      <x:c r="K34" s="185"/>
      <x:c r="L34" s="185"/>
      <x:c r="M34" s="202"/>
      <x:c r="N34" s="187">
        <x:f t="shared" si="2"/>
        <x:v>0</x:v>
      </x:c>
      <x:c r="O34" s="188">
        <x:f t="shared" si="3"/>
        <x:v>0</x:v>
      </x:c>
      <x:c r="P34" s="189">
        <x:f>캠퍼스타운_외부원두영업!I34+잇다카페_외부원두영업!I34+푸른솔!J34+의과대학!I34+중앙도서관!I34+학생회관!I34+제2기숙사!I34+멀티미디어관!I34+선승관!I34+예술디자인대!I34+공학관!I34</x:f>
        <x:v>0</x:v>
      </x:c>
      <x:c r="Q34" s="181">
        <x:f>캠퍼스타운_외부원두영업!J34+잇다카페_외부원두영업!J34+푸른솔!K34+의과대학!J34+중앙도서관!J34+학생회관!J34+멀티미디어관!J34+제2기숙사!J34+선승관!J34+예술디자인대!J34+공학관!J34</x:f>
        <x:v>0</x:v>
      </x:c>
      <x:c r="R34" s="181">
        <x:f>캠퍼스타운_외부원두영업!K34+잇다카페_외부원두영업!K34+푸른솔!L34+의과대학!K34+중앙도서관!K34+학생회관!K34+제2기숙사!K34+멀티미디어관!K34+선승관!K34+예술디자인대!K34+공학관!K34</x:f>
        <x:v>0</x:v>
      </x:c>
      <x:c r="S34" s="181">
        <x:f>캠퍼스타운_외부원두영업!L34+잇다카페_외부원두영업!L34+푸른솔!M34+의과대학!L34+중앙도서관!L34+학생회관!L34+멀티미디어관!L34+제2기숙사!L34+선승관!L34+예술디자인대!L34+공학관!L34</x:f>
        <x:v>0</x:v>
      </x:c>
      <x:c r="T34" s="190">
        <x:f>캠퍼스타운_외부원두영업!M34+잇다카페_외부원두영업!M34+푸른솔!N34+의과대학!M34+중앙도서관!M34+학생회관!M34+멀티미디어관!M34+제2기숙사!M34+선승관!M34+예술디자인대!M34+공학관!M34</x:f>
        <x:v>0</x:v>
      </x:c>
      <x:c r="U34" s="191">
        <x:f t="shared" si="5"/>
        <x:v>0</x:v>
      </x:c>
      <x:c r="V34" s="192">
        <x:f t="shared" si="4"/>
        <x:v>0</x:v>
      </x:c>
      <x:c r="W34" s="193">
        <x:f>(H34+N34)-U34</x:f>
        <x:v>0</x:v>
      </x:c>
      <x:c r="X34" s="194">
        <x:f t="shared" si="0"/>
        <x:v>0</x:v>
      </x:c>
      <x:c r="Y34" s="315"/>
      <x:c r="Z34" s="302"/>
      <x:c r="AA34" s="99">
        <x:f>Z34*E34</x:f>
        <x:v>0</x:v>
      </x:c>
      <x:c r="AB34" s="491"/>
      <x:c r="AC34" s="494"/>
    </x:row>
    <x:row r="35" spans="1:29">
      <x:c r="A35" s="526"/>
      <x:c r="B35" s="382" t="s">
        <x:v>167</x:v>
      </x:c>
      <x:c r="C35" s="179" t="s">
        <x:v>45</x:v>
      </x:c>
      <x:c r="D35" s="179" t="s">
        <x:v>140</x:v>
      </x:c>
      <x:c r="E35" s="255">
        <x:v>7700</x:v>
      </x:c>
      <x:c r="F35" s="181">
        <x:v>12</x:v>
      </x:c>
      <x:c r="G35" s="190">
        <x:f>E35*F35</x:f>
        <x:v>92400</x:v>
      </x:c>
      <x:c r="H35" s="200">
        <x:v>108</x:v>
      </x:c>
      <x:c r="I35" s="184"/>
      <x:c r="J35" s="201"/>
      <x:c r="K35" s="185">
        <x:v>120</x:v>
      </x:c>
      <x:c r="L35" s="185"/>
      <x:c r="M35" s="202"/>
      <x:c r="N35" s="187">
        <x:f>I35+J35+K35+L35+M35</x:f>
        <x:v>120</x:v>
      </x:c>
      <x:c r="O35" s="188">
        <x:f>E35*N35</x:f>
        <x:v>924000</x:v>
      </x:c>
      <x:c r="P35" s="189">
        <x:f>캠퍼스타운_외부원두영업!I35+잇다카페_외부원두영업!I35+푸른솔!J35+의과대학!I35+중앙도서관!I35+학생회관!I35+제2기숙사!I35+멀티미디어관!I35+선승관!I35+예술디자인대!I35+공학관!I35</x:f>
        <x:v>0</x:v>
      </x:c>
      <x:c r="Q35" s="181">
        <x:f>캠퍼스타운_외부원두영업!J35+잇다카페_외부원두영업!J35+푸른솔!K35+의과대학!J35+중앙도서관!J35+학생회관!J35+멀티미디어관!J35+제2기숙사!J35+선승관!J35+예술디자인대!J35+공학관!J35</x:f>
        <x:v>14</x:v>
      </x:c>
      <x:c r="R35" s="181">
        <x:f>캠퍼스타운_외부원두영업!K35+잇다카페_외부원두영업!K35+푸른솔!L35+의과대학!K35+중앙도서관!K35+학생회관!K35+제2기숙사!K35+멀티미디어관!K35+선승관!K35+예술디자인대!K35+공학관!K35</x:f>
        <x:v>0</x:v>
      </x:c>
      <x:c r="S35" s="181">
        <x:f>캠퍼스타운_외부원두영업!L35+잇다카페_외부원두영업!L35+푸른솔!M35+의과대학!L35+중앙도서관!L35+학생회관!L35+멀티미디어관!L35+제2기숙사!L35+선승관!L35+예술디자인대!L35+공학관!L35</x:f>
        <x:v>23</x:v>
      </x:c>
      <x:c r="T35" s="190">
        <x:f>캠퍼스타운_외부원두영업!M35+잇다카페_외부원두영업!M35+푸른솔!N35+의과대학!M35+중앙도서관!M35+학생회관!M35+멀티미디어관!M35+제2기숙사!M35+선승관!M35+예술디자인대!M35+공학관!M35</x:f>
        <x:v>0</x:v>
      </x:c>
      <x:c r="U35" s="191">
        <x:f t="shared" si="5"/>
        <x:v>37</x:v>
      </x:c>
      <x:c r="V35" s="192">
        <x:f>E35*U35</x:f>
        <x:v>284900</x:v>
      </x:c>
      <x:c r="W35" s="193">
        <x:f>(H35+N35)-U35</x:f>
        <x:v>191</x:v>
      </x:c>
      <x:c r="X35" s="194">
        <x:f t="shared" si="0"/>
        <x:v>1470700</x:v>
      </x:c>
      <x:c r="Y35" s="274">
        <x:v>277</x:v>
      </x:c>
      <x:c r="Z35" s="302">
        <x:v>120</x:v>
      </x:c>
      <x:c r="AA35" s="99">
        <x:f t="shared" si="1"/>
        <x:v>924000</x:v>
      </x:c>
      <x:c r="AB35" s="491"/>
      <x:c r="AC35" s="494"/>
    </x:row>
    <x:row r="36" spans="1:29">
      <x:c r="A36" s="525"/>
      <x:c r="B36" s="378" t="s">
        <x:v>54</x:v>
      </x:c>
      <x:c r="C36" s="179" t="s">
        <x:v>45</x:v>
      </x:c>
      <x:c r="D36" s="179" t="s">
        <x:v>140</x:v>
      </x:c>
      <x:c r="E36" s="255">
        <x:v>1350</x:v>
      </x:c>
      <x:c r="F36" s="181">
        <x:v>12</x:v>
      </x:c>
      <x:c r="G36" s="182">
        <x:v>16200</x:v>
      </x:c>
      <x:c r="H36" s="200">
        <x:v>88</x:v>
      </x:c>
      <x:c r="I36" s="184"/>
      <x:c r="J36" s="201"/>
      <x:c r="K36" s="185"/>
      <x:c r="L36" s="185"/>
      <x:c r="M36" s="202"/>
      <x:c r="N36" s="187">
        <x:f t="shared" si="2"/>
        <x:v>0</x:v>
      </x:c>
      <x:c r="O36" s="188">
        <x:f t="shared" si="3"/>
        <x:v>0</x:v>
      </x:c>
      <x:c r="P36" s="189">
        <x:f>캠퍼스타운_외부원두영업!I36+잇다카페_외부원두영업!I36+푸른솔!J36+의과대학!I36+중앙도서관!I36+학생회관!I36+제2기숙사!I36+멀티미디어관!I36+선승관!I36+예술디자인대!I36+공학관!I36</x:f>
        <x:v>0</x:v>
      </x:c>
      <x:c r="Q36" s="181">
        <x:f>캠퍼스타운_외부원두영업!J36+잇다카페_외부원두영업!J36+푸른솔!K36+의과대학!J36+중앙도서관!J36+학생회관!J36+멀티미디어관!J36+제2기숙사!J36+선승관!J36+예술디자인대!J36+공학관!J36</x:f>
        <x:v>11</x:v>
      </x:c>
      <x:c r="R36" s="181">
        <x:f>캠퍼스타운_외부원두영업!K36+잇다카페_외부원두영업!K36+푸른솔!L36+의과대학!K36+중앙도서관!K36+학생회관!K36+제2기숙사!K36+멀티미디어관!K36+선승관!K36+예술디자인대!K36+공학관!K36</x:f>
        <x:v>0</x:v>
      </x:c>
      <x:c r="S36" s="181">
        <x:f>캠퍼스타운_외부원두영업!L36+잇다카페_외부원두영업!L36+푸른솔!M36+의과대학!L36+중앙도서관!L36+학생회관!L36+멀티미디어관!L36+제2기숙사!L36+선승관!L36+예술디자인대!L36+공학관!L36</x:f>
        <x:v>8</x:v>
      </x:c>
      <x:c r="T36" s="190">
        <x:f>캠퍼스타운_외부원두영업!M36+잇다카페_외부원두영업!M36+푸른솔!N36+의과대학!M36+중앙도서관!M36+학생회관!M36+멀티미디어관!M36+제2기숙사!M36+선승관!M36+예술디자인대!M36+공학관!M36</x:f>
        <x:v>0</x:v>
      </x:c>
      <x:c r="U36" s="191">
        <x:f t="shared" si="5"/>
        <x:v>19</x:v>
      </x:c>
      <x:c r="V36" s="192">
        <x:f t="shared" si="4"/>
        <x:v>25650</x:v>
      </x:c>
      <x:c r="W36" s="193">
        <x:f t="shared" si="6"/>
        <x:v>69</x:v>
      </x:c>
      <x:c r="X36" s="194">
        <x:f t="shared" si="0"/>
        <x:v>93150</x:v>
      </x:c>
      <x:c r="Y36" s="274">
        <x:v>114</x:v>
      </x:c>
      <x:c r="Z36" s="302">
        <x:v>0</x:v>
      </x:c>
      <x:c r="AA36" s="99">
        <x:f t="shared" si="1"/>
        <x:v>0</x:v>
      </x:c>
      <x:c r="AB36" s="491"/>
      <x:c r="AC36" s="494"/>
    </x:row>
    <x:row r="37" spans="1:29">
      <x:c r="A37" s="518"/>
      <x:c r="B37" s="378" t="s">
        <x:v>154</x:v>
      </x:c>
      <x:c r="C37" s="179" t="s">
        <x:v>58</x:v>
      </x:c>
      <x:c r="D37" s="179" t="s">
        <x:v>140</x:v>
      </x:c>
      <x:c r="E37" s="255">
        <x:v>6870</x:v>
      </x:c>
      <x:c r="F37" s="181">
        <x:v>8</x:v>
      </x:c>
      <x:c r="G37" s="182">
        <x:v>54960</x:v>
      </x:c>
      <x:c r="H37" s="183">
        <x:v>0</x:v>
      </x:c>
      <x:c r="I37" s="184"/>
      <x:c r="J37" s="185"/>
      <x:c r="K37" s="185"/>
      <x:c r="L37" s="185"/>
      <x:c r="M37" s="186"/>
      <x:c r="N37" s="187">
        <x:f t="shared" si="2"/>
        <x:v>0</x:v>
      </x:c>
      <x:c r="O37" s="188">
        <x:f t="shared" si="3"/>
        <x:v>0</x:v>
      </x:c>
      <x:c r="P37" s="189">
        <x:f>캠퍼스타운_외부원두영업!I37+잇다카페_외부원두영업!I37+푸른솔!J37+의과대학!I37+중앙도서관!I37+학생회관!I37+제2기숙사!I37+멀티미디어관!I37+선승관!I37+예술디자인대!I37+공학관!I37</x:f>
        <x:v>0</x:v>
      </x:c>
      <x:c r="Q37" s="181">
        <x:f>캠퍼스타운_외부원두영업!J37+잇다카페_외부원두영업!J37+푸른솔!K37+의과대학!J37+중앙도서관!J37+학생회관!J37+멀티미디어관!J37+제2기숙사!J37+선승관!J37+예술디자인대!J37+공학관!J37</x:f>
        <x:v>0</x:v>
      </x:c>
      <x:c r="R37" s="181">
        <x:f>캠퍼스타운_외부원두영업!K37+잇다카페_외부원두영업!K37+푸른솔!L37+의과대학!K37+중앙도서관!K37+학생회관!K37+제2기숙사!K37+멀티미디어관!K37+선승관!K37+예술디자인대!K37+공학관!K37</x:f>
        <x:v>0</x:v>
      </x:c>
      <x:c r="S37" s="181">
        <x:f>캠퍼스타운_외부원두영업!L37+잇다카페_외부원두영업!L37+푸른솔!M37+의과대학!L37+중앙도서관!L37+학생회관!L37+멀티미디어관!L37+제2기숙사!L37+선승관!L37+예술디자인대!L37+공학관!L37</x:f>
        <x:v>0</x:v>
      </x:c>
      <x:c r="T37" s="190">
        <x:f>캠퍼스타운_외부원두영업!M37+잇다카페_외부원두영업!M37+푸른솔!N37+의과대학!M37+중앙도서관!M37+학생회관!M37+멀티미디어관!M37+제2기숙사!M37+선승관!M37+예술디자인대!M37+공학관!M37</x:f>
        <x:v>0</x:v>
      </x:c>
      <x:c r="U37" s="191">
        <x:f t="shared" si="5"/>
        <x:v>0</x:v>
      </x:c>
      <x:c r="V37" s="192">
        <x:f t="shared" si="4"/>
        <x:v>0</x:v>
      </x:c>
      <x:c r="W37" s="193">
        <x:f>(H37+N37)-U37</x:f>
        <x:v>0</x:v>
      </x:c>
      <x:c r="X37" s="194">
        <x:f t="shared" ref="X37:X71" si="8">E37*W37</x:f>
        <x:v>0</x:v>
      </x:c>
      <x:c r="Y37" s="274"/>
      <x:c r="Z37" s="302"/>
      <x:c r="AA37" s="99">
        <x:f t="shared" si="1"/>
        <x:v>0</x:v>
      </x:c>
      <x:c r="AB37" s="491"/>
      <x:c r="AC37" s="494"/>
    </x:row>
    <x:row r="38" spans="1:29">
      <x:c r="A38" s="518"/>
      <x:c r="B38" s="381" t="s">
        <x:v>153</x:v>
      </x:c>
      <x:c r="C38" s="179" t="s">
        <x:v>58</x:v>
      </x:c>
      <x:c r="D38" s="179" t="s">
        <x:v>140</x:v>
      </x:c>
      <x:c r="E38" s="255">
        <x:v>6870</x:v>
      </x:c>
      <x:c r="F38" s="181">
        <x:v>8</x:v>
      </x:c>
      <x:c r="G38" s="182">
        <x:v>54960</x:v>
      </x:c>
      <x:c r="H38" s="183">
        <x:v>0</x:v>
      </x:c>
      <x:c r="I38" s="184"/>
      <x:c r="J38" s="185"/>
      <x:c r="K38" s="185"/>
      <x:c r="L38" s="185"/>
      <x:c r="M38" s="186"/>
      <x:c r="N38" s="187">
        <x:f t="shared" si="2"/>
        <x:v>0</x:v>
      </x:c>
      <x:c r="O38" s="188">
        <x:f t="shared" si="3"/>
        <x:v>0</x:v>
      </x:c>
      <x:c r="P38" s="189">
        <x:f>캠퍼스타운_외부원두영업!I38+잇다카페_외부원두영업!I38+푸른솔!J38+의과대학!I38+중앙도서관!I38+학생회관!I38+제2기숙사!I38+멀티미디어관!I38+선승관!I38+예술디자인대!I38+공학관!I38</x:f>
        <x:v>0</x:v>
      </x:c>
      <x:c r="Q38" s="181">
        <x:f>캠퍼스타운_외부원두영업!J38+잇다카페_외부원두영업!J38+푸른솔!K38+의과대학!J38+중앙도서관!J38+학생회관!J38+멀티미디어관!J38+제2기숙사!J38+선승관!J38+예술디자인대!J38+공학관!J38</x:f>
        <x:v>0</x:v>
      </x:c>
      <x:c r="R38" s="181">
        <x:f>캠퍼스타운_외부원두영업!K38+잇다카페_외부원두영업!K38+푸른솔!L38+의과대학!K38+중앙도서관!K38+학생회관!K38+제2기숙사!K38+멀티미디어관!K38+선승관!K38+예술디자인대!K38+공학관!K38</x:f>
        <x:v>0</x:v>
      </x:c>
      <x:c r="S38" s="181">
        <x:f>캠퍼스타운_외부원두영업!L38+잇다카페_외부원두영업!L38+푸른솔!M38+의과대학!L38+중앙도서관!L38+학생회관!L38+멀티미디어관!L38+제2기숙사!L38+선승관!L38+예술디자인대!L38+공학관!L38</x:f>
        <x:v>0</x:v>
      </x:c>
      <x:c r="T38" s="190">
        <x:f>캠퍼스타운_외부원두영업!M38+잇다카페_외부원두영업!M38+푸른솔!N38+의과대학!M38+중앙도서관!M38+학생회관!M38+멀티미디어관!M38+제2기숙사!M38+선승관!M38+예술디자인대!M38+공학관!M38</x:f>
        <x:v>0</x:v>
      </x:c>
      <x:c r="U38" s="191">
        <x:f t="shared" si="5"/>
        <x:v>0</x:v>
      </x:c>
      <x:c r="V38" s="192">
        <x:f t="shared" si="4"/>
        <x:v>0</x:v>
      </x:c>
      <x:c r="W38" s="193">
        <x:f t="shared" si="6"/>
        <x:v>0</x:v>
      </x:c>
      <x:c r="X38" s="194">
        <x:f t="shared" si="8"/>
        <x:v>0</x:v>
      </x:c>
      <x:c r="Y38" s="274"/>
      <x:c r="Z38" s="302"/>
      <x:c r="AA38" s="99">
        <x:f t="shared" si="1"/>
        <x:v>0</x:v>
      </x:c>
      <x:c r="AB38" s="491"/>
      <x:c r="AC38" s="494"/>
    </x:row>
    <x:row r="39" spans="1:29">
      <x:c r="A39" s="515"/>
      <x:c r="B39" s="378" t="s">
        <x:v>150</x:v>
      </x:c>
      <x:c r="C39" s="209" t="s">
        <x:v>58</x:v>
      </x:c>
      <x:c r="D39" s="209" t="s">
        <x:v>140</x:v>
      </x:c>
      <x:c r="E39" s="262">
        <x:v>7360</x:v>
      </x:c>
      <x:c r="F39" s="210">
        <x:v>8</x:v>
      </x:c>
      <x:c r="G39" s="182">
        <x:f>E39*F39</x:f>
        <x:v>58880</x:v>
      </x:c>
      <x:c r="H39" s="211">
        <x:v>25</x:v>
      </x:c>
      <x:c r="I39" s="212"/>
      <x:c r="J39" s="213"/>
      <x:c r="K39" s="185">
        <x:v>80</x:v>
      </x:c>
      <x:c r="L39" s="213"/>
      <x:c r="M39" s="214"/>
      <x:c r="N39" s="215">
        <x:f>I39+J39+K39+L39+M39</x:f>
        <x:v>80</x:v>
      </x:c>
      <x:c r="O39" s="216">
        <x:f>E39*N39</x:f>
        <x:v>588800</x:v>
      </x:c>
      <x:c r="P39" s="189">
        <x:f>캠퍼스타운_외부원두영업!I39+잇다카페_외부원두영업!I39+푸른솔!J39+의과대학!I39+중앙도서관!I39+학생회관!I39+제2기숙사!I39+멀티미디어관!I39+선승관!I39+예술디자인대!I39+공학관!I39</x:f>
        <x:v>0</x:v>
      </x:c>
      <x:c r="Q39" s="181">
        <x:f>캠퍼스타운_외부원두영업!J39+잇다카페_외부원두영업!J39+푸른솔!K39+의과대학!J39+중앙도서관!J39+학생회관!J39+멀티미디어관!J39+제2기숙사!J39+선승관!J39+예술디자인대!J39+공학관!J39</x:f>
        <x:v>2</x:v>
      </x:c>
      <x:c r="R39" s="181">
        <x:f>캠퍼스타운_외부원두영업!K39+잇다카페_외부원두영업!K39+푸른솔!L39+의과대학!K39+중앙도서관!K39+학생회관!K39+제2기숙사!K39+멀티미디어관!K39+선승관!K39+예술디자인대!K39+공학관!K39</x:f>
        <x:v>0</x:v>
      </x:c>
      <x:c r="S39" s="181">
        <x:f>캠퍼스타운_외부원두영업!L39+잇다카페_외부원두영업!L39+푸른솔!M39+의과대학!L39+중앙도서관!L39+학생회관!L39+멀티미디어관!L39+제2기숙사!L39+선승관!L39+예술디자인대!L39+공학관!L39</x:f>
        <x:v>11</x:v>
      </x:c>
      <x:c r="T39" s="190">
        <x:f>캠퍼스타운_외부원두영업!M39+잇다카페_외부원두영업!M39+푸른솔!N39+의과대학!M39+중앙도서관!M39+학생회관!M39+멀티미디어관!M39+제2기숙사!M39+선승관!M39+예술디자인대!M39+공학관!M39</x:f>
        <x:v>0</x:v>
      </x:c>
      <x:c r="U39" s="191">
        <x:f t="shared" si="5"/>
        <x:v>13</x:v>
      </x:c>
      <x:c r="V39" s="217">
        <x:f>E39*U39</x:f>
        <x:v>95680</x:v>
      </x:c>
      <x:c r="W39" s="218">
        <x:f>(H39+N39)-U39</x:f>
        <x:v>92</x:v>
      </x:c>
      <x:c r="X39" s="219">
        <x:f t="shared" si="8"/>
        <x:v>677120</x:v>
      </x:c>
      <x:c r="Y39" s="273">
        <x:v>146</x:v>
      </x:c>
      <x:c r="Z39" s="302">
        <x:v>80</x:v>
      </x:c>
      <x:c r="AA39" s="99">
        <x:f t="shared" si="1"/>
        <x:v>588800</x:v>
      </x:c>
      <x:c r="AB39" s="491"/>
      <x:c r="AC39" s="494"/>
    </x:row>
    <x:row r="40" spans="1:29">
      <x:c r="A40" s="525"/>
      <x:c r="B40" s="381" t="s">
        <x:v>152</x:v>
      </x:c>
      <x:c r="C40" s="220" t="s">
        <x:v>58</x:v>
      </x:c>
      <x:c r="D40" s="220" t="s">
        <x:v>140</x:v>
      </x:c>
      <x:c r="E40" s="263">
        <x:v>7360</x:v>
      </x:c>
      <x:c r="F40" s="221">
        <x:v>8</x:v>
      </x:c>
      <x:c r="G40" s="182">
        <x:f>E40*F40</x:f>
        <x:v>58880</x:v>
      </x:c>
      <x:c r="H40" s="222">
        <x:v>8</x:v>
      </x:c>
      <x:c r="I40" s="223"/>
      <x:c r="J40" s="224"/>
      <x:c r="K40" s="185">
        <x:v>40</x:v>
      </x:c>
      <x:c r="L40" s="224"/>
      <x:c r="M40" s="225"/>
      <x:c r="N40" s="226">
        <x:f>I40+J40+K40+L40+M40</x:f>
        <x:v>40</x:v>
      </x:c>
      <x:c r="O40" s="227">
        <x:f>E40*N40</x:f>
        <x:v>294400</x:v>
      </x:c>
      <x:c r="P40" s="189">
        <x:f>캠퍼스타운_외부원두영업!I40+잇다카페_외부원두영업!I40+푸른솔!J40+의과대학!I40+중앙도서관!I40+학생회관!I40+제2기숙사!I40+멀티미디어관!I40+선승관!I40+예술디자인대!I40+공학관!I40</x:f>
        <x:v>0</x:v>
      </x:c>
      <x:c r="Q40" s="229">
        <x:f>캠퍼스타운_외부원두영업!J40+잇다카페_외부원두영업!J40+푸른솔!K40+의과대학!J40+중앙도서관!J40+학생회관!J40+멀티미디어관!J40+제2기숙사!J40+선승관!J40+예술디자인대!J40+공학관!J40</x:f>
        <x:v>3</x:v>
      </x:c>
      <x:c r="R40" s="229">
        <x:f>캠퍼스타운_외부원두영업!K40+잇다카페_외부원두영업!K40+푸른솔!L40+의과대학!K40+중앙도서관!K40+학생회관!K40+제2기숙사!K40+멀티미디어관!K40+선승관!K40+예술디자인대!K40+공학관!K40</x:f>
        <x:v>0</x:v>
      </x:c>
      <x:c r="S40" s="229">
        <x:f>캠퍼스타운_외부원두영업!L40+잇다카페_외부원두영업!L40+푸른솔!M40+의과대학!L40+중앙도서관!L40+학생회관!L40+멀티미디어관!L40+제2기숙사!L40+선승관!L40+예술디자인대!L40+공학관!L40</x:f>
        <x:v>5</x:v>
      </x:c>
      <x:c r="T40" s="230">
        <x:f>캠퍼스타운_외부원두영업!M40+잇다카페_외부원두영업!M40+푸른솔!N40+의과대학!M40+중앙도서관!M40+학생회관!M40+멀티미디어관!M40+제2기숙사!M40+선승관!M40+예술디자인대!M40+공학관!M40</x:f>
        <x:v>0</x:v>
      </x:c>
      <x:c r="U40" s="191">
        <x:f t="shared" si="5"/>
        <x:v>8</x:v>
      </x:c>
      <x:c r="V40" s="231">
        <x:f>E40*U40</x:f>
        <x:v>58880</x:v>
      </x:c>
      <x:c r="W40" s="232">
        <x:f>(H40+N40)-U40</x:f>
        <x:v>40</x:v>
      </x:c>
      <x:c r="X40" s="233">
        <x:f t="shared" si="8"/>
        <x:v>294400</x:v>
      </x:c>
      <x:c r="Y40" s="275">
        <x:v>37</x:v>
      </x:c>
      <x:c r="Z40" s="302">
        <x:v>40</x:v>
      </x:c>
      <x:c r="AA40" s="106">
        <x:f t="shared" si="1"/>
        <x:v>294400</x:v>
      </x:c>
      <x:c r="AB40" s="492"/>
      <x:c r="AC40" s="495"/>
    </x:row>
    <x:row r="41" spans="1:29">
      <x:c r="A41" s="515" t="s">
        <x:v>102</x:v>
      </x:c>
      <x:c r="B41" s="383" t="s">
        <x:v>63</x:v>
      </x:c>
      <x:c r="C41" s="163" t="s">
        <x:v>5</x:v>
      </x:c>
      <x:c r="D41" s="163" t="s">
        <x:v>140</x:v>
      </x:c>
      <x:c r="E41" s="264">
        <x:v>6.4000000000000004</x:v>
      </x:c>
      <x:c r="F41" s="165">
        <x:v>500</x:v>
      </x:c>
      <x:c r="G41" s="166">
        <x:v>3200</x:v>
      </x:c>
      <x:c r="H41" s="167">
        <x:v>19000</x:v>
      </x:c>
      <x:c r="I41" s="168"/>
      <x:c r="J41" s="169"/>
      <x:c r="K41" s="169"/>
      <x:c r="L41" s="169"/>
      <x:c r="M41" s="170"/>
      <x:c r="N41" s="171">
        <x:f t="shared" si="2"/>
        <x:v>0</x:v>
      </x:c>
      <x:c r="O41" s="172">
        <x:f t="shared" si="3"/>
        <x:v>0</x:v>
      </x:c>
      <x:c r="P41" s="244">
        <x:f>캠퍼스타운_외부원두영업!I41+잇다카페_외부원두영업!I41+푸른솔!J41+의과대학!I41+중앙도서관!I41+학생회관!I41+제2기숙사!I41+멀티미디어관!I41+선승관!I41+예술디자인대!I41+공학관!I41</x:f>
        <x:v>0</x:v>
      </x:c>
      <x:c r="Q41" s="165">
        <x:f>캠퍼스타운_외부원두영업!J41+잇다카페_외부원두영업!J41+푸른솔!K41+의과대학!J41+중앙도서관!J41+학생회관!J41+멀티미디어관!J41+제2기숙사!J41+선승관!J41+예술디자인대!J41+공학관!J41</x:f>
        <x:v>300</x:v>
      </x:c>
      <x:c r="R41" s="165">
        <x:f>캠퍼스타운_외부원두영업!K41+잇다카페_외부원두영업!K41+푸른솔!L41+의과대학!K41+중앙도서관!K41+학생회관!K41+제2기숙사!K41+멀티미디어관!K41+선승관!K41+예술디자인대!K41+공학관!K41</x:f>
        <x:v>0</x:v>
      </x:c>
      <x:c r="S41" s="165">
        <x:f>캠퍼스타운_외부원두영업!L41+잇다카페_외부원두영업!L41+푸른솔!M41+의과대학!L41+중앙도서관!L41+학생회관!L41+멀티미디어관!L41+제2기숙사!L41+선승관!L41+예술디자인대!L41+공학관!L41</x:f>
        <x:v>100</x:v>
      </x:c>
      <x:c r="T41" s="174">
        <x:f>캠퍼스타운_외부원두영업!M41+잇다카페_외부원두영업!M41+푸른솔!N41+의과대학!M41+중앙도서관!M41+학생회관!M41+멀티미디어관!M41+제2기숙사!M41+선승관!M41+예술디자인대!M41+공학관!M41</x:f>
        <x:v>0</x:v>
      </x:c>
      <x:c r="U41" s="175">
        <x:f t="shared" ref="U41:U75" si="9">P41+Q41+R41+S41+T41</x:f>
        <x:v>400</x:v>
      </x:c>
      <x:c r="V41" s="176">
        <x:f t="shared" si="4"/>
        <x:v>2560</x:v>
      </x:c>
      <x:c r="W41" s="177">
        <x:f t="shared" si="6"/>
        <x:v>18600</x:v>
      </x:c>
      <x:c r="X41" s="178">
        <x:f t="shared" si="8"/>
        <x:v>119040</x:v>
      </x:c>
      <x:c r="Y41" s="276">
        <x:v>5600</x:v>
      </x:c>
      <x:c r="Z41" s="303"/>
      <x:c r="AA41" s="100">
        <x:f t="shared" si="1"/>
        <x:v>0</x:v>
      </x:c>
      <x:c r="AB41" s="507">
        <x:f>SUM(AA41:AA42)</x:f>
        <x:v>0</x:v>
      </x:c>
      <x:c r="AC41" s="499">
        <x:f>AB41*1.1</x:f>
        <x:v>0</x:v>
      </x:c>
    </x:row>
    <x:row r="42" spans="1:29">
      <x:c r="A42" s="517"/>
      <x:c r="B42" s="381" t="s">
        <x:v>27</x:v>
      </x:c>
      <x:c r="C42" s="204" t="s">
        <x:v>6</x:v>
      </x:c>
      <x:c r="D42" s="204" t="s">
        <x:v>140</x:v>
      </x:c>
      <x:c r="E42" s="265">
        <x:v>4.6900000000000004</x:v>
      </x:c>
      <x:c r="F42" s="229">
        <x:v>1000</x:v>
      </x:c>
      <x:c r="G42" s="234">
        <x:v>4690</x:v>
      </x:c>
      <x:c r="H42" s="235">
        <x:v>1700</x:v>
      </x:c>
      <x:c r="I42" s="236"/>
      <x:c r="J42" s="237"/>
      <x:c r="K42" s="237"/>
      <x:c r="L42" s="237"/>
      <x:c r="M42" s="238"/>
      <x:c r="N42" s="226">
        <x:f t="shared" si="2"/>
        <x:v>0</x:v>
      </x:c>
      <x:c r="O42" s="227">
        <x:f t="shared" si="3"/>
        <x:v>0</x:v>
      </x:c>
      <x:c r="P42" s="189">
        <x:f>캠퍼스타운_외부원두영업!I42+잇다카페_외부원두영업!I42+푸른솔!J42+의과대학!I42+중앙도서관!I42+학생회관!I42+제2기숙사!I42+멀티미디어관!I42+선승관!I42+예술디자인대!I42+공학관!I42</x:f>
        <x:v>0</x:v>
      </x:c>
      <x:c r="Q42" s="221">
        <x:f>캠퍼스타운_외부원두영업!J42+잇다카페_외부원두영업!J42+푸른솔!K42+의과대학!J42+중앙도서관!J42+학생회관!J42+멀티미디어관!J42+제2기숙사!J42+선승관!J42+예술디자인대!J42+공학관!J42</x:f>
        <x:v>0</x:v>
      </x:c>
      <x:c r="R42" s="221">
        <x:f>캠퍼스타운_외부원두영업!K42+잇다카페_외부원두영업!K42+푸른솔!L42+의과대학!K42+중앙도서관!K42+학생회관!K42+제2기숙사!K42+멀티미디어관!K42+선승관!K42+예술디자인대!K42+공학관!K42</x:f>
        <x:v>0</x:v>
      </x:c>
      <x:c r="S42" s="221">
        <x:f>캠퍼스타운_외부원두영업!L42+잇다카페_외부원두영업!L42+푸른솔!M42+의과대학!L42+중앙도서관!L42+학생회관!L42+멀티미디어관!L42+제2기숙사!L42+선승관!L42+예술디자인대!L42+공학관!L42</x:f>
        <x:v>0</x:v>
      </x:c>
      <x:c r="T42" s="239">
        <x:f>캠퍼스타운_외부원두영업!M42+잇다카페_외부원두영업!M42+푸른솔!N42+의과대학!M42+중앙도서관!M42+학생회관!M42+멀티미디어관!M42+제2기숙사!M42+선승관!M42+예술디자인대!M42+공학관!M42</x:f>
        <x:v>0</x:v>
      </x:c>
      <x:c r="U42" s="240">
        <x:f t="shared" si="9"/>
        <x:v>0</x:v>
      </x:c>
      <x:c r="V42" s="231">
        <x:f t="shared" si="4"/>
        <x:v>0</x:v>
      </x:c>
      <x:c r="W42" s="232">
        <x:f t="shared" si="6"/>
        <x:v>1700</x:v>
      </x:c>
      <x:c r="X42" s="233">
        <x:f t="shared" si="8"/>
        <x:v>7973.0000000000009</x:v>
      </x:c>
      <x:c r="Y42" s="277">
        <x:v>80</x:v>
      </x:c>
      <x:c r="Z42" s="304"/>
      <x:c r="AA42" s="101">
        <x:f>Z42*E42</x:f>
        <x:v>0</x:v>
      </x:c>
      <x:c r="AB42" s="508"/>
      <x:c r="AC42" s="500"/>
    </x:row>
    <x:row r="43" spans="1:29">
      <x:c r="A43" s="526" t="s">
        <x:v>134</x:v>
      </x:c>
      <x:c r="B43" s="383" t="s">
        <x:v>78</x:v>
      </x:c>
      <x:c r="C43" s="163" t="s">
        <x:v>57</x:v>
      </x:c>
      <x:c r="D43" s="163" t="s">
        <x:v>140</x:v>
      </x:c>
      <x:c r="E43" s="264">
        <x:v>7700</x:v>
      </x:c>
      <x:c r="F43" s="165">
        <x:v>12</x:v>
      </x:c>
      <x:c r="G43" s="166">
        <x:v>92400</x:v>
      </x:c>
      <x:c r="H43" s="167">
        <x:v>8</x:v>
      </x:c>
      <x:c r="I43" s="168"/>
      <x:c r="J43" s="169"/>
      <x:c r="K43" s="169">
        <x:v>12</x:v>
      </x:c>
      <x:c r="L43" s="169"/>
      <x:c r="M43" s="170"/>
      <x:c r="N43" s="215">
        <x:f t="shared" si="2"/>
        <x:v>12</x:v>
      </x:c>
      <x:c r="O43" s="172">
        <x:f t="shared" si="3"/>
        <x:v>92400</x:v>
      </x:c>
      <x:c r="P43" s="244">
        <x:f>캠퍼스타운_외부원두영업!I43+잇다카페_외부원두영업!I43+푸른솔!J43+의과대학!I43+중앙도서관!I43+학생회관!I43+제2기숙사!I43+멀티미디어관!I43+선승관!I43+예술디자인대!I43+공학관!I43</x:f>
        <x:v>0</x:v>
      </x:c>
      <x:c r="Q43" s="210">
        <x:f>캠퍼스타운_외부원두영업!J43+잇다카페_외부원두영업!J43+푸른솔!K43+의과대학!J43+중앙도서관!J43+학생회관!J43+멀티미디어관!J43+제2기숙사!J43+선승관!J43+예술디자인대!J43+공학관!J43</x:f>
        <x:v>2</x:v>
      </x:c>
      <x:c r="R43" s="210">
        <x:f>캠퍼스타운_외부원두영업!K43+잇다카페_외부원두영업!K43+푸른솔!L43+의과대학!K43+중앙도서관!K43+학생회관!K43+제2기숙사!K43+멀티미디어관!K43+선승관!K43+예술디자인대!K43+공학관!K43</x:f>
        <x:v>0</x:v>
      </x:c>
      <x:c r="S43" s="210">
        <x:f>캠퍼스타운_외부원두영업!L43+잇다카페_외부원두영업!L43+푸른솔!M43+의과대학!L43+중앙도서관!L43+학생회관!L43+멀티미디어관!L43+제2기숙사!L43+선승관!L43+예술디자인대!L43+공학관!L43</x:f>
        <x:v>1</x:v>
      </x:c>
      <x:c r="T43" s="241">
        <x:f>캠퍼스타운_외부원두영업!M43+잇다카페_외부원두영업!M43+푸른솔!N43+의과대학!M43+중앙도서관!M43+학생회관!M43+멀티미디어관!M43+제2기숙사!M43+선승관!M43+예술디자인대!M43+공학관!M43</x:f>
        <x:v>0</x:v>
      </x:c>
      <x:c r="U43" s="175">
        <x:f t="shared" si="9"/>
        <x:v>3</x:v>
      </x:c>
      <x:c r="V43" s="176">
        <x:f t="shared" si="4"/>
        <x:v>23100</x:v>
      </x:c>
      <x:c r="W43" s="177">
        <x:f>(H43+N43)-U43</x:f>
        <x:v>17</x:v>
      </x:c>
      <x:c r="X43" s="178">
        <x:f t="shared" si="8"/>
        <x:v>130900</x:v>
      </x:c>
      <x:c r="Y43" s="273">
        <x:v>12</x:v>
      </x:c>
      <x:c r="Z43" s="302">
        <x:v>12</x:v>
      </x:c>
      <x:c r="AA43" s="99">
        <x:f t="shared" ref="AA43:AA75" si="10">Z43*E43</x:f>
        <x:v>92400</x:v>
      </x:c>
      <x:c r="AB43" s="490">
        <x:f>SUM(AA43:AA57)</x:f>
        <x:v>1233600</x:v>
      </x:c>
      <x:c r="AC43" s="493">
        <x:f>AB43*1.1</x:f>
        <x:v>1356960</x:v>
      </x:c>
    </x:row>
    <x:row r="44" spans="1:29">
      <x:c r="A44" s="527"/>
      <x:c r="B44" s="378" t="s">
        <x:v>86</x:v>
      </x:c>
      <x:c r="C44" s="179" t="s">
        <x:v>57</x:v>
      </x:c>
      <x:c r="D44" s="179" t="s">
        <x:v>140</x:v>
      </x:c>
      <x:c r="E44" s="255">
        <x:v>6200</x:v>
      </x:c>
      <x:c r="F44" s="181">
        <x:v>12</x:v>
      </x:c>
      <x:c r="G44" s="182">
        <x:v>74400</x:v>
      </x:c>
      <x:c r="H44" s="183">
        <x:v>21</x:v>
      </x:c>
      <x:c r="I44" s="184"/>
      <x:c r="J44" s="185"/>
      <x:c r="K44" s="185">
        <x:v>48</x:v>
      </x:c>
      <x:c r="L44" s="185"/>
      <x:c r="M44" s="186"/>
      <x:c r="N44" s="187">
        <x:f t="shared" si="2"/>
        <x:v>48</x:v>
      </x:c>
      <x:c r="O44" s="188">
        <x:f t="shared" si="3"/>
        <x:v>297600</x:v>
      </x:c>
      <x:c r="P44" s="189">
        <x:f>캠퍼스타운_외부원두영업!I44+잇다카페_외부원두영업!I44+푸른솔!J44+의과대학!I44+중앙도서관!I44+학생회관!I44+제2기숙사!I44+멀티미디어관!I44+선승관!I44+예술디자인대!I44+공학관!I44</x:f>
        <x:v>0</x:v>
      </x:c>
      <x:c r="Q44" s="181">
        <x:f>캠퍼스타운_외부원두영업!J44+잇다카페_외부원두영업!J44+푸른솔!K44+의과대학!J44+중앙도서관!J44+학생회관!J44+멀티미디어관!J44+제2기숙사!J44+선승관!J44+예술디자인대!J44+공학관!J44</x:f>
        <x:v>2</x:v>
      </x:c>
      <x:c r="R44" s="181">
        <x:f>캠퍼스타운_외부원두영업!K44+잇다카페_외부원두영업!K44+푸른솔!L44+의과대학!K44+중앙도서관!K44+학생회관!K44+제2기숙사!K44+멀티미디어관!K44+선승관!K44+예술디자인대!K44+공학관!K44</x:f>
        <x:v>0</x:v>
      </x:c>
      <x:c r="S44" s="181">
        <x:f>캠퍼스타운_외부원두영업!L44+잇다카페_외부원두영업!L44+푸른솔!M44+의과대학!L44+중앙도서관!L44+학생회관!L44+멀티미디어관!L44+제2기숙사!L44+선승관!L44+예술디자인대!L44+공학관!L44</x:f>
        <x:v>6</x:v>
      </x:c>
      <x:c r="T44" s="190">
        <x:f>캠퍼스타운_외부원두영업!M44+잇다카페_외부원두영업!M44+푸른솔!N44+의과대학!M44+중앙도서관!M44+학생회관!M44+멀티미디어관!M44+제2기숙사!M44+선승관!M44+예술디자인대!M44+공학관!M44</x:f>
        <x:v>0</x:v>
      </x:c>
      <x:c r="U44" s="191">
        <x:f t="shared" si="9"/>
        <x:v>8</x:v>
      </x:c>
      <x:c r="V44" s="192">
        <x:f t="shared" si="4"/>
        <x:v>49600</x:v>
      </x:c>
      <x:c r="W44" s="193">
        <x:f t="shared" si="6"/>
        <x:v>61</x:v>
      </x:c>
      <x:c r="X44" s="194">
        <x:f t="shared" si="8"/>
        <x:v>378200</x:v>
      </x:c>
      <x:c r="Y44" s="274">
        <x:v>52</x:v>
      </x:c>
      <x:c r="Z44" s="302">
        <x:v>48</x:v>
      </x:c>
      <x:c r="AA44" s="99">
        <x:f t="shared" si="10"/>
        <x:v>297600</x:v>
      </x:c>
      <x:c r="AB44" s="491"/>
      <x:c r="AC44" s="494"/>
    </x:row>
    <x:row r="45" spans="1:29">
      <x:c r="A45" s="528"/>
      <x:c r="B45" s="378" t="s">
        <x:v>88</x:v>
      </x:c>
      <x:c r="C45" s="179" t="s">
        <x:v>57</x:v>
      </x:c>
      <x:c r="D45" s="179" t="s">
        <x:v>140</x:v>
      </x:c>
      <x:c r="E45" s="255">
        <x:v>6700</x:v>
      </x:c>
      <x:c r="F45" s="181">
        <x:v>12</x:v>
      </x:c>
      <x:c r="G45" s="182">
        <x:v>80400</x:v>
      </x:c>
      <x:c r="H45" s="183">
        <x:v>29</x:v>
      </x:c>
      <x:c r="I45" s="184"/>
      <x:c r="J45" s="185"/>
      <x:c r="K45" s="185">
        <x:v>24</x:v>
      </x:c>
      <x:c r="L45" s="185"/>
      <x:c r="M45" s="186"/>
      <x:c r="N45" s="187">
        <x:f t="shared" si="2"/>
        <x:v>24</x:v>
      </x:c>
      <x:c r="O45" s="188">
        <x:f t="shared" si="3"/>
        <x:v>160800</x:v>
      </x:c>
      <x:c r="P45" s="189">
        <x:f>캠퍼스타운_외부원두영업!I45+잇다카페_외부원두영업!I45+푸른솔!J45+의과대학!I45+중앙도서관!I45+학생회관!I45+제2기숙사!I45+멀티미디어관!I45+선승관!I45+예술디자인대!I45+공학관!I45</x:f>
        <x:v>0</x:v>
      </x:c>
      <x:c r="Q45" s="181">
        <x:f>캠퍼스타운_외부원두영업!J45+잇다카페_외부원두영업!J45+푸른솔!K45+의과대학!J45+중앙도서관!J45+학생회관!J45+멀티미디어관!J45+제2기숙사!J45+선승관!J45+예술디자인대!J45+공학관!J45</x:f>
        <x:v>3</x:v>
      </x:c>
      <x:c r="R45" s="181">
        <x:f>캠퍼스타운_외부원두영업!K45+잇다카페_외부원두영업!K45+푸른솔!L45+의과대학!K45+중앙도서관!K45+학생회관!K45+제2기숙사!K45+멀티미디어관!K45+선승관!K45+예술디자인대!K45+공학관!K45</x:f>
        <x:v>0</x:v>
      </x:c>
      <x:c r="S45" s="181">
        <x:f>캠퍼스타운_외부원두영업!L45+잇다카페_외부원두영업!L45+푸른솔!M45+의과대학!L45+중앙도서관!L45+학생회관!L45+멀티미디어관!L45+제2기숙사!L45+선승관!L45+예술디자인대!L45+공학관!L45</x:f>
        <x:v>7</x:v>
      </x:c>
      <x:c r="T45" s="190">
        <x:f>캠퍼스타운_외부원두영업!M45+잇다카페_외부원두영업!M45+푸른솔!N45+의과대학!M45+중앙도서관!M45+학생회관!M45+멀티미디어관!M45+제2기숙사!M45+선승관!M45+예술디자인대!M45+공학관!M45</x:f>
        <x:v>0</x:v>
      </x:c>
      <x:c r="U45" s="191">
        <x:f t="shared" si="9"/>
        <x:v>10</x:v>
      </x:c>
      <x:c r="V45" s="192">
        <x:f t="shared" si="4"/>
        <x:v>67000</x:v>
      </x:c>
      <x:c r="W45" s="193">
        <x:f t="shared" si="6"/>
        <x:v>43</x:v>
      </x:c>
      <x:c r="X45" s="194">
        <x:f t="shared" si="8"/>
        <x:v>288100</x:v>
      </x:c>
      <x:c r="Y45" s="274">
        <x:v>38</x:v>
      </x:c>
      <x:c r="Z45" s="302">
        <x:v>24</x:v>
      </x:c>
      <x:c r="AA45" s="99">
        <x:f t="shared" si="10"/>
        <x:v>160800</x:v>
      </x:c>
      <x:c r="AB45" s="491"/>
      <x:c r="AC45" s="494"/>
    </x:row>
    <x:row r="46" spans="1:29" ht="17.25" customHeight="1">
      <x:c r="A46" s="518"/>
      <x:c r="B46" s="378" t="s">
        <x:v>92</x:v>
      </x:c>
      <x:c r="C46" s="179" t="s">
        <x:v>45</x:v>
      </x:c>
      <x:c r="D46" s="179" t="s">
        <x:v>140</x:v>
      </x:c>
      <x:c r="E46" s="255">
        <x:v>7250</x:v>
      </x:c>
      <x:c r="F46" s="181">
        <x:v>12</x:v>
      </x:c>
      <x:c r="G46" s="182">
        <x:v>87000</x:v>
      </x:c>
      <x:c r="H46" s="183">
        <x:v>36</x:v>
      </x:c>
      <x:c r="I46" s="184"/>
      <x:c r="J46" s="185"/>
      <x:c r="K46" s="185">
        <x:v>24</x:v>
      </x:c>
      <x:c r="L46" s="185"/>
      <x:c r="M46" s="186"/>
      <x:c r="N46" s="187">
        <x:f t="shared" si="2"/>
        <x:v>24</x:v>
      </x:c>
      <x:c r="O46" s="188">
        <x:f t="shared" si="3"/>
        <x:v>174000</x:v>
      </x:c>
      <x:c r="P46" s="189">
        <x:f>캠퍼스타운_외부원두영업!I46+잇다카페_외부원두영업!I46+푸른솔!J46+의과대학!I46+중앙도서관!I46+학생회관!I46+제2기숙사!I46+멀티미디어관!I46+선승관!I46+예술디자인대!I46+공학관!I46</x:f>
        <x:v>0</x:v>
      </x:c>
      <x:c r="Q46" s="181">
        <x:f>캠퍼스타운_외부원두영업!J46+잇다카페_외부원두영업!J46+푸른솔!K46+의과대학!J46+중앙도서관!J46+학생회관!J46+멀티미디어관!J46+제2기숙사!J46+선승관!J46+예술디자인대!J46+공학관!J46</x:f>
        <x:v>4</x:v>
      </x:c>
      <x:c r="R46" s="181">
        <x:f>캠퍼스타운_외부원두영업!K46+잇다카페_외부원두영업!K46+푸른솔!L46+의과대학!K46+중앙도서관!K46+학생회관!K46+제2기숙사!K46+멀티미디어관!K46+선승관!K46+예술디자인대!K46+공학관!K46</x:f>
        <x:v>0</x:v>
      </x:c>
      <x:c r="S46" s="181">
        <x:f>캠퍼스타운_외부원두영업!L46+잇다카페_외부원두영업!L46+푸른솔!M46+의과대학!L46+중앙도서관!L46+학생회관!L46+멀티미디어관!L46+제2기숙사!L46+선승관!L46+예술디자인대!L46+공학관!L46</x:f>
        <x:v>1</x:v>
      </x:c>
      <x:c r="T46" s="190">
        <x:f>캠퍼스타운_외부원두영업!M46+잇다카페_외부원두영업!M46+푸른솔!N46+의과대학!M46+중앙도서관!M46+학생회관!M46+멀티미디어관!M46+제2기숙사!M46+선승관!M46+예술디자인대!M46+공학관!M46</x:f>
        <x:v>0</x:v>
      </x:c>
      <x:c r="U46" s="191">
        <x:f t="shared" si="9"/>
        <x:v>5</x:v>
      </x:c>
      <x:c r="V46" s="192">
        <x:f t="shared" si="4"/>
        <x:v>36250</x:v>
      </x:c>
      <x:c r="W46" s="193">
        <x:f t="shared" si="6"/>
        <x:v>55</x:v>
      </x:c>
      <x:c r="X46" s="194">
        <x:f t="shared" si="8"/>
        <x:v>398750</x:v>
      </x:c>
      <x:c r="Y46" s="274">
        <x:v>46</x:v>
      </x:c>
      <x:c r="Z46" s="302">
        <x:v>24</x:v>
      </x:c>
      <x:c r="AA46" s="99">
        <x:f t="shared" si="10"/>
        <x:v>174000</x:v>
      </x:c>
      <x:c r="AB46" s="491"/>
      <x:c r="AC46" s="494"/>
    </x:row>
    <x:row r="47" spans="1:29">
      <x:c r="A47" s="518"/>
      <x:c r="B47" s="378" t="s">
        <x:v>93</x:v>
      </x:c>
      <x:c r="C47" s="179" t="s">
        <x:v>55</x:v>
      </x:c>
      <x:c r="D47" s="179" t="s">
        <x:v>140</x:v>
      </x:c>
      <x:c r="E47" s="255">
        <x:v>5300</x:v>
      </x:c>
      <x:c r="F47" s="181">
        <x:v>12</x:v>
      </x:c>
      <x:c r="G47" s="182">
        <x:v>63600</x:v>
      </x:c>
      <x:c r="H47" s="183">
        <x:v>9</x:v>
      </x:c>
      <x:c r="I47" s="184"/>
      <x:c r="J47" s="185"/>
      <x:c r="K47" s="185"/>
      <x:c r="L47" s="185"/>
      <x:c r="M47" s="186"/>
      <x:c r="N47" s="187">
        <x:f t="shared" si="2"/>
        <x:v>0</x:v>
      </x:c>
      <x:c r="O47" s="188">
        <x:f t="shared" si="3"/>
        <x:v>0</x:v>
      </x:c>
      <x:c r="P47" s="189">
        <x:f>캠퍼스타운_외부원두영업!I47+잇다카페_외부원두영업!I47+푸른솔!J47+의과대학!I47+중앙도서관!I47+학생회관!I47+제2기숙사!I47+멀티미디어관!I47+선승관!I47+예술디자인대!I47+공학관!I47</x:f>
        <x:v>0</x:v>
      </x:c>
      <x:c r="Q47" s="181">
        <x:f>캠퍼스타운_외부원두영업!J47+잇다카페_외부원두영업!J47+푸른솔!K47+의과대학!J47+중앙도서관!J47+학생회관!J47+멀티미디어관!J47+제2기숙사!J47+선승관!J47+예술디자인대!J47+공학관!J47</x:f>
        <x:v>0</x:v>
      </x:c>
      <x:c r="R47" s="181">
        <x:f>캠퍼스타운_외부원두영업!K47+잇다카페_외부원두영업!K47+푸른솔!L47+의과대학!K47+중앙도서관!K47+학생회관!K47+제2기숙사!K47+멀티미디어관!K47+선승관!K47+예술디자인대!K47+공학관!K47</x:f>
        <x:v>0</x:v>
      </x:c>
      <x:c r="S47" s="181">
        <x:f>캠퍼스타운_외부원두영업!L47+잇다카페_외부원두영업!L47+푸른솔!M47+의과대학!L47+중앙도서관!L47+학생회관!L47+멀티미디어관!L47+제2기숙사!L47+선승관!L47+예술디자인대!L47+공학관!L47</x:f>
        <x:v>2</x:v>
      </x:c>
      <x:c r="T47" s="190">
        <x:f>캠퍼스타운_외부원두영업!M47+잇다카페_외부원두영업!M47+푸른솔!N47+의과대학!M47+중앙도서관!M47+학생회관!M47+멀티미디어관!M47+제2기숙사!M47+선승관!M47+예술디자인대!M47+공학관!M47</x:f>
        <x:v>0</x:v>
      </x:c>
      <x:c r="U47" s="191">
        <x:f t="shared" si="9"/>
        <x:v>2</x:v>
      </x:c>
      <x:c r="V47" s="192">
        <x:f t="shared" si="4"/>
        <x:v>10600</x:v>
      </x:c>
      <x:c r="W47" s="193">
        <x:f t="shared" si="6"/>
        <x:v>7</x:v>
      </x:c>
      <x:c r="X47" s="194">
        <x:f t="shared" si="8"/>
        <x:v>37100</x:v>
      </x:c>
      <x:c r="Y47" s="274">
        <x:v>10</x:v>
      </x:c>
      <x:c r="Z47" s="302">
        <x:v>0</x:v>
      </x:c>
      <x:c r="AA47" s="99">
        <x:f t="shared" si="10"/>
        <x:v>0</x:v>
      </x:c>
      <x:c r="AB47" s="491"/>
      <x:c r="AC47" s="494"/>
    </x:row>
    <x:row r="48" spans="1:29">
      <x:c r="A48" s="527"/>
      <x:c r="B48" s="379" t="s">
        <x:v>30</x:v>
      </x:c>
      <x:c r="C48" s="195" t="s">
        <x:v>55</x:v>
      </x:c>
      <x:c r="D48" s="195" t="s">
        <x:v>140</x:v>
      </x:c>
      <x:c r="E48" s="256">
        <x:v>6600</x:v>
      </x:c>
      <x:c r="F48" s="181">
        <x:v>12</x:v>
      </x:c>
      <x:c r="G48" s="182">
        <x:v>79200</x:v>
      </x:c>
      <x:c r="H48" s="183">
        <x:v>21</x:v>
      </x:c>
      <x:c r="I48" s="184"/>
      <x:c r="J48" s="185"/>
      <x:c r="K48" s="185">
        <x:v>12</x:v>
      </x:c>
      <x:c r="L48" s="185"/>
      <x:c r="M48" s="186"/>
      <x:c r="N48" s="187">
        <x:f t="shared" si="2"/>
        <x:v>12</x:v>
      </x:c>
      <x:c r="O48" s="188">
        <x:f t="shared" si="3"/>
        <x:v>79200</x:v>
      </x:c>
      <x:c r="P48" s="189">
        <x:f>캠퍼스타운_외부원두영업!I48+잇다카페_외부원두영업!I48+푸른솔!J48+의과대학!I48+중앙도서관!I48+학생회관!I48+제2기숙사!I48+멀티미디어관!I48+선승관!I48+예술디자인대!I48+공학관!I48</x:f>
        <x:v>0</x:v>
      </x:c>
      <x:c r="Q48" s="181">
        <x:f>캠퍼스타운_외부원두영업!J48+잇다카페_외부원두영업!J48+푸른솔!K48+의과대학!J48+중앙도서관!J48+학생회관!J48+멀티미디어관!J48+제2기숙사!J48+선승관!J48+예술디자인대!J48+공학관!J48</x:f>
        <x:v>3</x:v>
      </x:c>
      <x:c r="R48" s="181">
        <x:f>캠퍼스타운_외부원두영업!K48+잇다카페_외부원두영업!K48+푸른솔!L48+의과대학!K48+중앙도서관!K48+학생회관!K48+제2기숙사!K48+멀티미디어관!K48+선승관!K48+예술디자인대!K48+공학관!K48</x:f>
        <x:v>0</x:v>
      </x:c>
      <x:c r="S48" s="181">
        <x:f>캠퍼스타운_외부원두영업!L48+잇다카페_외부원두영업!L48+푸른솔!M48+의과대학!L48+중앙도서관!L48+학생회관!L48+멀티미디어관!L48+제2기숙사!L48+선승관!L48+예술디자인대!L48+공학관!L48</x:f>
        <x:v>2</x:v>
      </x:c>
      <x:c r="T48" s="190">
        <x:f>캠퍼스타운_외부원두영업!M48+잇다카페_외부원두영업!M48+푸른솔!N48+의과대학!M48+중앙도서관!M48+학생회관!M48+멀티미디어관!M48+제2기숙사!M48+선승관!M48+예술디자인대!M48+공학관!M48</x:f>
        <x:v>0</x:v>
      </x:c>
      <x:c r="U48" s="191">
        <x:f t="shared" si="9"/>
        <x:v>5</x:v>
      </x:c>
      <x:c r="V48" s="192">
        <x:f t="shared" si="4"/>
        <x:v>33000</x:v>
      </x:c>
      <x:c r="W48" s="193">
        <x:f t="shared" si="6"/>
        <x:v>28</x:v>
      </x:c>
      <x:c r="X48" s="194">
        <x:f t="shared" si="8"/>
        <x:v>184800</x:v>
      </x:c>
      <x:c r="Y48" s="274">
        <x:v>20</x:v>
      </x:c>
      <x:c r="Z48" s="302">
        <x:v>12</x:v>
      </x:c>
      <x:c r="AA48" s="99">
        <x:f t="shared" si="10"/>
        <x:v>79200</x:v>
      </x:c>
      <x:c r="AB48" s="491"/>
      <x:c r="AC48" s="494"/>
    </x:row>
    <x:row r="49" spans="1:29">
      <x:c r="A49" s="528"/>
      <x:c r="B49" s="379" t="s">
        <x:v>84</x:v>
      </x:c>
      <x:c r="C49" s="195" t="s">
        <x:v>28</x:v>
      </x:c>
      <x:c r="D49" s="195" t="s">
        <x:v>140</x:v>
      </x:c>
      <x:c r="E49" s="256">
        <x:v>14500</x:v>
      </x:c>
      <x:c r="F49" s="181">
        <x:v>6</x:v>
      </x:c>
      <x:c r="G49" s="182">
        <x:v>87000</x:v>
      </x:c>
      <x:c r="H49" s="183">
        <x:v>23</x:v>
      </x:c>
      <x:c r="I49" s="184"/>
      <x:c r="J49" s="185"/>
      <x:c r="K49" s="185"/>
      <x:c r="L49" s="185"/>
      <x:c r="M49" s="186"/>
      <x:c r="N49" s="187">
        <x:f t="shared" si="2"/>
        <x:v>0</x:v>
      </x:c>
      <x:c r="O49" s="188">
        <x:f t="shared" si="3"/>
        <x:v>0</x:v>
      </x:c>
      <x:c r="P49" s="189">
        <x:f>캠퍼스타운_외부원두영업!I49+잇다카페_외부원두영업!I49+푸른솔!J49+의과대학!I49+중앙도서관!I49+학생회관!I49+제2기숙사!I49+멀티미디어관!I49+선승관!I49+예술디자인대!I49+공학관!I49</x:f>
        <x:v>0</x:v>
      </x:c>
      <x:c r="Q49" s="181">
        <x:f>캠퍼스타운_외부원두영업!J49+잇다카페_외부원두영업!J49+푸른솔!K49+의과대학!J49+중앙도서관!J49+학생회관!J49+멀티미디어관!J49+제2기숙사!J49+선승관!J49+예술디자인대!J49+공학관!J49</x:f>
        <x:v>3</x:v>
      </x:c>
      <x:c r="R49" s="181">
        <x:f>캠퍼스타운_외부원두영업!K49+잇다카페_외부원두영업!K49+푸른솔!L49+의과대학!K49+중앙도서관!K49+학생회관!K49+제2기숙사!K49+멀티미디어관!K49+선승관!K49+예술디자인대!K49+공학관!K49</x:f>
        <x:v>0</x:v>
      </x:c>
      <x:c r="S49" s="181">
        <x:f>캠퍼스타운_외부원두영업!L49+잇다카페_외부원두영업!L49+푸른솔!M49+의과대학!L49+중앙도서관!L49+학생회관!L49+멀티미디어관!L49+제2기숙사!L49+선승관!L49+예술디자인대!L49+공학관!L49</x:f>
        <x:v>3</x:v>
      </x:c>
      <x:c r="T49" s="190">
        <x:f>캠퍼스타운_외부원두영업!M49+잇다카페_외부원두영업!M49+푸른솔!N49+의과대학!M49+중앙도서관!M49+학생회관!M49+멀티미디어관!M49+제2기숙사!M49+선승관!M49+예술디자인대!M49+공학관!M49</x:f>
        <x:v>0</x:v>
      </x:c>
      <x:c r="U49" s="191">
        <x:f t="shared" si="9"/>
        <x:v>6</x:v>
      </x:c>
      <x:c r="V49" s="192">
        <x:f t="shared" si="4"/>
        <x:v>87000</x:v>
      </x:c>
      <x:c r="W49" s="193">
        <x:f t="shared" si="6"/>
        <x:v>17</x:v>
      </x:c>
      <x:c r="X49" s="194">
        <x:f t="shared" si="8"/>
        <x:v>246500</x:v>
      </x:c>
      <x:c r="Y49" s="274">
        <x:v>28</x:v>
      </x:c>
      <x:c r="Z49" s="302">
        <x:v>0</x:v>
      </x:c>
      <x:c r="AA49" s="99">
        <x:f t="shared" si="10"/>
        <x:v>0</x:v>
      </x:c>
      <x:c r="AB49" s="491"/>
      <x:c r="AC49" s="494"/>
    </x:row>
    <x:row r="50" spans="1:29">
      <x:c r="A50" s="518"/>
      <x:c r="B50" s="379" t="s">
        <x:v>98</x:v>
      </x:c>
      <x:c r="C50" s="195" t="s">
        <x:v>28</x:v>
      </x:c>
      <x:c r="D50" s="195" t="s">
        <x:v>140</x:v>
      </x:c>
      <x:c r="E50" s="256">
        <x:v>11000</x:v>
      </x:c>
      <x:c r="F50" s="181">
        <x:v>6</x:v>
      </x:c>
      <x:c r="G50" s="182">
        <x:v>66000</x:v>
      </x:c>
      <x:c r="H50" s="183">
        <x:v>10</x:v>
      </x:c>
      <x:c r="I50" s="184"/>
      <x:c r="J50" s="185"/>
      <x:c r="K50" s="185"/>
      <x:c r="L50" s="185"/>
      <x:c r="M50" s="186"/>
      <x:c r="N50" s="187">
        <x:f t="shared" si="2"/>
        <x:v>0</x:v>
      </x:c>
      <x:c r="O50" s="188">
        <x:f t="shared" si="3"/>
        <x:v>0</x:v>
      </x:c>
      <x:c r="P50" s="189">
        <x:f>캠퍼스타운_외부원두영업!I50+잇다카페_외부원두영업!I50+푸른솔!J50+의과대학!I50+중앙도서관!I50+학생회관!I50+제2기숙사!I50+멀티미디어관!I50+선승관!I50+예술디자인대!I50+공학관!I50</x:f>
        <x:v>0</x:v>
      </x:c>
      <x:c r="Q50" s="181">
        <x:f>캠퍼스타운_외부원두영업!J50+잇다카페_외부원두영업!J50+푸른솔!K50+의과대학!J50+중앙도서관!J50+학생회관!J50+멀티미디어관!J50+제2기숙사!J50+선승관!J50+예술디자인대!J50+공학관!J50</x:f>
        <x:v>0</x:v>
      </x:c>
      <x:c r="R50" s="181">
        <x:f>캠퍼스타운_외부원두영업!K50+잇다카페_외부원두영업!K50+푸른솔!L50+의과대학!K50+중앙도서관!K50+학생회관!K50+제2기숙사!K50+멀티미디어관!K50+선승관!K50+예술디자인대!K50+공학관!K50</x:f>
        <x:v>0</x:v>
      </x:c>
      <x:c r="S50" s="181">
        <x:f>캠퍼스타운_외부원두영업!L50+잇다카페_외부원두영업!L50+푸른솔!M50+의과대학!L50+중앙도서관!L50+학생회관!L50+멀티미디어관!L50+제2기숙사!L50+선승관!L50+예술디자인대!L50+공학관!L50</x:f>
        <x:v>1</x:v>
      </x:c>
      <x:c r="T50" s="190">
        <x:f>캠퍼스타운_외부원두영업!M50+잇다카페_외부원두영업!M50+푸른솔!N50+의과대학!M50+중앙도서관!M50+학생회관!M50+멀티미디어관!M50+제2기숙사!M50+선승관!M50+예술디자인대!M50+공학관!M50</x:f>
        <x:v>0</x:v>
      </x:c>
      <x:c r="U50" s="191">
        <x:f t="shared" si="9"/>
        <x:v>1</x:v>
      </x:c>
      <x:c r="V50" s="192">
        <x:f t="shared" si="4"/>
        <x:v>11000</x:v>
      </x:c>
      <x:c r="W50" s="193">
        <x:f t="shared" si="6"/>
        <x:v>9</x:v>
      </x:c>
      <x:c r="X50" s="194">
        <x:f t="shared" si="8"/>
        <x:v>99000</x:v>
      </x:c>
      <x:c r="Y50" s="274">
        <x:v>4</x:v>
      </x:c>
      <x:c r="Z50" s="302">
        <x:v>0</x:v>
      </x:c>
      <x:c r="AA50" s="99">
        <x:f t="shared" si="10"/>
        <x:v>0</x:v>
      </x:c>
      <x:c r="AB50" s="491"/>
      <x:c r="AC50" s="494"/>
    </x:row>
    <x:row r="51" spans="1:29">
      <x:c r="A51" s="527"/>
      <x:c r="B51" s="379" t="s">
        <x:v>108</x:v>
      </x:c>
      <x:c r="C51" s="195" t="s">
        <x:v>28</x:v>
      </x:c>
      <x:c r="D51" s="195" t="s">
        <x:v>140</x:v>
      </x:c>
      <x:c r="E51" s="256">
        <x:v>7000</x:v>
      </x:c>
      <x:c r="F51" s="181">
        <x:v>6</x:v>
      </x:c>
      <x:c r="G51" s="182">
        <x:f>E51*F51</x:f>
        <x:v>42000</x:v>
      </x:c>
      <x:c r="H51" s="183">
        <x:v>13</x:v>
      </x:c>
      <x:c r="I51" s="184"/>
      <x:c r="J51" s="185"/>
      <x:c r="K51" s="185"/>
      <x:c r="L51" s="185"/>
      <x:c r="M51" s="186"/>
      <x:c r="N51" s="187">
        <x:f t="shared" ref="N51:N56" si="11">I51+J51+K51+L51+M51</x:f>
        <x:v>0</x:v>
      </x:c>
      <x:c r="O51" s="188">
        <x:f>E51*N51</x:f>
        <x:v>0</x:v>
      </x:c>
      <x:c r="P51" s="189">
        <x:f>캠퍼스타운_외부원두영업!I51+잇다카페_외부원두영업!I51+푸른솔!J51+의과대학!I51+중앙도서관!I51+학생회관!I51+제2기숙사!I51+멀티미디어관!I51+선승관!I51+예술디자인대!I51+공학관!I51</x:f>
        <x:v>0</x:v>
      </x:c>
      <x:c r="Q51" s="181">
        <x:f>캠퍼스타운_외부원두영업!J51+잇다카페_외부원두영업!J51+푸른솔!K51+의과대학!J51+중앙도서관!J51+학생회관!J51+멀티미디어관!J51+제2기숙사!J51+선승관!J51+예술디자인대!J51+공학관!J51</x:f>
        <x:v>0</x:v>
      </x:c>
      <x:c r="R51" s="181">
        <x:f>캠퍼스타운_외부원두영업!K51+잇다카페_외부원두영업!K51+푸른솔!L51+의과대학!K51+중앙도서관!K51+학생회관!K51+제2기숙사!K51+멀티미디어관!K51+선승관!K51+예술디자인대!K51+공학관!K51</x:f>
        <x:v>0</x:v>
      </x:c>
      <x:c r="S51" s="181">
        <x:f>캠퍼스타운_외부원두영업!L51+잇다카페_외부원두영업!L51+푸른솔!M51+의과대학!L51+중앙도서관!L51+학생회관!L51+멀티미디어관!L51+제2기숙사!L51+선승관!L51+예술디자인대!L51+공학관!L51</x:f>
        <x:v>0</x:v>
      </x:c>
      <x:c r="T51" s="190">
        <x:f>캠퍼스타운_외부원두영업!M51+잇다카페_외부원두영업!M51+푸른솔!N51+의과대학!M51+중앙도서관!M51+학생회관!M51+멀티미디어관!M51+제2기숙사!M51+선승관!M51+예술디자인대!M51+공학관!M51</x:f>
        <x:v>0</x:v>
      </x:c>
      <x:c r="U51" s="191">
        <x:f t="shared" ref="U51:U56" si="12">P51+Q51+R51+S51+T51</x:f>
        <x:v>0</x:v>
      </x:c>
      <x:c r="V51" s="192">
        <x:f t="shared" ref="V51:V56" si="13">E51*U51</x:f>
        <x:v>0</x:v>
      </x:c>
      <x:c r="W51" s="193">
        <x:f t="shared" si="6"/>
        <x:v>13</x:v>
      </x:c>
      <x:c r="X51" s="194">
        <x:f t="shared" si="8"/>
        <x:v>91000</x:v>
      </x:c>
      <x:c r="Y51" s="274">
        <x:v>0</x:v>
      </x:c>
      <x:c r="Z51" s="302">
        <x:v>0</x:v>
      </x:c>
      <x:c r="AA51" s="99">
        <x:f t="shared" si="10"/>
        <x:v>0</x:v>
      </x:c>
      <x:c r="AB51" s="491"/>
      <x:c r="AC51" s="494"/>
    </x:row>
    <x:row r="52" spans="1:29">
      <x:c r="A52" s="518"/>
      <x:c r="B52" s="379" t="s">
        <x:v>36</x:v>
      </x:c>
      <x:c r="C52" s="195" t="s">
        <x:v>28</x:v>
      </x:c>
      <x:c r="D52" s="195" t="s">
        <x:v>140</x:v>
      </x:c>
      <x:c r="E52" s="256">
        <x:v>9000</x:v>
      </x:c>
      <x:c r="F52" s="181">
        <x:v>6</x:v>
      </x:c>
      <x:c r="G52" s="182">
        <x:f>E52*F52</x:f>
        <x:v>54000</x:v>
      </x:c>
      <x:c r="H52" s="183">
        <x:v>13</x:v>
      </x:c>
      <x:c r="I52" s="184"/>
      <x:c r="J52" s="185"/>
      <x:c r="K52" s="185"/>
      <x:c r="L52" s="185"/>
      <x:c r="M52" s="186"/>
      <x:c r="N52" s="187">
        <x:f t="shared" si="11"/>
        <x:v>0</x:v>
      </x:c>
      <x:c r="O52" s="188">
        <x:f>E52*N52</x:f>
        <x:v>0</x:v>
      </x:c>
      <x:c r="P52" s="189">
        <x:f>캠퍼스타운_외부원두영업!I52+잇다카페_외부원두영업!I52+푸른솔!J52+의과대학!I52+중앙도서관!I52+학생회관!I52+제2기숙사!I52+멀티미디어관!I52+선승관!I52+예술디자인대!I52+공학관!I52</x:f>
        <x:v>0</x:v>
      </x:c>
      <x:c r="Q52" s="181">
        <x:f>캠퍼스타운_외부원두영업!J52+잇다카페_외부원두영업!J52+푸른솔!K52+의과대학!J52+중앙도서관!J52+학생회관!J52+멀티미디어관!J52+제2기숙사!J52+선승관!J52+예술디자인대!J52+공학관!J52</x:f>
        <x:v>1</x:v>
      </x:c>
      <x:c r="R52" s="181">
        <x:f>캠퍼스타운_외부원두영업!K52+잇다카페_외부원두영업!K52+푸른솔!L52+의과대학!K52+중앙도서관!K52+학생회관!K52+제2기숙사!K52+멀티미디어관!K52+선승관!K52+예술디자인대!K52+공학관!K52</x:f>
        <x:v>0</x:v>
      </x:c>
      <x:c r="S52" s="181">
        <x:f>캠퍼스타운_외부원두영업!L52+잇다카페_외부원두영업!L52+푸른솔!M52+의과대학!L52+중앙도서관!L52+학생회관!L52+멀티미디어관!L52+제2기숙사!L52+선승관!L52+예술디자인대!L52+공학관!L52</x:f>
        <x:v>0</x:v>
      </x:c>
      <x:c r="T52" s="190">
        <x:f>캠퍼스타운_외부원두영업!M52+잇다카페_외부원두영업!M52+푸른솔!N52+의과대학!M52+중앙도서관!M52+학생회관!M52+멀티미디어관!M52+제2기숙사!M52+선승관!M52+예술디자인대!M52+공학관!M52</x:f>
        <x:v>0</x:v>
      </x:c>
      <x:c r="U52" s="191">
        <x:f t="shared" si="12"/>
        <x:v>1</x:v>
      </x:c>
      <x:c r="V52" s="192">
        <x:f t="shared" si="13"/>
        <x:v>9000</x:v>
      </x:c>
      <x:c r="W52" s="193">
        <x:f t="shared" si="6"/>
        <x:v>12</x:v>
      </x:c>
      <x:c r="X52" s="194">
        <x:f t="shared" si="8"/>
        <x:v>108000</x:v>
      </x:c>
      <x:c r="Y52" s="274">
        <x:v>0</x:v>
      </x:c>
      <x:c r="Z52" s="302">
        <x:v>0</x:v>
      </x:c>
      <x:c r="AA52" s="99">
        <x:f t="shared" si="10"/>
        <x:v>0</x:v>
      </x:c>
      <x:c r="AB52" s="491"/>
      <x:c r="AC52" s="494"/>
    </x:row>
    <x:row r="53" spans="1:29">
      <x:c r="A53" s="518"/>
      <x:c r="B53" s="379" t="s">
        <x:v>162</x:v>
      </x:c>
      <x:c r="C53" s="195" t="s">
        <x:v>128</x:v>
      </x:c>
      <x:c r="D53" s="195" t="s">
        <x:v>140</x:v>
      </x:c>
      <x:c r="E53" s="256">
        <x:v>5300</x:v>
      </x:c>
      <x:c r="F53" s="181">
        <x:v>12</x:v>
      </x:c>
      <x:c r="G53" s="182">
        <x:f>F53*E53</x:f>
        <x:v>63600</x:v>
      </x:c>
      <x:c r="H53" s="183">
        <x:v>25</x:v>
      </x:c>
      <x:c r="I53" s="184"/>
      <x:c r="J53" s="185"/>
      <x:c r="K53" s="185">
        <x:v>48</x:v>
      </x:c>
      <x:c r="L53" s="185"/>
      <x:c r="M53" s="186"/>
      <x:c r="N53" s="187">
        <x:f t="shared" si="11"/>
        <x:v>48</x:v>
      </x:c>
      <x:c r="O53" s="188">
        <x:f>E53*N53</x:f>
        <x:v>254400</x:v>
      </x:c>
      <x:c r="P53" s="189">
        <x:f>캠퍼스타운_외부원두영업!I53+잇다카페_외부원두영업!I53+푸른솔!J53+의과대학!I53+중앙도서관!I53+학생회관!I53+제2기숙사!I53+멀티미디어관!I53+선승관!I53+예술디자인대!I53+공학관!I53</x:f>
        <x:v>0</x:v>
      </x:c>
      <x:c r="Q53" s="181">
        <x:f>캠퍼스타운_외부원두영업!J53+잇다카페_외부원두영업!J53+푸른솔!K53+의과대학!J53+중앙도서관!J53+학생회관!J53+멀티미디어관!J53+제2기숙사!J53+선승관!J53+예술디자인대!J53+공학관!J53</x:f>
        <x:v>4</x:v>
      </x:c>
      <x:c r="R53" s="282">
        <x:f>캠퍼스타운_외부원두영업!K53+잇다카페_외부원두영업!K53+푸른솔!L53+의과대학!K53+중앙도서관!K53+학생회관!K53+제2기숙사!K53+멀티미디어관!K53+선승관!K53+예술디자인대!K53+공학관!K53</x:f>
        <x:v>0</x:v>
      </x:c>
      <x:c r="S53" s="181">
        <x:f>캠퍼스타운_외부원두영업!L53+잇다카페_외부원두영업!L53+푸른솔!M53+의과대학!L53+중앙도서관!L53+학생회관!L53+멀티미디어관!L53+제2기숙사!L53+선승관!L53+예술디자인대!L53+공학관!L53</x:f>
        <x:v>3</x:v>
      </x:c>
      <x:c r="T53" s="190">
        <x:f>캠퍼스타운_외부원두영업!M53+잇다카페_외부원두영업!M53+푸른솔!N53+의과대학!M53+중앙도서관!M53+학생회관!M53+멀티미디어관!M53+제2기숙사!M53+선승관!M53+예술디자인대!M53+공학관!M53</x:f>
        <x:v>0</x:v>
      </x:c>
      <x:c r="U53" s="191">
        <x:f t="shared" si="12"/>
        <x:v>7</x:v>
      </x:c>
      <x:c r="V53" s="192">
        <x:f t="shared" si="13"/>
        <x:v>37100</x:v>
      </x:c>
      <x:c r="W53" s="193">
        <x:f>(H53+N53)-U53</x:f>
        <x:v>66</x:v>
      </x:c>
      <x:c r="X53" s="194">
        <x:f t="shared" si="8"/>
        <x:v>349800</x:v>
      </x:c>
      <x:c r="Y53" s="274">
        <x:v>59</x:v>
      </x:c>
      <x:c r="Z53" s="302">
        <x:v>48</x:v>
      </x:c>
      <x:c r="AA53" s="99">
        <x:f t="shared" si="10"/>
        <x:v>254400</x:v>
      </x:c>
      <x:c r="AB53" s="491"/>
      <x:c r="AC53" s="494"/>
    </x:row>
    <x:row r="54" spans="1:29">
      <x:c r="A54" s="518"/>
      <x:c r="B54" s="379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14">F54*E54</x:f>
        <x:v>94800</x:v>
      </x:c>
      <x:c r="H54" s="183">
        <x:v>14</x:v>
      </x:c>
      <x:c r="I54" s="184"/>
      <x:c r="J54" s="185"/>
      <x:c r="K54" s="185">
        <x:v>12</x:v>
      </x:c>
      <x:c r="L54" s="185"/>
      <x:c r="M54" s="186"/>
      <x:c r="N54" s="187">
        <x:f t="shared" ref="N54:N55" si="15">I54+J54+K54+L54+M54</x:f>
        <x:v>12</x:v>
      </x:c>
      <x:c r="O54" s="188">
        <x:f t="shared" ref="O54:O55" si="16">E54*N54</x:f>
        <x:v>94800</x:v>
      </x:c>
      <x:c r="P54" s="189">
        <x:f>캠퍼스타운_외부원두영업!I54+잇다카페_외부원두영업!I54+푸른솔!J54+의과대학!I54+중앙도서관!I54+학생회관!I54+제2기숙사!I54+멀티미디어관!I54+선승관!I54+예술디자인대!I54+공학관!I54</x:f>
        <x:v>0</x:v>
      </x:c>
      <x:c r="Q54" s="229">
        <x:f>캠퍼스타운_외부원두영업!J54+잇다카페_외부원두영업!J54+푸른솔!K54+의과대학!J54+중앙도서관!J54+학생회관!J54+제2기숙사!J54+멀티미디어관!J54+선승관!J54+예술디자인대!J54+공학관!J54</x:f>
        <x:v>2</x:v>
      </x:c>
      <x:c r="R54" s="229">
        <x:f>캠퍼스타운_외부원두영업!K54+잇다카페_외부원두영업!K54+푸른솔!L54+의과대학!K54+중앙도서관!K54+학생회관!K54+제2기숙사!K54+멀티미디어관!K54+선승관!K54+예술디자인대!K54+공학관!K54</x:f>
        <x:v>0</x:v>
      </x:c>
      <x:c r="S54" s="229">
        <x:f>캠퍼스타운_외부원두영업!L54+잇다카페_외부원두영업!L54+푸른솔!M54+의과대학!L54+중앙도서관!L54+학생회관!L54+제2기숙사!L54+멀티미디어관!L54+선승관!L54+예술디자인대!L54+공학관!L54</x:f>
        <x:v>0</x:v>
      </x:c>
      <x:c r="T54" s="283">
        <x:f>캠퍼스타운_외부원두영업!M54+잇다카페_외부원두영업!M54+푸른솔!N54+의과대학!M54+중앙도서관!M54+학생회관!M54+제2기숙사!M54+멀티미디어관!M54+선승관!M54+예술디자인대!M54+공학관!M54</x:f>
        <x:v>0</x:v>
      </x:c>
      <x:c r="U54" s="191">
        <x:f t="shared" ref="U54:U55" si="17">P54+Q54+R54+S54+T54</x:f>
        <x:v>2</x:v>
      </x:c>
      <x:c r="V54" s="192">
        <x:f t="shared" ref="V54:V55" si="18">E54*U54</x:f>
        <x:v>15800</x:v>
      </x:c>
      <x:c r="W54" s="193">
        <x:f t="shared" ref="W54:W55" si="19">(H54+N54)-U54</x:f>
        <x:v>24</x:v>
      </x:c>
      <x:c r="X54" s="194">
        <x:f t="shared" ref="X54:X55" si="20">E54*W54</x:f>
        <x:v>189600</x:v>
      </x:c>
      <x:c r="Y54" s="274">
        <x:v>0</x:v>
      </x:c>
      <x:c r="Z54" s="302">
        <x:v>12</x:v>
      </x:c>
      <x:c r="AA54" s="99">
        <x:f t="shared" ref="AA54:AA55" si="21">Z54*E54</x:f>
        <x:v>94800</x:v>
      </x:c>
      <x:c r="AB54" s="491"/>
      <x:c r="AC54" s="494"/>
    </x:row>
    <x:row r="55" spans="1:29">
      <x:c r="A55" s="525"/>
      <x:c r="B55" s="379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14"/>
        <x:v>100800</x:v>
      </x:c>
      <x:c r="H55" s="183">
        <x:v>19</x:v>
      </x:c>
      <x:c r="I55" s="184"/>
      <x:c r="J55" s="185"/>
      <x:c r="K55" s="185"/>
      <x:c r="L55" s="185"/>
      <x:c r="M55" s="186"/>
      <x:c r="N55" s="187">
        <x:f t="shared" si="15"/>
        <x:v>0</x:v>
      </x:c>
      <x:c r="O55" s="188">
        <x:f t="shared" si="16"/>
        <x:v>0</x:v>
      </x:c>
      <x:c r="P55" s="281">
        <x:f>캠퍼스타운_외부원두영업!I55+잇다카페_외부원두영업!I55+푸른솔!J55+의과대학!I55+중앙도서관!I55+학생회관!I55+제2기숙사!I55+멀티미디어관!I55+선승관!I55+예술디자인대!I55+공학관!I55</x:f>
        <x:v>0</x:v>
      </x:c>
      <x:c r="Q55" s="229">
        <x:f>캠퍼스타운_외부원두영업!J55+잇다카페_외부원두영업!J55+푸른솔!K55+의과대학!J55+중앙도서관!J55+학생회관!J55+제2기숙사!J55+멀티미디어관!J55+선승관!J55+예술디자인대!J55+공학관!J55</x:f>
        <x:v>1</x:v>
      </x:c>
      <x:c r="R55" s="181">
        <x:f>캠퍼스타운_외부원두영업!K55+잇다카페_외부원두영업!K55+푸른솔!L55+의과대학!K55+중앙도서관!K55+학생회관!K55+제2기숙사!K55+멀티미디어관!K55+선승관!K55+예술디자인대!K55+공학관!K55</x:f>
        <x:v>0</x:v>
      </x:c>
      <x:c r="S55" s="181">
        <x:f>캠퍼스타운_외부원두영업!L55+잇다카페_외부원두영업!L55+푸른솔!M55+의과대학!L55+중앙도서관!L55+학생회관!L55+제2기숙사!L55+멀티미디어관!L55+선승관!L55+예술디자인대!L55+공학관!L55</x:f>
        <x:v>0</x:v>
      </x:c>
      <x:c r="T55" s="283">
        <x:f>캠퍼스타운_외부원두영업!M55+잇다카페_외부원두영업!M55+푸른솔!N55+의과대학!M55+중앙도서관!M55+학생회관!M55+제2기숙사!M55+멀티미디어관!M55+선승관!M55+예술디자인대!M55+공학관!M55</x:f>
        <x:v>0</x:v>
      </x:c>
      <x:c r="U55" s="191">
        <x:f t="shared" si="17"/>
        <x:v>1</x:v>
      </x:c>
      <x:c r="V55" s="192">
        <x:f t="shared" si="18"/>
        <x:v>8400</x:v>
      </x:c>
      <x:c r="W55" s="193">
        <x:f t="shared" si="19"/>
        <x:v>18</x:v>
      </x:c>
      <x:c r="X55" s="194">
        <x:f t="shared" si="20"/>
        <x:v>151200</x:v>
      </x:c>
      <x:c r="Y55" s="274">
        <x:v>0</x:v>
      </x:c>
      <x:c r="Z55" s="302">
        <x:v>0</x:v>
      </x:c>
      <x:c r="AA55" s="99">
        <x:f t="shared" si="21"/>
        <x:v>0</x:v>
      </x:c>
      <x:c r="AB55" s="491"/>
      <x:c r="AC55" s="494"/>
    </x:row>
    <x:row r="56" spans="1:29">
      <x:c r="A56" s="529"/>
      <x:c r="B56" s="379" t="s">
        <x:v>114</x:v>
      </x:c>
      <x:c r="C56" s="195" t="s">
        <x:v>55</x:v>
      </x:c>
      <x:c r="D56" s="195" t="s">
        <x:v>140</x:v>
      </x:c>
      <x:c r="E56" s="256">
        <x:v>4500</x:v>
      </x:c>
      <x:c r="F56" s="181">
        <x:v>12</x:v>
      </x:c>
      <x:c r="G56" s="182">
        <x:v>54000</x:v>
      </x:c>
      <x:c r="H56" s="183">
        <x:v>18</x:v>
      </x:c>
      <x:c r="I56" s="184"/>
      <x:c r="J56" s="185"/>
      <x:c r="K56" s="185"/>
      <x:c r="L56" s="185"/>
      <x:c r="M56" s="186"/>
      <x:c r="N56" s="187">
        <x:f t="shared" si="11"/>
        <x:v>0</x:v>
      </x:c>
      <x:c r="O56" s="188">
        <x:f t="shared" si="3"/>
        <x:v>0</x:v>
      </x:c>
      <x:c r="P56" s="189">
        <x:f>캠퍼스타운_외부원두영업!I56+잇다카페_외부원두영업!I56+푸른솔!J56+의과대학!I56+중앙도서관!I56+학생회관!I56+제2기숙사!I56+멀티미디어관!I56+선승관!I56+예술디자인대!I56+공학관!I56</x:f>
        <x:v>0</x:v>
      </x:c>
      <x:c r="Q56" s="181">
        <x:f>캠퍼스타운_외부원두영업!J56+잇다카페_외부원두영업!J56+푸른솔!K56+의과대학!J56+중앙도서관!J56+학생회관!J56+멀티미디어관!J56+제2기숙사!J56+선승관!J56+예술디자인대!J56+공학관!J56</x:f>
        <x:v>1</x:v>
      </x:c>
      <x:c r="R56" s="282">
        <x:f>캠퍼스타운_외부원두영업!K56+잇다카페_외부원두영업!K56+푸른솔!L56+의과대학!K56+중앙도서관!K56+학생회관!K56+제2기숙사!K56+멀티미디어관!K56+선승관!K56+예술디자인대!K56+공학관!K56</x:f>
        <x:v>0</x:v>
      </x:c>
      <x:c r="S56" s="181">
        <x:f>캠퍼스타운_외부원두영업!L56+잇다카페_외부원두영업!L56+푸른솔!M56+의과대학!L56+중앙도서관!L56+학생회관!L56+멀티미디어관!L56+제2기숙사!L56+선승관!L56+예술디자인대!L56+공학관!L56</x:f>
        <x:v>3</x:v>
      </x:c>
      <x:c r="T56" s="190">
        <x:f>캠퍼스타운_외부원두영업!M56+잇다카페_외부원두영업!M56+푸른솔!N56+의과대학!M56+중앙도서관!M56+학생회관!M56+멀티미디어관!M56+제2기숙사!M56+선승관!M56+예술디자인대!M56+공학관!M56</x:f>
        <x:v>0</x:v>
      </x:c>
      <x:c r="U56" s="191">
        <x:f t="shared" si="12"/>
        <x:v>4</x:v>
      </x:c>
      <x:c r="V56" s="192">
        <x:f t="shared" si="13"/>
        <x:v>18000</x:v>
      </x:c>
      <x:c r="W56" s="193">
        <x:f>(H56+N56)-U56</x:f>
        <x:v>14</x:v>
      </x:c>
      <x:c r="X56" s="194">
        <x:f t="shared" si="8"/>
        <x:v>63000</x:v>
      </x:c>
      <x:c r="Y56" s="274">
        <x:v>17</x:v>
      </x:c>
      <x:c r="Z56" s="302"/>
      <x:c r="AA56" s="99">
        <x:f t="shared" si="10"/>
        <x:v>0</x:v>
      </x:c>
      <x:c r="AB56" s="491"/>
      <x:c r="AC56" s="494"/>
    </x:row>
    <x:row r="57" spans="1:29">
      <x:c r="A57" s="519"/>
      <x:c r="B57" s="384" t="s">
        <x:v>80</x:v>
      </x:c>
      <x:c r="C57" s="242" t="s">
        <x:v>45</x:v>
      </x:c>
      <x:c r="D57" s="242" t="s">
        <x:v>140</x:v>
      </x:c>
      <x:c r="E57" s="266">
        <x:v>6700</x:v>
      </x:c>
      <x:c r="F57" s="229">
        <x:v>12</x:v>
      </x:c>
      <x:c r="G57" s="234">
        <x:v>80400</x:v>
      </x:c>
      <x:c r="H57" s="235">
        <x:v>21</x:v>
      </x:c>
      <x:c r="I57" s="236"/>
      <x:c r="J57" s="237"/>
      <x:c r="K57" s="237">
        <x:v>12</x:v>
      </x:c>
      <x:c r="L57" s="237"/>
      <x:c r="M57" s="238"/>
      <x:c r="N57" s="243">
        <x:f t="shared" si="2"/>
        <x:v>12</x:v>
      </x:c>
      <x:c r="O57" s="245">
        <x:f t="shared" si="3"/>
        <x:v>80400</x:v>
      </x:c>
      <x:c r="P57" s="189">
        <x:f>캠퍼스타운_외부원두영업!I57+잇다카페_외부원두영업!I57+푸른솔!J57+의과대학!I57+중앙도서관!I57+학생회관!I57+제2기숙사!I57+멀티미디어관!I57+선승관!I57+예술디자인대!I57+공학관!I57</x:f>
        <x:v>0</x:v>
      </x:c>
      <x:c r="Q57" s="229">
        <x:f>캠퍼스타운_외부원두영업!J57+잇다카페_외부원두영업!J57+푸른솔!K57+의과대학!J57+중앙도서관!J57+학생회관!J57+멀티미디어관!J57+제2기숙사!J57+선승관!J57+예술디자인대!J57+공학관!J57</x:f>
        <x:v>3</x:v>
      </x:c>
      <x:c r="R57" s="229">
        <x:f>캠퍼스타운_외부원두영업!K57+잇다카페_외부원두영업!K57+푸른솔!L57+의과대학!K57+중앙도서관!K57+학생회관!K57+제2기숙사!K57+멀티미디어관!K57+선승관!K57+예술디자인대!K57+공학관!K57</x:f>
        <x:v>0</x:v>
      </x:c>
      <x:c r="S57" s="229">
        <x:f>캠퍼스타운_외부원두영업!L57+잇다카페_외부원두영업!L57+푸른솔!M57+의과대학!L57+중앙도서관!L57+학생회관!L57+멀티미디어관!L57+제2기숙사!L57+선승관!L57+예술디자인대!L57+공학관!L57</x:f>
        <x:v>4</x:v>
      </x:c>
      <x:c r="T57" s="230">
        <x:f>캠퍼스타운_외부원두영업!M57+잇다카페_외부원두영업!M57+푸른솔!N57+의과대학!M57+중앙도서관!M57+학생회관!M57+멀티미디어관!M57+제2기숙사!M57+선승관!M57+예술디자인대!M57+공학관!M57</x:f>
        <x:v>0</x:v>
      </x:c>
      <x:c r="U57" s="366">
        <x:f t="shared" si="9"/>
        <x:v>7</x:v>
      </x:c>
      <x:c r="V57" s="367">
        <x:f t="shared" si="4"/>
        <x:v>46900</x:v>
      </x:c>
      <x:c r="W57" s="368">
        <x:f t="shared" si="6"/>
        <x:v>26</x:v>
      </x:c>
      <x:c r="X57" s="369">
        <x:f t="shared" si="8"/>
        <x:v>174200</x:v>
      </x:c>
      <x:c r="Y57" s="275">
        <x:v>31</x:v>
      </x:c>
      <x:c r="Z57" s="305">
        <x:v>12</x:v>
      </x:c>
      <x:c r="AA57" s="102">
        <x:f t="shared" si="10"/>
        <x:v>80400</x:v>
      </x:c>
      <x:c r="AB57" s="491"/>
      <x:c r="AC57" s="494"/>
    </x:row>
    <x:row r="58" spans="1:29">
      <x:c r="A58" s="515" t="s">
        <x:v>105</x:v>
      </x:c>
      <x:c r="B58" s="377" t="s">
        <x:v>26</x:v>
      </x:c>
      <x:c r="C58" s="162" t="s">
        <x:v>28</x:v>
      </x:c>
      <x:c r="D58" s="162" t="s">
        <x:v>140</x:v>
      </x:c>
      <x:c r="E58" s="267">
        <x:v>6900</x:v>
      </x:c>
      <x:c r="F58" s="165">
        <x:v>6</x:v>
      </x:c>
      <x:c r="G58" s="166">
        <x:v>41400</x:v>
      </x:c>
      <x:c r="H58" s="167">
        <x:v>33</x:v>
      </x:c>
      <x:c r="I58" s="169"/>
      <x:c r="J58" s="169"/>
      <x:c r="K58" s="169">
        <x:v>24</x:v>
      </x:c>
      <x:c r="L58" s="169"/>
      <x:c r="M58" s="170"/>
      <x:c r="N58" s="171">
        <x:f t="shared" si="2"/>
        <x:v>24</x:v>
      </x:c>
      <x:c r="O58" s="172">
        <x:f t="shared" si="3"/>
        <x:v>165600</x:v>
      </x:c>
      <x:c r="P58" s="244">
        <x:f>캠퍼스타운_외부원두영업!I58+잇다카페_외부원두영업!I58+푸른솔!J58+의과대학!I58+중앙도서관!I58+학생회관!I58+제2기숙사!I58+멀티미디어관!I58+선승관!I58+예술디자인대!I58+공학관!I58</x:f>
        <x:v>0</x:v>
      </x:c>
      <x:c r="Q58" s="165">
        <x:f>캠퍼스타운_외부원두영업!J58+잇다카페_외부원두영업!J58+푸른솔!K58+의과대학!J58+중앙도서관!J58+학생회관!J58+멀티미디어관!J58+제2기숙사!J58+선승관!J58+예술디자인대!J58+공학관!J58</x:f>
        <x:v>2</x:v>
      </x:c>
      <x:c r="R58" s="165">
        <x:f>캠퍼스타운_외부원두영업!K58+잇다카페_외부원두영업!K58+푸른솔!L58+의과대학!K58+중앙도서관!K58+학생회관!K58+제2기숙사!K58+멀티미디어관!K58+선승관!K58+예술디자인대!K58+공학관!K58</x:f>
        <x:v>0</x:v>
      </x:c>
      <x:c r="S58" s="165">
        <x:f>캠퍼스타운_외부원두영업!L58+잇다카페_외부원두영업!L58+푸른솔!M58+의과대학!L58+중앙도서관!L58+학생회관!L58+멀티미디어관!L58+제2기숙사!L58+선승관!L58+예술디자인대!L58+공학관!L58</x:f>
        <x:v>2</x:v>
      </x:c>
      <x:c r="T58" s="174">
        <x:f>캠퍼스타운_외부원두영업!M58+잇다카페_외부원두영업!M58+푸른솔!N58+의과대학!M58+중앙도서관!M58+학생회관!M58+멀티미디어관!M58+제2기숙사!M58+선승관!M58+예술디자인대!M58+공학관!M58</x:f>
        <x:v>0</x:v>
      </x:c>
      <x:c r="U58" s="175">
        <x:f t="shared" si="9"/>
        <x:v>4</x:v>
      </x:c>
      <x:c r="V58" s="176">
        <x:f t="shared" si="4"/>
        <x:v>27600</x:v>
      </x:c>
      <x:c r="W58" s="177">
        <x:f t="shared" si="6"/>
        <x:v>53</x:v>
      </x:c>
      <x:c r="X58" s="178">
        <x:f t="shared" si="8"/>
        <x:v>365700</x:v>
      </x:c>
      <x:c r="Y58" s="276">
        <x:v>53</x:v>
      </x:c>
      <x:c r="Z58" s="303">
        <x:v>24</x:v>
      </x:c>
      <x:c r="AA58" s="103">
        <x:f t="shared" si="10"/>
        <x:v>165600</x:v>
      </x:c>
      <x:c r="AB58" s="507">
        <x:f>SUM(AA58:AA68)</x:f>
        <x:v>1414800</x:v>
      </x:c>
      <x:c r="AC58" s="499">
        <x:f>AB58*1.1</x:f>
        <x:v>1556280.0000000002</x:v>
      </x:c>
    </x:row>
    <x:row r="59" spans="1:29">
      <x:c r="A59" s="516"/>
      <x:c r="B59" s="379" t="s">
        <x:v>29</x:v>
      </x:c>
      <x:c r="C59" s="195" t="s">
        <x:v>28</x:v>
      </x:c>
      <x:c r="D59" s="195" t="s">
        <x:v>140</x:v>
      </x:c>
      <x:c r="E59" s="256">
        <x:v>6900</x:v>
      </x:c>
      <x:c r="F59" s="181">
        <x:v>6</x:v>
      </x:c>
      <x:c r="G59" s="182">
        <x:v>41400</x:v>
      </x:c>
      <x:c r="H59" s="183">
        <x:v>26</x:v>
      </x:c>
      <x:c r="I59" s="185"/>
      <x:c r="J59" s="185"/>
      <x:c r="K59" s="185">
        <x:v>12</x:v>
      </x:c>
      <x:c r="L59" s="185"/>
      <x:c r="M59" s="186"/>
      <x:c r="N59" s="243">
        <x:f t="shared" si="2"/>
        <x:v>12</x:v>
      </x:c>
      <x:c r="O59" s="245">
        <x:f t="shared" si="3"/>
        <x:v>82800</x:v>
      </x:c>
      <x:c r="P59" s="189">
        <x:f>캠퍼스타운_외부원두영업!I59+잇다카페_외부원두영업!I59+푸른솔!J59+의과대학!I59+중앙도서관!I59+학생회관!I59+제2기숙사!I59+멀티미디어관!I59+선승관!I59+예술디자인대!I59+공학관!I59</x:f>
        <x:v>0</x:v>
      </x:c>
      <x:c r="Q59" s="229">
        <x:f>캠퍼스타운_외부원두영업!J59+잇다카페_외부원두영업!J59+푸른솔!K59+의과대학!J59+중앙도서관!J59+학생회관!J59+멀티미디어관!J59+제2기숙사!J59+선승관!J59+예술디자인대!J59+공학관!J59</x:f>
        <x:v>3</x:v>
      </x:c>
      <x:c r="R59" s="229">
        <x:f>캠퍼스타운_외부원두영업!K59+잇다카페_외부원두영업!K59+푸른솔!L59+의과대학!K59+중앙도서관!K59+학생회관!K59+제2기숙사!K59+멀티미디어관!K59+선승관!K59+예술디자인대!K59+공학관!K59</x:f>
        <x:v>0</x:v>
      </x:c>
      <x:c r="S59" s="229">
        <x:f>캠퍼스타운_외부원두영업!L59+잇다카페_외부원두영업!L59+푸른솔!M59+의과대학!L59+중앙도서관!L59+학생회관!L59+멀티미디어관!L59+제2기숙사!L59+선승관!L59+예술디자인대!L59+공학관!L59</x:f>
        <x:v>0</x:v>
      </x:c>
      <x:c r="T59" s="230">
        <x:f>캠퍼스타운_외부원두영업!M59+잇다카페_외부원두영업!M59+푸른솔!N59+의과대학!M59+중앙도서관!M59+학생회관!M59+멀티미디어관!M59+제2기숙사!M59+선승관!M59+예술디자인대!M59+공학관!M59</x:f>
        <x:v>0</x:v>
      </x:c>
      <x:c r="U59" s="366">
        <x:f t="shared" si="9"/>
        <x:v>3</x:v>
      </x:c>
      <x:c r="V59" s="367">
        <x:f t="shared" si="4"/>
        <x:v>20700</x:v>
      </x:c>
      <x:c r="W59" s="368">
        <x:f t="shared" si="6"/>
        <x:v>35</x:v>
      </x:c>
      <x:c r="X59" s="395">
        <x:f t="shared" si="8"/>
        <x:v>241500</x:v>
      </x:c>
      <x:c r="Y59" s="275">
        <x:v>30</x:v>
      </x:c>
      <x:c r="Z59" s="305">
        <x:v>12</x:v>
      </x:c>
      <x:c r="AA59" s="102">
        <x:f t="shared" si="10"/>
        <x:v>82800</x:v>
      </x:c>
      <x:c r="AB59" s="509"/>
      <x:c r="AC59" s="501"/>
    </x:row>
    <x:row r="60" spans="1:29">
      <x:c r="A60" s="516"/>
      <x:c r="B60" s="378" t="s">
        <x:v>33</x:v>
      </x:c>
      <x:c r="C60" s="179" t="s">
        <x:v>28</x:v>
      </x:c>
      <x:c r="D60" s="179" t="s">
        <x:v>140</x:v>
      </x:c>
      <x:c r="E60" s="255">
        <x:v>6800</x:v>
      </x:c>
      <x:c r="F60" s="181">
        <x:v>6</x:v>
      </x:c>
      <x:c r="G60" s="182">
        <x:v>40800</x:v>
      </x:c>
      <x:c r="H60" s="183">
        <x:v>20</x:v>
      </x:c>
      <x:c r="I60" s="185"/>
      <x:c r="J60" s="237"/>
      <x:c r="K60" s="237">
        <x:v>12</x:v>
      </x:c>
      <x:c r="L60" s="237"/>
      <x:c r="M60" s="388"/>
      <x:c r="N60" s="390">
        <x:f t="shared" si="2"/>
        <x:v>12</x:v>
      </x:c>
      <x:c r="O60" s="391">
        <x:f t="shared" si="3"/>
        <x:v>81600</x:v>
      </x:c>
      <x:c r="P60" s="282">
        <x:f>캠퍼스타운_외부원두영업!I60+잇다카페_외부원두영업!I60+푸른솔!J60+의과대학!I60+중앙도서관!I60+학생회관!I60+제2기숙사!I60+멀티미디어관!I60+선승관!I60+예술디자인대!I60+공학관!I60</x:f>
        <x:v>0</x:v>
      </x:c>
      <x:c r="Q60" s="181">
        <x:f>캠퍼스타운_외부원두영업!J60+잇다카페_외부원두영업!J60+푸른솔!K60+의과대학!J60+중앙도서관!J60+학생회관!J60+멀티미디어관!J60+제2기숙사!J60+선승관!J60+예술디자인대!J60+공학관!J60</x:f>
        <x:v>1</x:v>
      </x:c>
      <x:c r="R60" s="181">
        <x:f>캠퍼스타운_외부원두영업!K60+잇다카페_외부원두영업!K60+푸른솔!L60+의과대학!K60+중앙도서관!K60+학생회관!K60+제2기숙사!K60+멀티미디어관!K60+선승관!K60+예술디자인대!K60+공학관!K60</x:f>
        <x:v>0</x:v>
      </x:c>
      <x:c r="S60" s="181">
        <x:f>캠퍼스타운_외부원두영업!L60+잇다카페_외부원두영업!L60+푸른솔!M60+의과대학!L60+중앙도서관!L60+학생회관!L60+멀티미디어관!L60+제2기숙사!L60+선승관!L60+예술디자인대!L60+공학관!L60</x:f>
        <x:v>0</x:v>
      </x:c>
      <x:c r="T60" s="190">
        <x:f>캠퍼스타운_외부원두영업!M60+잇다카페_외부원두영업!M60+푸른솔!N60+의과대학!M60+중앙도서관!M60+학생회관!M60+멀티미디어관!M60+제2기숙사!M60+선승관!M60+예술디자인대!M60+공학관!M60</x:f>
        <x:v>0</x:v>
      </x:c>
      <x:c r="U60" s="208">
        <x:f t="shared" si="9"/>
        <x:v>1</x:v>
      </x:c>
      <x:c r="V60" s="208">
        <x:f t="shared" si="4"/>
        <x:v>6800</x:v>
      </x:c>
      <x:c r="W60" s="398">
        <x:f t="shared" si="6"/>
        <x:v>31</x:v>
      </x:c>
      <x:c r="X60" s="396">
        <x:f t="shared" si="8"/>
        <x:v>210800</x:v>
      </x:c>
      <x:c r="Y60" s="394">
        <x:v>28</x:v>
      </x:c>
      <x:c r="Z60" s="393">
        <x:v>12</x:v>
      </x:c>
      <x:c r="AA60" s="392">
        <x:f t="shared" si="10"/>
        <x:v>81600</x:v>
      </x:c>
      <x:c r="AB60" s="510"/>
      <x:c r="AC60" s="501"/>
    </x:row>
    <x:row r="61" spans="1:29">
      <x:c r="A61" s="517"/>
      <x:c r="B61" s="378" t="s">
        <x:v>34</x:v>
      </x:c>
      <x:c r="C61" s="179" t="s">
        <x:v>32</x:v>
      </x:c>
      <x:c r="D61" s="179" t="s">
        <x:v>140</x:v>
      </x:c>
      <x:c r="E61" s="255">
        <x:v>15000</x:v>
      </x:c>
      <x:c r="F61" s="181">
        <x:v>4</x:v>
      </x:c>
      <x:c r="G61" s="190">
        <x:v>60000</x:v>
      </x:c>
      <x:c r="H61" s="183">
        <x:v>22</x:v>
      </x:c>
      <x:c r="I61" s="386"/>
      <x:c r="J61" s="185"/>
      <x:c r="K61" s="185">
        <x:v>40</x:v>
      </x:c>
      <x:c r="L61" s="185"/>
      <x:c r="M61" s="387"/>
      <x:c r="N61" s="390">
        <x:f t="shared" si="2"/>
        <x:v>40</x:v>
      </x:c>
      <x:c r="O61" s="391">
        <x:f t="shared" si="3"/>
        <x:v>600000</x:v>
      </x:c>
      <x:c r="P61" s="282">
        <x:f>캠퍼스타운_외부원두영업!I61+잇다카페_외부원두영업!I61+푸른솔!J61+의과대학!I61+중앙도서관!I61+학생회관!I61+제2기숙사!I61+멀티미디어관!I61+선승관!I61+예술디자인대!I61+공학관!I61</x:f>
        <x:v>0</x:v>
      </x:c>
      <x:c r="Q61" s="181">
        <x:f>캠퍼스타운_외부원두영업!J61+잇다카페_외부원두영업!J61+푸른솔!K61+의과대학!J61+중앙도서관!J61+학생회관!J61+멀티미디어관!J61+제2기숙사!J61+선승관!J61+예술디자인대!J61+공학관!J61</x:f>
        <x:v>5</x:v>
      </x:c>
      <x:c r="R61" s="181">
        <x:f>캠퍼스타운_외부원두영업!K61+잇다카페_외부원두영업!K61+푸른솔!L61+의과대학!K61+중앙도서관!K61+학생회관!K61+제2기숙사!K61+멀티미디어관!K61+선승관!K61+예술디자인대!K61+공학관!K61</x:f>
        <x:v>0</x:v>
      </x:c>
      <x:c r="S61" s="181">
        <x:f>캠퍼스타운_외부원두영업!L61+잇다카페_외부원두영업!L61+푸른솔!M61+의과대학!L61+중앙도서관!L61+학생회관!L61+멀티미디어관!L61+제2기숙사!L61+선승관!L61+예술디자인대!L61+공학관!L61</x:f>
        <x:v>8</x:v>
      </x:c>
      <x:c r="T61" s="190">
        <x:f>캠퍼스타운_외부원두영업!M61+잇다카페_외부원두영업!M61+푸른솔!N61+의과대학!M61+중앙도서관!M61+학생회관!M61+멀티미디어관!M61+제2기숙사!M61+선승관!M61+예술디자인대!M61+공학관!M61</x:f>
        <x:v>0</x:v>
      </x:c>
      <x:c r="U61" s="208">
        <x:f t="shared" si="9"/>
        <x:v>13</x:v>
      </x:c>
      <x:c r="V61" s="208">
        <x:f t="shared" si="4"/>
        <x:v>195000</x:v>
      </x:c>
      <x:c r="W61" s="398">
        <x:f t="shared" si="6"/>
        <x:v>49</x:v>
      </x:c>
      <x:c r="X61" s="396">
        <x:f t="shared" si="8"/>
        <x:v>735000</x:v>
      </x:c>
      <x:c r="Y61" s="394">
        <x:v>75</x:v>
      </x:c>
      <x:c r="Z61" s="393">
        <x:v>40</x:v>
      </x:c>
      <x:c r="AA61" s="392">
        <x:f t="shared" si="10"/>
        <x:v>600000</x:v>
      </x:c>
      <x:c r="AB61" s="511"/>
      <x:c r="AC61" s="500"/>
    </x:row>
    <x:row r="62" spans="1:29">
      <x:c r="A62" s="518"/>
      <x:c r="B62" s="378" t="s">
        <x:v>81</x:v>
      </x:c>
      <x:c r="C62" s="351" t="s">
        <x:v>31</x:v>
      </x:c>
      <x:c r="D62" s="351" t="s">
        <x:v>140</x:v>
      </x:c>
      <x:c r="E62" s="352">
        <x:v>5300</x:v>
      </x:c>
      <x:c r="F62" s="353">
        <x:v>6</x:v>
      </x:c>
      <x:c r="G62" s="370">
        <x:v>31800</x:v>
      </x:c>
      <x:c r="H62" s="355">
        <x:v>0</x:v>
      </x:c>
      <x:c r="I62" s="356"/>
      <x:c r="J62" s="356"/>
      <x:c r="K62" s="356"/>
      <x:c r="L62" s="356"/>
      <x:c r="M62" s="357"/>
      <x:c r="N62" s="358">
        <x:f t="shared" si="2"/>
        <x:v>0</x:v>
      </x:c>
      <x:c r="O62" s="359">
        <x:f t="shared" si="3"/>
        <x:v>0</x:v>
      </x:c>
      <x:c r="P62" s="203">
        <x:f>캠퍼스타운_외부원두영업!I62+잇다카페_외부원두영업!I62+푸른솔!J62+의과대학!I62+중앙도서관!I62+학생회관!I62+제2기숙사!I62+멀티미디어관!I62+선승관!I62+예술디자인대!I62+공학관!I62</x:f>
        <x:v>0</x:v>
      </x:c>
      <x:c r="Q62" s="353">
        <x:f>캠퍼스타운_외부원두영업!J62+잇다카페_외부원두영업!J62+푸른솔!K62+의과대학!J62+중앙도서관!J62+학생회관!J62+멀티미디어관!J62+제2기숙사!J62+선승관!J62+예술디자인대!J62+공학관!J62</x:f>
        <x:v>0</x:v>
      </x:c>
      <x:c r="R62" s="353">
        <x:f>캠퍼스타운_외부원두영업!K62+잇다카페_외부원두영업!K62+푸른솔!L62+의과대학!K62+중앙도서관!K62+학생회관!K62+제2기숙사!K62+멀티미디어관!K62+선승관!K62+예술디자인대!K62+공학관!K62</x:f>
        <x:v>0</x:v>
      </x:c>
      <x:c r="S62" s="353">
        <x:f>캠퍼스타운_외부원두영업!L62+잇다카페_외부원두영업!L62+푸른솔!M62+의과대학!L62+중앙도서관!L62+학생회관!L62+멀티미디어관!L62+제2기숙사!L62+선승관!L62+예술디자인대!L62+공학관!L62</x:f>
        <x:v>0</x:v>
      </x:c>
      <x:c r="T62" s="354">
        <x:f>캠퍼스타운_외부원두영업!M62+잇다카페_외부원두영업!M62+푸른솔!N62+의과대학!M62+중앙도서관!M62+학생회관!M62+멀티미디어관!M62+제2기숙사!M62+선승관!M62+예술디자인대!M62+공학관!M62</x:f>
        <x:v>0</x:v>
      </x:c>
      <x:c r="U62" s="360">
        <x:f t="shared" si="9"/>
        <x:v>0</x:v>
      </x:c>
      <x:c r="V62" s="361">
        <x:f t="shared" si="4"/>
        <x:v>0</x:v>
      </x:c>
      <x:c r="W62" s="362">
        <x:f t="shared" si="6"/>
        <x:v>0</x:v>
      </x:c>
      <x:c r="X62" s="363">
        <x:f t="shared" si="8"/>
        <x:v>0</x:v>
      </x:c>
      <x:c r="Y62" s="364">
        <x:v>0</x:v>
      </x:c>
      <x:c r="Z62" s="365"/>
      <x:c r="AA62" s="102">
        <x:f t="shared" si="10"/>
        <x:v>0</x:v>
      </x:c>
      <x:c r="AB62" s="491"/>
      <x:c r="AC62" s="494"/>
    </x:row>
    <x:row r="63" spans="1:29">
      <x:c r="A63" s="519"/>
      <x:c r="B63" s="378" t="s">
        <x:v>89</x:v>
      </x:c>
      <x:c r="C63" s="179" t="s">
        <x:v>31</x:v>
      </x:c>
      <x:c r="D63" s="179" t="s">
        <x:v>140</x:v>
      </x:c>
      <x:c r="E63" s="255">
        <x:v>6600</x:v>
      </x:c>
      <x:c r="F63" s="181">
        <x:v>6</x:v>
      </x:c>
      <x:c r="G63" s="190">
        <x:v>39600</x:v>
      </x:c>
      <x:c r="H63" s="183">
        <x:v>10</x:v>
      </x:c>
      <x:c r="I63" s="386"/>
      <x:c r="J63" s="185"/>
      <x:c r="K63" s="185">
        <x:v>48</x:v>
      </x:c>
      <x:c r="L63" s="185"/>
      <x:c r="M63" s="387"/>
      <x:c r="N63" s="390">
        <x:f t="shared" si="2"/>
        <x:v>48</x:v>
      </x:c>
      <x:c r="O63" s="391">
        <x:f t="shared" si="3"/>
        <x:v>316800</x:v>
      </x:c>
      <x:c r="P63" s="282">
        <x:f>캠퍼스타운_외부원두영업!I63+잇다카페_외부원두영업!I63+푸른솔!J63+의과대학!I63+중앙도서관!I63+학생회관!I63+제2기숙사!I63+멀티미디어관!I63+선승관!I63+예술디자인대!I63+공학관!I63</x:f>
        <x:v>0</x:v>
      </x:c>
      <x:c r="Q63" s="181">
        <x:f>캠퍼스타운_외부원두영업!J63+잇다카페_외부원두영업!J63+푸른솔!K63+의과대학!J63+중앙도서관!J63+학생회관!J63+멀티미디어관!J63+제2기숙사!J63+선승관!J63+예술디자인대!J63+공학관!J63</x:f>
        <x:v>3</x:v>
      </x:c>
      <x:c r="R63" s="181">
        <x:f>캠퍼스타운_외부원두영업!K63+잇다카페_외부원두영업!K63+푸른솔!L63+의과대학!K63+중앙도서관!K63+학생회관!K63+제2기숙사!K63+멀티미디어관!K63+선승관!K63+예술디자인대!K63+공학관!K63</x:f>
        <x:v>0</x:v>
      </x:c>
      <x:c r="S63" s="181">
        <x:f>캠퍼스타운_외부원두영업!L63+잇다카페_외부원두영업!L63+푸른솔!M63+의과대학!L63+중앙도서관!L63+학생회관!L63+멀티미디어관!L63+제2기숙사!L63+선승관!L63+예술디자인대!L63+공학관!L63</x:f>
        <x:v>1</x:v>
      </x:c>
      <x:c r="T63" s="190">
        <x:f>캠퍼스타운_외부원두영업!M63+잇다카페_외부원두영업!M63+푸른솔!N63+의과대학!M63+중앙도서관!M63+학생회관!M63+멀티미디어관!M63+제2기숙사!M63+선승관!M63+예술디자인대!M63+공학관!M63</x:f>
        <x:v>0</x:v>
      </x:c>
      <x:c r="U63" s="208">
        <x:f t="shared" si="9"/>
        <x:v>4</x:v>
      </x:c>
      <x:c r="V63" s="208">
        <x:f t="shared" si="4"/>
        <x:v>26400</x:v>
      </x:c>
      <x:c r="W63" s="398">
        <x:f t="shared" si="6"/>
        <x:v>54</x:v>
      </x:c>
      <x:c r="X63" s="396">
        <x:f t="shared" si="8"/>
        <x:v>356400</x:v>
      </x:c>
      <x:c r="Y63" s="394">
        <x:v>51</x:v>
      </x:c>
      <x:c r="Z63" s="393">
        <x:v>48</x:v>
      </x:c>
      <x:c r="AA63" s="392">
        <x:f t="shared" si="10"/>
        <x:v>316800</x:v>
      </x:c>
      <x:c r="AB63" s="512"/>
      <x:c r="AC63" s="502"/>
    </x:row>
    <x:row r="64" spans="1:29">
      <x:c r="A64" s="518"/>
      <x:c r="B64" s="436" t="s">
        <x:v>94</x:v>
      </x:c>
      <x:c r="C64" s="351" t="s">
        <x:v>25</x:v>
      </x:c>
      <x:c r="D64" s="351" t="s">
        <x:v>140</x:v>
      </x:c>
      <x:c r="E64" s="352">
        <x:v>5600</x:v>
      </x:c>
      <x:c r="F64" s="353">
        <x:v>10</x:v>
      </x:c>
      <x:c r="G64" s="370">
        <x:v>56000</x:v>
      </x:c>
      <x:c r="H64" s="355">
        <x:v>0</x:v>
      </x:c>
      <x:c r="I64" s="356"/>
      <x:c r="J64" s="356"/>
      <x:c r="K64" s="356"/>
      <x:c r="L64" s="356"/>
      <x:c r="M64" s="357"/>
      <x:c r="N64" s="358">
        <x:f t="shared" si="2"/>
        <x:v>0</x:v>
      </x:c>
      <x:c r="O64" s="359">
        <x:f t="shared" si="3"/>
        <x:v>0</x:v>
      </x:c>
      <x:c r="P64" s="203">
        <x:f>캠퍼스타운_외부원두영업!I64+잇다카페_외부원두영업!I64+푸른솔!J64+의과대학!I64+중앙도서관!I64+학생회관!I64+제2기숙사!I64+멀티미디어관!I64+선승관!I64+예술디자인대!I64+공학관!I64</x:f>
        <x:v>0</x:v>
      </x:c>
      <x:c r="Q64" s="353">
        <x:f>캠퍼스타운_외부원두영업!J64+잇다카페_외부원두영업!J64+푸른솔!K64+의과대학!J64+중앙도서관!J64+학생회관!J64+멀티미디어관!J64+제2기숙사!J64+선승관!J64+예술디자인대!J64+공학관!J64</x:f>
        <x:v>0</x:v>
      </x:c>
      <x:c r="R64" s="353">
        <x:f>캠퍼스타운_외부원두영업!K64+잇다카페_외부원두영업!K64+푸른솔!L64+의과대학!K64+중앙도서관!K64+학생회관!K64+제2기숙사!K64+멀티미디어관!K64+선승관!K64+예술디자인대!K64+공학관!K64</x:f>
        <x:v>0</x:v>
      </x:c>
      <x:c r="S64" s="353">
        <x:f>캠퍼스타운_외부원두영업!L64+잇다카페_외부원두영업!L64+푸른솔!M64+의과대학!L64+중앙도서관!L64+학생회관!L64+멀티미디어관!L64+제2기숙사!L64+선승관!L64+예술디자인대!L64+공학관!L64</x:f>
        <x:v>0</x:v>
      </x:c>
      <x:c r="T64" s="354">
        <x:f>캠퍼스타운_외부원두영업!M64+잇다카페_외부원두영업!M64+푸른솔!N64+의과대학!M64+중앙도서관!M64+학생회관!M64+멀티미디어관!M64+제2기숙사!M64+선승관!M64+예술디자인대!M64+공학관!M64</x:f>
        <x:v>0</x:v>
      </x:c>
      <x:c r="U64" s="360">
        <x:f t="shared" si="9"/>
        <x:v>0</x:v>
      </x:c>
      <x:c r="V64" s="361">
        <x:f t="shared" si="4"/>
        <x:v>0</x:v>
      </x:c>
      <x:c r="W64" s="362">
        <x:f t="shared" si="6"/>
        <x:v>0</x:v>
      </x:c>
      <x:c r="X64" s="363">
        <x:f t="shared" si="8"/>
        <x:v>0</x:v>
      </x:c>
      <x:c r="Y64" s="364">
        <x:v>0</x:v>
      </x:c>
      <x:c r="Z64" s="365"/>
      <x:c r="AA64" s="102">
        <x:f t="shared" si="10"/>
        <x:v>0</x:v>
      </x:c>
      <x:c r="AB64" s="491"/>
      <x:c r="AC64" s="494"/>
    </x:row>
    <x:row r="65" spans="1:29">
      <x:c r="A65" s="519"/>
      <x:c r="B65" s="378" t="s">
        <x:v>148</x:v>
      </x:c>
      <x:c r="C65" s="179" t="s">
        <x:v>127</x:v>
      </x:c>
      <x:c r="D65" s="179" t="s">
        <x:v>140</x:v>
      </x:c>
      <x:c r="E65" s="265">
        <x:v>7000</x:v>
      </x:c>
      <x:c r="F65" s="229">
        <x:v>6</x:v>
      </x:c>
      <x:c r="G65" s="234">
        <x:f>F65*E65</x:f>
        <x:v>42000</x:v>
      </x:c>
      <x:c r="H65" s="389">
        <x:v>19</x:v>
      </x:c>
      <x:c r="I65" s="439"/>
      <x:c r="J65" s="185"/>
      <x:c r="K65" s="185">
        <x:v>24</x:v>
      </x:c>
      <x:c r="L65" s="185"/>
      <x:c r="M65" s="387"/>
      <x:c r="N65" s="390">
        <x:f t="shared" si="2"/>
        <x:v>24</x:v>
      </x:c>
      <x:c r="O65" s="391">
        <x:f t="shared" si="3"/>
        <x:v>168000</x:v>
      </x:c>
      <x:c r="P65" s="282">
        <x:f>캠퍼스타운_외부원두영업!I65+잇다카페_외부원두영업!I65+푸른솔!J65+의과대학!I65+중앙도서관!I65+학생회관!I65+제2기숙사!I65+멀티미디어관!I65+선승관!I65+예술디자인대!I65+공학관!I65</x:f>
        <x:v>0</x:v>
      </x:c>
      <x:c r="Q65" s="181">
        <x:f>캠퍼스타운_외부원두영업!J65+잇다카페_외부원두영업!J65+푸른솔!K65+의과대학!J65+중앙도서관!J65+학생회관!J65+멀티미디어관!J65+제2기숙사!J65+선승관!J65+예술디자인대!J65+공학관!J65</x:f>
        <x:v>4</x:v>
      </x:c>
      <x:c r="R65" s="181">
        <x:f>캠퍼스타운_외부원두영업!K65+잇다카페_외부원두영업!K65+푸른솔!L65+의과대학!K65+중앙도서관!K65+학생회관!K65+제2기숙사!K65+멀티미디어관!K65+선승관!K65+예술디자인대!K65+공학관!K65</x:f>
        <x:v>0</x:v>
      </x:c>
      <x:c r="S65" s="181">
        <x:f>캠퍼스타운_외부원두영업!L65+잇다카페_외부원두영업!L65+푸른솔!M65+의과대학!L65+중앙도서관!L65+학생회관!L65+멀티미디어관!L65+제2기숙사!L65+선승관!L65+예술디자인대!L65+공학관!L65</x:f>
        <x:v>2</x:v>
      </x:c>
      <x:c r="T65" s="230">
        <x:f>캠퍼스타운_외부원두영업!M65+잇다카페_외부원두영업!M65+푸른솔!N65+의과대학!M65+중앙도서관!M65+학생회관!M65+멀티미디어관!M65+제2기숙사!M65+선승관!M65+예술디자인대!M65+공학관!M65</x:f>
        <x:v>0</x:v>
      </x:c>
      <x:c r="U65" s="442">
        <x:f>P65+Q65+R65+S65+T65</x:f>
        <x:v>6</x:v>
      </x:c>
      <x:c r="V65" s="442">
        <x:f>E65*U65</x:f>
        <x:v>42000</x:v>
      </x:c>
      <x:c r="W65" s="440">
        <x:f>(H65+N65)-U65</x:f>
        <x:v>37</x:v>
      </x:c>
      <x:c r="X65" s="395">
        <x:f t="shared" si="8"/>
        <x:v>259000</x:v>
      </x:c>
      <x:c r="Y65" s="394">
        <x:v>40</x:v>
      </x:c>
      <x:c r="Z65" s="393">
        <x:v>24</x:v>
      </x:c>
      <x:c r="AA65" s="392">
        <x:f t="shared" si="10"/>
        <x:v>168000</x:v>
      </x:c>
      <x:c r="AB65" s="512"/>
      <x:c r="AC65" s="502"/>
    </x:row>
    <x:row r="66" spans="1:29">
      <x:c r="A66" s="520"/>
      <x:c r="B66" s="437" t="s">
        <x:v>42</x:v>
      </x:c>
      <x:c r="C66" s="209" t="s">
        <x:v>41</x:v>
      </x:c>
      <x:c r="D66" s="179" t="s">
        <x:v>140</x:v>
      </x:c>
      <x:c r="E66" s="255">
        <x:v>14100</x:v>
      </x:c>
      <x:c r="F66" s="181">
        <x:v>4</x:v>
      </x:c>
      <x:c r="G66" s="190">
        <x:v>56400</x:v>
      </x:c>
      <x:c r="H66" s="211">
        <x:v>22</x:v>
      </x:c>
      <x:c r="I66" s="386"/>
      <x:c r="J66" s="213"/>
      <x:c r="K66" s="213"/>
      <x:c r="L66" s="213"/>
      <x:c r="M66" s="214"/>
      <x:c r="N66" s="215">
        <x:f t="shared" si="2"/>
        <x:v>0</x:v>
      </x:c>
      <x:c r="O66" s="216">
        <x:f t="shared" si="3"/>
        <x:v>0</x:v>
      </x:c>
      <x:c r="P66" s="203">
        <x:f>캠퍼스타운_외부원두영업!I66+잇다카페_외부원두영업!I66+푸른솔!J66+의과대학!I66+중앙도서관!I66+학생회관!I66+제2기숙사!I66+멀티미디어관!I66+선승관!I66+예술디자인대!I66+공학관!I66</x:f>
        <x:v>0</x:v>
      </x:c>
      <x:c r="Q66" s="210">
        <x:f>캠퍼스타운_외부원두영업!J66+잇다카페_외부원두영업!J66+푸른솔!K66+의과대학!J66+중앙도서관!J66+학생회관!J66+멀티미디어관!J66+제2기숙사!J66+선승관!J66+예술디자인대!J66+공학관!J66</x:f>
        <x:v>3</x:v>
      </x:c>
      <x:c r="R66" s="210">
        <x:f>캠퍼스타운_외부원두영업!K66+잇다카페_외부원두영업!K66+푸른솔!L66+의과대학!K66+중앙도서관!K66+학생회관!K66+제2기숙사!K66+멀티미디어관!K66+선승관!K66+예술디자인대!K66+공학관!K66</x:f>
        <x:v>0</x:v>
      </x:c>
      <x:c r="S66" s="210">
        <x:f>캠퍼스타운_외부원두영업!L66+잇다카페_외부원두영업!L66+푸른솔!M66+의과대학!L66+중앙도서관!L66+학생회관!L66+멀티미디어관!L66+제2기숙사!L66+선승관!L66+예술디자인대!L66+공학관!L66</x:f>
        <x:v>1</x:v>
      </x:c>
      <x:c r="T66" s="190">
        <x:f>캠퍼스타운_외부원두영업!M66+잇다카페_외부원두영업!M66+푸른솔!N66+의과대학!M66+중앙도서관!M66+학생회관!M66+멀티미디어관!M66+제2기숙사!M66+선승관!M66+예술디자인대!M66+공학관!M66</x:f>
        <x:v>0</x:v>
      </x:c>
      <x:c r="U66" s="208">
        <x:f t="shared" si="9"/>
        <x:v>4</x:v>
      </x:c>
      <x:c r="V66" s="208">
        <x:f t="shared" si="4"/>
        <x:v>56400</x:v>
      </x:c>
      <x:c r="W66" s="441">
        <x:f t="shared" si="6"/>
        <x:v>18</x:v>
      </x:c>
      <x:c r="X66" s="194">
        <x:f t="shared" si="8"/>
        <x:v>253800</x:v>
      </x:c>
      <x:c r="Y66" s="273">
        <x:v>17</x:v>
      </x:c>
      <x:c r="Z66" s="372"/>
      <x:c r="AA66" s="99">
        <x:f t="shared" si="10"/>
        <x:v>0</x:v>
      </x:c>
      <x:c r="AB66" s="513"/>
      <x:c r="AC66" s="503"/>
    </x:row>
    <x:row r="67" spans="1:29">
      <x:c r="A67" s="521"/>
      <x:c r="B67" s="438" t="s">
        <x:v>38</x:v>
      </x:c>
      <x:c r="C67" s="179" t="s">
        <x:v>41</x:v>
      </x:c>
      <x:c r="D67" s="179" t="s">
        <x:v>140</x:v>
      </x:c>
      <x:c r="E67" s="255">
        <x:v>15100</x:v>
      </x:c>
      <x:c r="F67" s="181">
        <x:v>4</x:v>
      </x:c>
      <x:c r="G67" s="182">
        <x:v>60400</x:v>
      </x:c>
      <x:c r="H67" s="183">
        <x:v>17</x:v>
      </x:c>
      <x:c r="I67" s="185"/>
      <x:c r="J67" s="185"/>
      <x:c r="K67" s="185"/>
      <x:c r="L67" s="185"/>
      <x:c r="M67" s="186"/>
      <x:c r="N67" s="187">
        <x:f t="shared" si="2"/>
        <x:v>0</x:v>
      </x:c>
      <x:c r="O67" s="188">
        <x:f t="shared" si="3"/>
        <x:v>0</x:v>
      </x:c>
      <x:c r="P67" s="189">
        <x:f>캠퍼스타운_외부원두영업!I67+잇다카페_외부원두영업!I67+푸른솔!J67+의과대학!I67+중앙도서관!I67+학생회관!I67+제2기숙사!I67+멀티미디어관!I67+선승관!I67+예술디자인대!I67+공학관!I67</x:f>
        <x:v>0</x:v>
      </x:c>
      <x:c r="Q67" s="181">
        <x:f>캠퍼스타운_외부원두영업!J67+잇다카페_외부원두영업!J67+푸른솔!K67+의과대학!J67+중앙도서관!J67+학생회관!J67+멀티미디어관!J67+제2기숙사!J67+선승관!J67+예술디자인대!J67+공학관!J67</x:f>
        <x:v>0</x:v>
      </x:c>
      <x:c r="R67" s="181">
        <x:f>캠퍼스타운_외부원두영업!K67+잇다카페_외부원두영업!K67+푸른솔!L67+의과대학!K67+중앙도서관!K67+학생회관!K67+제2기숙사!K67+멀티미디어관!K67+선승관!K67+예술디자인대!K67+공학관!K67</x:f>
        <x:v>0</x:v>
      </x:c>
      <x:c r="S67" s="181">
        <x:f>캠퍼스타운_외부원두영업!L67+잇다카페_외부원두영업!L67+푸른솔!M67+의과대학!L67+중앙도서관!L67+학생회관!L67+멀티미디어관!L67+제2기숙사!L67+선승관!L67+예술디자인대!L67+공학관!L67</x:f>
        <x:v>2</x:v>
      </x:c>
      <x:c r="T67" s="190">
        <x:f>캠퍼스타운_외부원두영업!M67+잇다카페_외부원두영업!M67+푸른솔!N67+의과대학!M67+중앙도서관!M67+학생회관!M67+멀티미디어관!M67+제2기숙사!M67+선승관!M67+예술디자인대!M67+공학관!M67</x:f>
        <x:v>0</x:v>
      </x:c>
      <x:c r="U67" s="191">
        <x:f t="shared" si="9"/>
        <x:v>2</x:v>
      </x:c>
      <x:c r="V67" s="192">
        <x:f t="shared" si="4"/>
        <x:v>30200</x:v>
      </x:c>
      <x:c r="W67" s="193">
        <x:f t="shared" si="6"/>
        <x:v>15</x:v>
      </x:c>
      <x:c r="X67" s="194">
        <x:f t="shared" si="8"/>
        <x:v>226500</x:v>
      </x:c>
      <x:c r="Y67" s="274">
        <x:v>13</x:v>
      </x:c>
      <x:c r="Z67" s="302"/>
      <x:c r="AA67" s="99">
        <x:f t="shared" si="10"/>
        <x:v>0</x:v>
      </x:c>
      <x:c r="AB67" s="509"/>
      <x:c r="AC67" s="501"/>
    </x:row>
    <x:row r="68" spans="1:29">
      <x:c r="A68" s="517"/>
      <x:c r="B68" s="375" t="s">
        <x:v>39</x:v>
      </x:c>
      <x:c r="C68" s="220" t="s">
        <x:v>32</x:v>
      </x:c>
      <x:c r="D68" s="220" t="s">
        <x:v>140</x:v>
      </x:c>
      <x:c r="E68" s="263">
        <x:v>15300</x:v>
      </x:c>
      <x:c r="F68" s="221">
        <x:v>4</x:v>
      </x:c>
      <x:c r="G68" s="239">
        <x:v>61200</x:v>
      </x:c>
      <x:c r="H68" s="235">
        <x:v>30</x:v>
      </x:c>
      <x:c r="I68" s="237"/>
      <x:c r="J68" s="237"/>
      <x:c r="K68" s="237"/>
      <x:c r="L68" s="237"/>
      <x:c r="M68" s="238"/>
      <x:c r="N68" s="243">
        <x:f t="shared" si="2"/>
        <x:v>0</x:v>
      </x:c>
      <x:c r="O68" s="245">
        <x:f t="shared" si="3"/>
        <x:v>0</x:v>
      </x:c>
      <x:c r="P68" s="189">
        <x:f>캠퍼스타운_외부원두영업!I68+잇다카페_외부원두영업!I68+푸른솔!J68+의과대학!I68+중앙도서관!I68+학생회관!I68+제2기숙사!I68+멀티미디어관!I68+선승관!I68+예술디자인대!I68+공학관!I68</x:f>
        <x:v>0</x:v>
      </x:c>
      <x:c r="Q68" s="229">
        <x:f>캠퍼스타운_외부원두영업!J68+잇다카페_외부원두영업!J68+푸른솔!K68+의과대학!J68+중앙도서관!J68+학생회관!J68+멀티미디어관!J68+제2기숙사!J68+선승관!J68+예술디자인대!J68+공학관!J68</x:f>
        <x:v>3</x:v>
      </x:c>
      <x:c r="R68" s="229">
        <x:f>캠퍼스타운_외부원두영업!K68+잇다카페_외부원두영업!K68+푸른솔!L68+의과대학!K68+중앙도서관!K68+학생회관!K68+제2기숙사!K68+멀티미디어관!K68+선승관!K68+예술디자인대!K68+공학관!K68</x:f>
        <x:v>0</x:v>
      </x:c>
      <x:c r="S68" s="221">
        <x:f>캠퍼스타운_외부원두영업!L68+잇다카페_외부원두영업!L68+푸른솔!M68+의과대학!L68+중앙도서관!L68+학생회관!L68+멀티미디어관!L68+제2기숙사!L68+선승관!L68+예술디자인대!L68+공학관!L68</x:f>
        <x:v>1</x:v>
      </x:c>
      <x:c r="T68" s="239">
        <x:f>캠퍼스타운_외부원두영업!M68+잇다카페_외부원두영업!M68+푸른솔!N68+의과대학!M68+중앙도서관!M68+학생회관!M68+멀티미디어관!M68+제2기숙사!M68+선승관!M68+예술디자인대!M68+공학관!M68</x:f>
        <x:v>0</x:v>
      </x:c>
      <x:c r="U68" s="240">
        <x:f t="shared" si="9"/>
        <x:v>4</x:v>
      </x:c>
      <x:c r="V68" s="231">
        <x:f t="shared" si="4"/>
        <x:v>61200</x:v>
      </x:c>
      <x:c r="W68" s="443">
        <x:f t="shared" si="6"/>
        <x:v>26</x:v>
      </x:c>
      <x:c r="X68" s="233">
        <x:f t="shared" si="8"/>
        <x:v>397800</x:v>
      </x:c>
      <x:c r="Y68" s="275">
        <x:v>28</x:v>
      </x:c>
      <x:c r="Z68" s="302"/>
      <x:c r="AA68" s="104">
        <x:f t="shared" si="10"/>
        <x:v>0</x:v>
      </x:c>
      <x:c r="AB68" s="508"/>
      <x:c r="AC68" s="500"/>
    </x:row>
    <x:row r="69" spans="1:29">
      <x:c r="A69" s="515" t="s">
        <x:v>107</x:v>
      </x:c>
      <x:c r="B69" s="373" t="s">
        <x:v>77</x:v>
      </x:c>
      <x:c r="C69" s="373" t="s">
        <x:v>37</x:v>
      </x:c>
      <x:c r="D69" s="163" t="s">
        <x:v>140</x:v>
      </x:c>
      <x:c r="E69" s="445">
        <x:v>11000</x:v>
      </x:c>
      <x:c r="F69" s="434">
        <x:v>10</x:v>
      </x:c>
      <x:c r="G69" s="371">
        <x:v>110000</x:v>
      </x:c>
      <x:c r="H69" s="167">
        <x:v>188</x:v>
      </x:c>
      <x:c r="I69" s="169"/>
      <x:c r="J69" s="169"/>
      <x:c r="K69" s="169">
        <x:v>0</x:v>
      </x:c>
      <x:c r="L69" s="169"/>
      <x:c r="M69" s="170"/>
      <x:c r="N69" s="432">
        <x:f t="shared" si="2"/>
        <x:v>0</x:v>
      </x:c>
      <x:c r="O69" s="433">
        <x:f t="shared" si="3"/>
        <x:v>0</x:v>
      </x:c>
      <x:c r="P69" s="434">
        <x:f>캠퍼스타운_외부원두영업!I69+잇다카페_외부원두영업!I69+푸른솔!J69+의과대학!I69+중앙도서관!I69+학생회관!I69+제2기숙사!I69+멀티미디어관!I69+선승관!I69+예술디자인대!I69+공학관!I69</x:f>
        <x:v>0</x:v>
      </x:c>
      <x:c r="Q69" s="165">
        <x:f>캠퍼스타운_외부원두영업!J69+잇다카페_외부원두영업!J69+푸른솔!K69+의과대학!J69+중앙도서관!J69+학생회관!J69+멀티미디어관!J69+제2기숙사!J69+선승관!J69+예술디자인대!J69+공학관!J69</x:f>
        <x:v>32</x:v>
      </x:c>
      <x:c r="R69" s="165">
        <x:f>캠퍼스타운_외부원두영업!K69+잇다카페_외부원두영업!K69+푸른솔!L69+의과대학!K69+중앙도서관!K69+학생회관!K69+제2기숙사!K69+멀티미디어관!K69+선승관!K69+예술디자인대!K69+공학관!K69</x:f>
        <x:v>0</x:v>
      </x:c>
      <x:c r="S69" s="229">
        <x:f>캠퍼스타운_외부원두영업!L69+잇다카페_외부원두영업!L69+푸른솔!M69+의과대학!L69+중앙도서관!L69+학생회관!L69+멀티미디어관!L69+제2기숙사!L69+선승관!L69+예술디자인대!L69+공학관!L69</x:f>
        <x:v>77</x:v>
      </x:c>
      <x:c r="T69" s="174">
        <x:f>캠퍼스타운_외부원두영업!M69+잇다카페_외부원두영업!M69+푸른솔!N69+의과대학!M69+중앙도서관!M69+학생회관!M69+멀티미디어관!M69+제2기숙사!M69+선승관!M69+예술디자인대!M69+공학관!M69</x:f>
        <x:v>0</x:v>
      </x:c>
      <x:c r="U69" s="208">
        <x:f t="shared" si="9"/>
        <x:v>109</x:v>
      </x:c>
      <x:c r="V69" s="208">
        <x:f t="shared" si="4"/>
        <x:v>1199000</x:v>
      </x:c>
      <x:c r="W69" s="444">
        <x:f t="shared" si="6"/>
        <x:v>79</x:v>
      </x:c>
      <x:c r="X69" s="397">
        <x:f t="shared" si="8"/>
        <x:v>869000</x:v>
      </x:c>
      <x:c r="Y69" s="276">
        <x:v>775</x:v>
      </x:c>
      <x:c r="Z69" s="303">
        <x:v>0</x:v>
      </x:c>
      <x:c r="AA69" s="103">
        <x:f t="shared" si="10"/>
        <x:v>0</x:v>
      </x:c>
      <x:c r="AB69" s="490">
        <x:f>SUM(AA69:AA71)</x:f>
        <x:v>4200000</x:v>
      </x:c>
      <x:c r="AC69" s="493">
        <x:f>AB69*1.1</x:f>
        <x:v>4620000</x:v>
      </x:c>
    </x:row>
    <x:row r="70" spans="1:29">
      <x:c r="A70" s="518"/>
      <x:c r="B70" s="374" t="s">
        <x:v>129</x:v>
      </x:c>
      <x:c r="C70" s="351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355"/>
      <x:c r="I70" s="356"/>
      <x:c r="J70" s="356"/>
      <x:c r="K70" s="356">
        <x:v>100</x:v>
      </x:c>
      <x:c r="L70" s="356"/>
      <x:c r="M70" s="357">
        <x:v>200</x:v>
      </x:c>
      <x:c r="N70" s="390">
        <x:f t="shared" si="2"/>
        <x:v>300</x:v>
      </x:c>
      <x:c r="O70" s="391">
        <x:f t="shared" si="3"/>
        <x:v>4200000</x:v>
      </x:c>
      <x:c r="P70" s="282">
        <x:f>캠퍼스타운_외부원두영업!I70+잇다카페_외부원두영업!I70+푸른솔!J70+의과대학!I70+중앙도서관!I70+학생회관!I70+제2기숙사!I70+멀티미디어관!I70+선승관!I70+예술디자인대!I70+공학관!I70</x:f>
        <x:v>0</x:v>
      </x:c>
      <x:c r="Q70" s="181">
        <x:f>캠퍼스타운_외부원두영업!J70+잇다카페_외부원두영업!J70+푸른솔!K70+의과대학!J70+중앙도서관!J70+학생회관!J70+멀티미디어관!J70+제2기숙사!J70+선승관!J70+예술디자인대!J70+공학관!J70</x:f>
        <x:v>0</x:v>
      </x:c>
      <x:c r="R70" s="181">
        <x:f>캠퍼스타운_외부원두영업!K70+잇다카페_외부원두영업!K70+푸른솔!L70+의과대학!K70+중앙도서관!K70+학생회관!K70+제2기숙사!K70+멀티미디어관!K70+선승관!K70+예술디자인대!K70+공학관!K70</x:f>
        <x:v>0</x:v>
      </x:c>
      <x:c r="S70" s="181">
        <x:f>캠퍼스타운_외부원두영업!L70+잇다카페_외부원두영업!L70+푸른솔!M70+의과대학!L70+중앙도서관!L70+학생회관!L70+멀티미디어관!L70+제2기숙사!L70+선승관!L70+예술디자인대!L70+공학관!L70</x:f>
        <x:v>0</x:v>
      </x:c>
      <x:c r="T70" s="190">
        <x:f>캠퍼스타운_외부원두영업!M70+잇다카페_외부원두영업!M70+푸른솔!N70+의과대학!M70+중앙도서관!M70+학생회관!M70+멀티미디어관!M70+제2기숙사!M70+선승관!M70+예술디자인대!M70+공학관!M70</x:f>
        <x:v>0</x:v>
      </x:c>
      <x:c r="U70" s="208">
        <x:f t="shared" si="9"/>
        <x:v>0</x:v>
      </x:c>
      <x:c r="V70" s="208">
        <x:f t="shared" si="4"/>
        <x:v>0</x:v>
      </x:c>
      <x:c r="W70" s="398">
        <x:f t="shared" si="6"/>
        <x:v>300</x:v>
      </x:c>
      <x:c r="X70" s="397">
        <x:f t="shared" si="8"/>
        <x:v>4200000</x:v>
      </x:c>
      <x:c r="Y70" s="364"/>
      <x:c r="Z70" s="365">
        <x:v>300</x:v>
      </x:c>
      <x:c r="AA70" s="392">
        <x:f t="shared" si="10"/>
        <x:v>4200000</x:v>
      </x:c>
      <x:c r="AB70" s="491"/>
      <x:c r="AC70" s="494"/>
    </x:row>
    <x:row r="71" spans="1:29">
      <x:c r="A71" s="525"/>
      <x:c r="B71" s="375" t="s">
        <x:v>90</x:v>
      </x:c>
      <x:c r="C71" s="220" t="s">
        <x:v>37</x:v>
      </x:c>
      <x:c r="D71" s="220" t="s">
        <x:v>140</x:v>
      </x:c>
      <x:c r="E71" s="263">
        <x:v>19000</x:v>
      </x:c>
      <x:c r="F71" s="221">
        <x:v>10</x:v>
      </x:c>
      <x:c r="G71" s="239">
        <x:v>190000</x:v>
      </x:c>
      <x:c r="H71" s="222">
        <x:v>0</x:v>
      </x:c>
      <x:c r="I71" s="224"/>
      <x:c r="J71" s="224"/>
      <x:c r="K71" s="224"/>
      <x:c r="L71" s="224"/>
      <x:c r="M71" s="225"/>
      <x:c r="N71" s="226">
        <x:f t="shared" si="2"/>
        <x:v>0</x:v>
      </x:c>
      <x:c r="O71" s="227">
        <x:f t="shared" si="3"/>
        <x:v>0</x:v>
      </x:c>
      <x:c r="P71" s="228">
        <x:f>캠퍼스타운_외부원두영업!I71+잇다카페_외부원두영업!I71+푸른솔!J71+의과대학!I71+중앙도서관!I71+학생회관!I71+제2기숙사!I71+멀티미디어관!I71+선승관!I71+예술디자인대!I71+공학관!I71</x:f>
        <x:v>0</x:v>
      </x:c>
      <x:c r="Q71" s="221">
        <x:f>캠퍼스타운_외부원두영업!J71+잇다카페_외부원두영업!J71+푸른솔!K71+의과대학!J71+중앙도서관!J71+학생회관!J71+멀티미디어관!J71+제2기숙사!J71+선승관!J71+예술디자인대!J71+공학관!J71</x:f>
        <x:v>0</x:v>
      </x:c>
      <x:c r="R71" s="430">
        <x:f>캠퍼스타운_외부원두영업!K71+잇다카페_외부원두영업!K71+푸른솔!L71+의과대학!K71+중앙도서관!K71+학생회관!K71+제2기숙사!K71+멀티미디어관!K71+선승관!K71+예술디자인대!K71+공학관!K71</x:f>
        <x:v>0</x:v>
      </x:c>
      <x:c r="S71" s="221">
        <x:f>캠퍼스타운_외부원두영업!L71+잇다카페_외부원두영업!L71+푸른솔!M71+의과대학!L71+중앙도서관!L71+학생회관!L71+멀티미디어관!L71+제2기숙사!L71+선승관!L71+예술디자인대!L71+공학관!L71</x:f>
        <x:v>0</x:v>
      </x:c>
      <x:c r="T71" s="431">
        <x:f>캠퍼스타운_외부원두영업!M71+잇다카페_외부원두영업!M71+푸른솔!N71+의과대학!M71+중앙도서관!M71+학생회관!M71+멀티미디어관!M71+제2기숙사!M71+선승관!M71+예술디자인대!M71+공학관!M71</x:f>
        <x:v>0</x:v>
      </x:c>
      <x:c r="U71" s="240">
        <x:f t="shared" si="9"/>
        <x:v>0</x:v>
      </x:c>
      <x:c r="V71" s="231">
        <x:f t="shared" si="4"/>
        <x:v>0</x:v>
      </x:c>
      <x:c r="W71" s="232">
        <x:f t="shared" si="6"/>
        <x:v>0</x:v>
      </x:c>
      <x:c r="X71" s="233">
        <x:f t="shared" si="8"/>
        <x:v>0</x:v>
      </x:c>
      <x:c r="Y71" s="277">
        <x:v>28</x:v>
      </x:c>
      <x:c r="Z71" s="304">
        <x:v>0</x:v>
      </x:c>
      <x:c r="AA71" s="106">
        <x:f t="shared" si="10"/>
        <x:v>0</x:v>
      </x:c>
      <x:c r="AB71" s="492"/>
      <x:c r="AC71" s="495"/>
    </x:row>
    <x:row r="72" spans="1:29" ht="16.75">
      <x:c r="A72" s="522" t="s">
        <x:v>40</x:v>
      </x:c>
      <x:c r="B72" s="383" t="s">
        <x:v>100</x:v>
      </x:c>
      <x:c r="C72" s="163" t="s">
        <x:v>44</x:v>
      </x:c>
      <x:c r="D72" s="163" t="s">
        <x:v>68</x:v>
      </x:c>
      <x:c r="E72" s="264">
        <x:v>4000</x:v>
      </x:c>
      <x:c r="F72" s="165">
        <x:v>1</x:v>
      </x:c>
      <x:c r="G72" s="174">
        <x:v>4000</x:v>
      </x:c>
      <x:c r="H72" s="167">
        <x:v>4</x:v>
      </x:c>
      <x:c r="I72" s="168"/>
      <x:c r="J72" s="169"/>
      <x:c r="K72" s="169"/>
      <x:c r="L72" s="169"/>
      <x:c r="M72" s="170"/>
      <x:c r="N72" s="215">
        <x:f t="shared" si="2"/>
        <x:v>0</x:v>
      </x:c>
      <x:c r="O72" s="216">
        <x:f t="shared" si="3"/>
        <x:v>0</x:v>
      </x:c>
      <x:c r="P72" s="203">
        <x:f>캠퍼스타운_외부원두영업!I72+잇다카페_외부원두영업!I72+푸른솔!J72+의과대학!I72+중앙도서관!I72+학생회관!I72+제2기숙사!I72+멀티미디어관!I72+선승관!I72+예술디자인대!I72+공학관!I72</x:f>
        <x:v>0</x:v>
      </x:c>
      <x:c r="Q72" s="210">
        <x:f>캠퍼스타운_외부원두영업!J72+잇다카페_외부원두영업!J72+푸른솔!K72+의과대학!J72+중앙도서관!J72+학생회관!J72+멀티미디어관!J72+제2기숙사!J72+선승관!J72+예술디자인대!J72+공학관!J72</x:f>
        <x:v>0</x:v>
      </x:c>
      <x:c r="R72" s="210">
        <x:f>캠퍼스타운_외부원두영업!K72+잇다카페_외부원두영업!K72+푸른솔!L72+의과대학!K72+중앙도서관!K72+학생회관!K72+제2기숙사!K72+멀티미디어관!K72+선승관!K72+예술디자인대!K72+공학관!K72</x:f>
        <x:v>0</x:v>
      </x:c>
      <x:c r="S72" s="210">
        <x:f>캠퍼스타운_외부원두영업!L72+잇다카페_외부원두영업!L72+푸른솔!M72+의과대학!L72+중앙도서관!L72+학생회관!L72+멀티미디어관!L72+제2기숙사!L72+선승관!L72+예술디자인대!L72+공학관!L72</x:f>
        <x:v>1</x:v>
      </x:c>
      <x:c r="T72" s="241">
        <x:f>캠퍼스타운_외부원두영업!M72+잇다카페_외부원두영업!M72+푸른솔!N72+의과대학!M72+중앙도서관!M72+학생회관!M72+멀티미디어관!M72+제2기숙사!M72+선승관!M72+예술디자인대!M72+공학관!M72</x:f>
        <x:v>0</x:v>
      </x:c>
      <x:c r="U72" s="175">
        <x:f t="shared" si="9"/>
        <x:v>1</x:v>
      </x:c>
      <x:c r="V72" s="176">
        <x:f t="shared" si="4"/>
        <x:v>4000</x:v>
      </x:c>
      <x:c r="W72" s="177">
        <x:f t="shared" si="6"/>
        <x:v>3</x:v>
      </x:c>
      <x:c r="X72" s="178">
        <x:f>E72*W72</x:f>
        <x:v>12000</x:v>
      </x:c>
      <x:c r="Y72" s="276">
        <x:v>24</x:v>
      </x:c>
      <x:c r="Z72" s="306">
        <x:v>0</x:v>
      </x:c>
      <x:c r="AA72" s="78">
        <x:f t="shared" si="10"/>
        <x:v>0</x:v>
      </x:c>
      <x:c r="AB72" s="496">
        <x:f>SUM(AA72:AA75)</x:f>
        <x:v>0</x:v>
      </x:c>
      <x:c r="AC72" s="504">
        <x:f>AB72*1.1</x:f>
        <x:v>0</x:v>
      </x:c>
    </x:row>
    <x:row r="73" spans="1:29">
      <x:c r="A73" s="523"/>
      <x:c r="B73" s="378" t="s">
        <x:v>110</x:v>
      </x:c>
      <x:c r="C73" s="179" t="s">
        <x:v>44</x:v>
      </x:c>
      <x:c r="D73" s="179" t="s">
        <x:v>68</x:v>
      </x:c>
      <x:c r="E73" s="255">
        <x:v>4000</x:v>
      </x:c>
      <x:c r="F73" s="181">
        <x:v>1</x:v>
      </x:c>
      <x:c r="G73" s="182">
        <x:v>4000</x:v>
      </x:c>
      <x:c r="H73" s="183">
        <x:v>9</x:v>
      </x:c>
      <x:c r="I73" s="184"/>
      <x:c r="J73" s="185"/>
      <x:c r="K73" s="185"/>
      <x:c r="L73" s="185"/>
      <x:c r="M73" s="186"/>
      <x:c r="N73" s="187">
        <x:f t="shared" si="2"/>
        <x:v>0</x:v>
      </x:c>
      <x:c r="O73" s="188">
        <x:f t="shared" si="3"/>
        <x:v>0</x:v>
      </x:c>
      <x:c r="P73" s="189">
        <x:f>캠퍼스타운_외부원두영업!I73+잇다카페_외부원두영업!I73+푸른솔!J73+의과대학!I73+중앙도서관!I73+학생회관!I73+제2기숙사!I73+멀티미디어관!I73+선승관!I73+예술디자인대!I73+공학관!I73</x:f>
        <x:v>0</x:v>
      </x:c>
      <x:c r="Q73" s="181">
        <x:f>캠퍼스타운_외부원두영업!J73+잇다카페_외부원두영업!J73+푸른솔!K73+의과대학!J73+중앙도서관!J73+학생회관!J73+멀티미디어관!J73+제2기숙사!J73+선승관!J73+예술디자인대!J73+공학관!J73</x:f>
        <x:v>3</x:v>
      </x:c>
      <x:c r="R73" s="181">
        <x:f>캠퍼스타운_외부원두영업!K73+잇다카페_외부원두영업!K73+푸른솔!L73+의과대학!K73+중앙도서관!K73+학생회관!K73+제2기숙사!K73+멀티미디어관!K73+선승관!K73+예술디자인대!K73+공학관!K73</x:f>
        <x:v>0</x:v>
      </x:c>
      <x:c r="S73" s="181">
        <x:f>캠퍼스타운_외부원두영업!L73+잇다카페_외부원두영업!L73+푸른솔!M73+의과대학!L73+중앙도서관!L73+학생회관!L73+멀티미디어관!L73+제2기숙사!L73+선승관!L73+예술디자인대!L73+공학관!L73</x:f>
        <x:v>1</x:v>
      </x:c>
      <x:c r="T73" s="190">
        <x:f>캠퍼스타운_외부원두영업!M73+잇다카페_외부원두영업!M73+푸른솔!N73+의과대학!M73+중앙도서관!M73+학생회관!M73+멀티미디어관!M73+제2기숙사!M73+선승관!M73+예술디자인대!M73+공학관!M73</x:f>
        <x:v>0</x:v>
      </x:c>
      <x:c r="U73" s="191">
        <x:f t="shared" si="9"/>
        <x:v>4</x:v>
      </x:c>
      <x:c r="V73" s="192">
        <x:f t="shared" si="4"/>
        <x:v>16000</x:v>
      </x:c>
      <x:c r="W73" s="193">
        <x:f t="shared" si="6"/>
        <x:v>5</x:v>
      </x:c>
      <x:c r="X73" s="194">
        <x:f>E73*W73</x:f>
        <x:v>20000</x:v>
      </x:c>
      <x:c r="Y73" s="275">
        <x:v>11</x:v>
      </x:c>
      <x:c r="Z73" s="307">
        <x:v>0</x:v>
      </x:c>
      <x:c r="AA73" s="31">
        <x:f t="shared" si="10"/>
        <x:v>0</x:v>
      </x:c>
      <x:c r="AB73" s="497"/>
      <x:c r="AC73" s="505"/>
    </x:row>
    <x:row r="74" spans="1:29">
      <x:c r="A74" s="523"/>
      <x:c r="B74" s="378" t="s">
        <x:v>43</x:v>
      </x:c>
      <x:c r="C74" s="179" t="s">
        <x:v>44</x:v>
      </x:c>
      <x:c r="D74" s="179" t="s">
        <x:v>68</x:v>
      </x:c>
      <x:c r="E74" s="255">
        <x:v>4000</x:v>
      </x:c>
      <x:c r="F74" s="181">
        <x:v>1</x:v>
      </x:c>
      <x:c r="G74" s="182">
        <x:v>4000</x:v>
      </x:c>
      <x:c r="H74" s="183">
        <x:v>12</x:v>
      </x:c>
      <x:c r="I74" s="184"/>
      <x:c r="J74" s="185"/>
      <x:c r="K74" s="185"/>
      <x:c r="L74" s="185"/>
      <x:c r="M74" s="186"/>
      <x:c r="N74" s="187">
        <x:f t="shared" si="2"/>
        <x:v>0</x:v>
      </x:c>
      <x:c r="O74" s="188">
        <x:f t="shared" si="3"/>
        <x:v>0</x:v>
      </x:c>
      <x:c r="P74" s="189">
        <x:f>캠퍼스타운_외부원두영업!I74+잇다카페_외부원두영업!I74+푸른솔!J74+의과대학!I74+중앙도서관!I74+학생회관!I74+제2기숙사!I74+멀티미디어관!I74+선승관!I74+예술디자인대!I74+공학관!I74</x:f>
        <x:v>0</x:v>
      </x:c>
      <x:c r="Q74" s="181">
        <x:f>캠퍼스타운_외부원두영업!J74+잇다카페_외부원두영업!J74+푸른솔!K74+의과대학!J74+중앙도서관!J74+학생회관!J74+멀티미디어관!J74+제2기숙사!J74+선승관!J74+예술디자인대!J74+공학관!J74</x:f>
        <x:v>2</x:v>
      </x:c>
      <x:c r="R74" s="181">
        <x:f>캠퍼스타운_외부원두영업!K74+잇다카페_외부원두영업!K74+푸른솔!L74+의과대학!K74+중앙도서관!K74+학생회관!K74+제2기숙사!K74+멀티미디어관!K74+선승관!K74+예술디자인대!K74+공학관!K74</x:f>
        <x:v>0</x:v>
      </x:c>
      <x:c r="S74" s="181">
        <x:f>캠퍼스타운_외부원두영업!L74+잇다카페_외부원두영업!L74+푸른솔!M74+의과대학!L74+중앙도서관!L74+학생회관!L74+멀티미디어관!L74+제2기숙사!L74+선승관!L74+예술디자인대!L74+공학관!L74</x:f>
        <x:v>0</x:v>
      </x:c>
      <x:c r="T74" s="190">
        <x:f>캠퍼스타운_외부원두영업!M74+잇다카페_외부원두영업!M74+푸른솔!N74+의과대학!M74+중앙도서관!M74+학생회관!M74+멀티미디어관!M74+제2기숙사!M74+선승관!M74+예술디자인대!M74+공학관!M74</x:f>
        <x:v>0</x:v>
      </x:c>
      <x:c r="U74" s="191">
        <x:f t="shared" si="9"/>
        <x:v>2</x:v>
      </x:c>
      <x:c r="V74" s="192">
        <x:f t="shared" si="4"/>
        <x:v>8000</x:v>
      </x:c>
      <x:c r="W74" s="193">
        <x:f t="shared" si="6"/>
        <x:v>10</x:v>
      </x:c>
      <x:c r="X74" s="194">
        <x:f>E74*W74</x:f>
        <x:v>40000</x:v>
      </x:c>
      <x:c r="Y74" s="274">
        <x:v>10</x:v>
      </x:c>
      <x:c r="Z74" s="308">
        <x:v>0</x:v>
      </x:c>
      <x:c r="AA74" s="31">
        <x:f t="shared" si="10"/>
        <x:v>0</x:v>
      </x:c>
      <x:c r="AB74" s="497"/>
      <x:c r="AC74" s="505"/>
    </x:row>
    <x:row r="75" spans="1:29" ht="16.75">
      <x:c r="A75" s="524"/>
      <x:c r="B75" s="375" t="s">
        <x:v>12</x:v>
      </x:c>
      <x:c r="C75" s="220" t="s">
        <x:v>44</x:v>
      </x:c>
      <x:c r="D75" s="220" t="s">
        <x:v>68</x:v>
      </x:c>
      <x:c r="E75" s="263">
        <x:v>4300</x:v>
      </x:c>
      <x:c r="F75" s="221">
        <x:v>1</x:v>
      </x:c>
      <x:c r="G75" s="246">
        <x:v>4300</x:v>
      </x:c>
      <x:c r="H75" s="222">
        <x:v>17</x:v>
      </x:c>
      <x:c r="I75" s="223"/>
      <x:c r="J75" s="224"/>
      <x:c r="K75" s="224"/>
      <x:c r="L75" s="224"/>
      <x:c r="M75" s="225"/>
      <x:c r="N75" s="226">
        <x:f t="shared" si="2"/>
        <x:v>0</x:v>
      </x:c>
      <x:c r="O75" s="227">
        <x:f t="shared" si="3"/>
        <x:v>0</x:v>
      </x:c>
      <x:c r="P75" s="189">
        <x:f>캠퍼스타운_외부원두영업!I75+잇다카페_외부원두영업!I75+푸른솔!J75+의과대학!I75+중앙도서관!I75+학생회관!I75+제2기숙사!I75+멀티미디어관!I75+선승관!I75+예술디자인대!I75+공학관!I75</x:f>
        <x:v>0</x:v>
      </x:c>
      <x:c r="Q75" s="221">
        <x:f>캠퍼스타운_외부원두영업!J75+잇다카페_외부원두영업!J75+푸른솔!K75+의과대학!J75+중앙도서관!J75+학생회관!J75+멀티미디어관!J75+제2기숙사!J75+선승관!J75+예술디자인대!J75+공학관!J75</x:f>
        <x:v>3</x:v>
      </x:c>
      <x:c r="R75" s="229">
        <x:f>캠퍼스타운_외부원두영업!K75+잇다카페_외부원두영업!K75+푸른솔!L75+의과대학!K75+중앙도서관!K75+학생회관!K75+제2기숙사!K75+멀티미디어관!K75+선승관!K75+예술디자인대!K75+공학관!K75</x:f>
        <x:v>0</x:v>
      </x:c>
      <x:c r="S75" s="221">
        <x:f>캠퍼스타운_외부원두영업!L75+잇다카페_외부원두영업!L75+푸른솔!M75+의과대학!L75+중앙도서관!L75+학생회관!L75+멀티미디어관!L75+제2기숙사!L75+선승관!L75+예술디자인대!L75+공학관!L75</x:f>
        <x:v>0</x:v>
      </x:c>
      <x:c r="T75" s="239">
        <x:f>캠퍼스타운_외부원두영업!M75+잇다카페_외부원두영업!M75+푸른솔!N75+의과대학!M75+중앙도서관!M75+학생회관!M75+멀티미디어관!M75+제2기숙사!M75+선승관!M75+예술디자인대!M75+공학관!M75</x:f>
        <x:v>0</x:v>
      </x:c>
      <x:c r="U75" s="240">
        <x:f t="shared" si="9"/>
        <x:v>3</x:v>
      </x:c>
      <x:c r="V75" s="231">
        <x:f t="shared" si="4"/>
        <x:v>12900</x:v>
      </x:c>
      <x:c r="W75" s="232">
        <x:f t="shared" si="6"/>
        <x:v>14</x:v>
      </x:c>
      <x:c r="X75" s="233">
        <x:f>E75*W75</x:f>
        <x:v>60200</x:v>
      </x:c>
      <x:c r="Y75" s="278">
        <x:v>16</x:v>
      </x:c>
      <x:c r="Z75" s="309">
        <x:v>0</x:v>
      </x:c>
      <x:c r="AA75" s="93">
        <x:f t="shared" si="10"/>
        <x:v>0</x:v>
      </x:c>
      <x:c r="AB75" s="498"/>
      <x:c r="AC75" s="506"/>
    </x:row>
    <x:row r="76" spans="1:29" ht="15.75" customHeight="1">
      <x:c r="A76" s="247"/>
      <x:c r="B76" s="247"/>
      <x:c r="C76" s="247"/>
      <x:c r="D76" s="247"/>
      <x:c r="E76" s="247"/>
      <x:c r="F76" s="247"/>
      <x:c r="G76" s="247"/>
      <x:c r="H76" s="247">
        <x:f>SUM(H5:H75)</x:f>
        <x:v>147876</x:v>
      </x:c>
      <x:c r="I76" s="247">
        <x:f t="shared" ref="I76:T76" si="22">SUM(I5:I75)</x:f>
        <x:v>0</x:v>
      </x:c>
      <x:c r="J76" s="247">
        <x:f t="shared" si="22"/>
        <x:v>0</x:v>
      </x:c>
      <x:c r="K76" s="247">
        <x:f t="shared" si="22"/>
        <x:v>100782</x:v>
      </x:c>
      <x:c r="L76" s="247">
        <x:f t="shared" si="22"/>
        <x:v>0</x:v>
      </x:c>
      <x:c r="M76" s="247">
        <x:f t="shared" ref="M76:S76" si="23">SUM(M5:M75)</x:f>
        <x:v>200</x:v>
      </x:c>
      <x:c r="N76" s="248">
        <x:f t="shared" si="23"/>
        <x:v>100982</x:v>
      </x:c>
      <x:c r="O76" s="249">
        <x:f t="shared" si="23"/>
        <x:v>11802400</x:v>
      </x:c>
      <x:c r="P76" s="250">
        <x:f t="shared" si="23"/>
        <x:v>0</x:v>
      </x:c>
      <x:c r="Q76" s="247">
        <x:f t="shared" si="23"/>
        <x:v>7526</x:v>
      </x:c>
      <x:c r="R76" s="251">
        <x:f t="shared" si="23"/>
        <x:v>0</x:v>
      </x:c>
      <x:c r="S76" s="247">
        <x:f t="shared" si="23"/>
        <x:v>26885</x:v>
      </x:c>
      <x:c r="T76" s="247">
        <x:f t="shared" si="22"/>
        <x:v>0</x:v>
      </x:c>
      <x:c r="U76" s="248">
        <x:f>SUM(U5:U75)</x:f>
        <x:v>34411</x:v>
      </x:c>
      <x:c r="V76" s="249">
        <x:f>SUM(V5:V75)</x:f>
        <x:v>3376907.5</x:v>
      </x:c>
      <x:c r="W76" s="252">
        <x:f>SUM(W5:W75)</x:f>
        <x:v>214447</x:v>
      </x:c>
      <x:c r="X76" s="249">
        <x:f>SUM(X5:X75)</x:f>
        <x:v>18477490.5</x:v>
      </x:c>
      <x:c r="Y76" s="279"/>
      <x:c r="Z76" s="54">
        <x:f>SUM(Z5:Z75)</x:f>
        <x:v>100982</x:v>
      </x:c>
      <x:c r="AA76" s="94">
        <x:f>SUM(AA5:AA75)</x:f>
        <x:v>11802400</x:v>
      </x:c>
      <x:c r="AB76" s="3"/>
      <x:c r="AC76" s="3"/>
    </x:row>
    <x:row r="77" spans="16:22">
      <x:c r="P77" s="254"/>
      <x:c r="Q77" s="254"/>
      <x:c r="R77" s="254"/>
      <x:c r="S77" s="254"/>
      <x:c r="T77" s="254"/>
      <x:c r="U77" s="254"/>
      <x:c r="V77" s="254"/>
    </x:row>
    <x:row r="80" spans="22:22">
      <x:c r="V80" s="268"/>
    </x:row>
    <x:row r="84" spans="15:15">
      <x:c r="O84" s="269"/>
    </x:row>
    <x:row r="85" spans="15:15">
      <x:c r="O85" s="269"/>
    </x:row>
    <x:row r="86" spans="15:15">
      <x:c r="O86" s="269"/>
    </x:row>
    <x:row r="87" spans="15:15">
      <x:c r="O87" s="269"/>
    </x:row>
    <x:row r="88" spans="15:15">
      <x:c r="O88" s="269"/>
    </x:row>
    <x:row r="89" spans="15:15">
      <x:c r="O89" s="269"/>
    </x:row>
    <x:row r="90" spans="15:15">
      <x:c r="O90" s="269"/>
    </x:row>
    <x:row r="91" spans="15:15">
      <x:c r="O91" s="269"/>
    </x:row>
    <x:row r="92" spans="15:15">
      <x:c r="O92" s="269"/>
    </x:row>
    <x:row r="93" spans="15:15">
      <x:c r="O93" s="269"/>
    </x:row>
    <x:row r="94" spans="15:15">
      <x:c r="O94" s="269"/>
    </x:row>
    <x:row r="95" spans="15:15">
      <x:c r="O95" s="269"/>
    </x:row>
    <x:row r="96" spans="15:15">
      <x:c r="O96" s="269"/>
    </x:row>
    <x:row r="97" spans="15:15">
      <x:c r="O97" s="269"/>
    </x:row>
    <x:row r="98" spans="15:15">
      <x:c r="O98" s="269"/>
    </x:row>
    <x:row r="99" spans="15:15">
      <x:c r="O99" s="269"/>
    </x:row>
    <x:row r="100" spans="15:15">
      <x:c r="O100" s="269"/>
    </x:row>
    <x:row r="101" spans="15:15">
      <x:c r="O101" s="269"/>
    </x:row>
    <x:row r="102" spans="15:15">
      <x:c r="O102" s="269"/>
    </x:row>
    <x:row r="103" spans="15:15">
      <x:c r="O103" s="269"/>
    </x:row>
  </x:sheetData>
  <x:autoFilter ref="A4:AC76"/>
  <x:mergeCells count="19">
    <x:mergeCell ref="AB5:AB40"/>
    <x:mergeCell ref="AC5:AC40"/>
    <x:mergeCell ref="AB72:AB75"/>
    <x:mergeCell ref="AC41:AC42"/>
    <x:mergeCell ref="AC58:AC68"/>
    <x:mergeCell ref="AC72:AC75"/>
    <x:mergeCell ref="AB41:AB42"/>
    <x:mergeCell ref="AB58:AB68"/>
    <x:mergeCell ref="AB43:AB57"/>
    <x:mergeCell ref="AC43:AC57"/>
    <x:mergeCell ref="AB69:AB71"/>
    <x:mergeCell ref="AC69:AC71"/>
    <x:mergeCell ref="A1:X2"/>
    <x:mergeCell ref="A58:A68"/>
    <x:mergeCell ref="A72:A75"/>
    <x:mergeCell ref="A41:A42"/>
    <x:mergeCell ref="A69:A71"/>
    <x:mergeCell ref="A43:A57"/>
    <x:mergeCell ref="A5:A40"/>
  </x:mergeCells>
  <x:conditionalFormatting sqref="W1:W77 W79:W1048576">
    <x:cfRule type="cellIs" dxfId="12" priority="1" operator="lessThan">
      <x:formula>0</x:formula>
    </x:cfRule>
  </x:conditionalFormatting>
  <x:pageMargins left="0.25" right="0.25" top="0.75" bottom="0.75" header="0.30000001192092896" footer="0.30000001192092896"/>
  <x:pageSetup paperSize="9" scale="60" firstPageNumber="1" fitToWidth="0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76"/>
  <x:sheetViews>
    <x:sheetView topLeftCell="A37" zoomScale="70" zoomScaleNormal="70" zoomScaleSheetLayoutView="75" workbookViewId="0">
      <x:selection activeCell="B70" activeCellId="0" sqref="B70:G70"/>
    </x:sheetView>
  </x:sheetViews>
  <x:sheetFormatPr defaultColWidth="9.140625" defaultRowHeight="16.5"/>
  <x:cols>
    <x:col min="1" max="1" width="20.5" style="2" bestFit="1" customWidth="1"/>
    <x:col min="2" max="2" width="31.37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126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18"/>
      <x:c r="I5" s="19"/>
      <x:c r="J5" s="20"/>
      <x:c r="K5" s="20"/>
      <x:c r="L5" s="20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6"/>
      <x:c r="I6" s="37"/>
      <x:c r="J6" s="38"/>
      <x:c r="K6" s="38"/>
      <x:c r="L6" s="38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6"/>
      <x:c r="I7" s="37"/>
      <x:c r="J7" s="38"/>
      <x:c r="K7" s="38"/>
      <x:c r="L7" s="38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64"/>
      <x:c r="I8" s="37"/>
      <x:c r="J8" s="65"/>
      <x:c r="K8" s="65"/>
      <x:c r="L8" s="65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6"/>
      <x:c r="I9" s="37"/>
      <x:c r="J9" s="38"/>
      <x:c r="K9" s="38"/>
      <x:c r="L9" s="38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6"/>
      <x:c r="I10" s="37"/>
      <x:c r="J10" s="38"/>
      <x:c r="K10" s="38"/>
      <x:c r="L10" s="38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64"/>
      <x:c r="I11" s="37"/>
      <x:c r="J11" s="65"/>
      <x:c r="K11" s="65"/>
      <x:c r="L11" s="65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6"/>
      <x:c r="I12" s="37"/>
      <x:c r="J12" s="38"/>
      <x:c r="K12" s="38"/>
      <x:c r="L12" s="38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6"/>
      <x:c r="I13" s="37"/>
      <x:c r="J13" s="38"/>
      <x:c r="K13" s="38"/>
      <x:c r="L13" s="38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6"/>
      <x:c r="I14" s="37"/>
      <x:c r="J14" s="38"/>
      <x:c r="K14" s="38"/>
      <x:c r="L14" s="38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6"/>
      <x:c r="I15" s="37"/>
      <x:c r="J15" s="38"/>
      <x:c r="K15" s="38"/>
      <x:c r="L15" s="38"/>
      <x:c r="M15" s="39"/>
      <x:c r="N15" s="81">
        <x:f t="shared" si="0"/>
        <x:v>0</x:v>
      </x:c>
      <x:c r="O15" s="40">
        <x:f t="shared" si="1"/>
        <x:v>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6"/>
      <x:c r="I16" s="37"/>
      <x:c r="J16" s="38"/>
      <x:c r="K16" s="38"/>
      <x:c r="L16" s="38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64"/>
      <x:c r="I17" s="37"/>
      <x:c r="J17" s="65"/>
      <x:c r="K17" s="65"/>
      <x:c r="L17" s="65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6"/>
      <x:c r="I18" s="37"/>
      <x:c r="J18" s="38"/>
      <x:c r="K18" s="38"/>
      <x:c r="L18" s="38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6"/>
      <x:c r="I19" s="37"/>
      <x:c r="J19" s="38"/>
      <x:c r="K19" s="38"/>
      <x:c r="L19" s="38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64"/>
      <x:c r="I20" s="37"/>
      <x:c r="J20" s="65"/>
      <x:c r="K20" s="65"/>
      <x:c r="L20" s="65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6"/>
      <x:c r="I21" s="37"/>
      <x:c r="J21" s="38"/>
      <x:c r="K21" s="38"/>
      <x:c r="L21" s="38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6"/>
      <x:c r="I22" s="37"/>
      <x:c r="J22" s="38"/>
      <x:c r="K22" s="38"/>
      <x:c r="L22" s="38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64"/>
      <x:c r="I23" s="37"/>
      <x:c r="J23" s="65"/>
      <x:c r="K23" s="65"/>
      <x:c r="L23" s="65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6"/>
      <x:c r="I24" s="37"/>
      <x:c r="J24" s="38"/>
      <x:c r="K24" s="38"/>
      <x:c r="L24" s="38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6"/>
      <x:c r="I25" s="37"/>
      <x:c r="J25" s="38"/>
      <x:c r="K25" s="38"/>
      <x:c r="L25" s="38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6"/>
      <x:c r="I26" s="37"/>
      <x:c r="J26" s="38"/>
      <x:c r="K26" s="38"/>
      <x:c r="L26" s="38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6"/>
      <x:c r="I27" s="37"/>
      <x:c r="J27" s="38"/>
      <x:c r="K27" s="38"/>
      <x:c r="L27" s="38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64"/>
      <x:c r="I28" s="37"/>
      <x:c r="J28" s="65"/>
      <x:c r="K28" s="65"/>
      <x:c r="L28" s="65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6"/>
      <x:c r="I29" s="37"/>
      <x:c r="J29" s="38"/>
      <x:c r="K29" s="38"/>
      <x:c r="L29" s="38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6"/>
      <x:c r="I30" s="37"/>
      <x:c r="J30" s="38"/>
      <x:c r="K30" s="38"/>
      <x:c r="L30" s="38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6"/>
      <x:c r="I31" s="37"/>
      <x:c r="J31" s="38"/>
      <x:c r="K31" s="38"/>
      <x:c r="L31" s="38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6"/>
      <x:c r="I32" s="37"/>
      <x:c r="J32" s="38"/>
      <x:c r="K32" s="38"/>
      <x:c r="L32" s="38"/>
      <x:c r="M32" s="39"/>
      <x:c r="N32" s="81">
        <x:f>I32+J32+K32+L32+M32</x:f>
        <x:v>0</x:v>
      </x:c>
      <x:c r="O32" s="40">
        <x:f>E32*N32</x:f>
        <x:v>0</x:v>
      </x:c>
    </x:row>
    <x:row r="33" spans="1:15" customHeight="1">
      <x:c r="A33" s="488"/>
      <x:c r="B33" s="107" t="s">
        <x:v>133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64"/>
      <x:c r="I33" s="37"/>
      <x:c r="J33" s="65"/>
      <x:c r="K33" s="65"/>
      <x:c r="L33" s="65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64"/>
      <x:c r="I34" s="37"/>
      <x:c r="J34" s="65"/>
      <x:c r="K34" s="65"/>
      <x:c r="L34" s="65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f>E35*F35</x:f>
        <x:v>92400</x:v>
      </x:c>
      <x:c r="H35" s="64"/>
      <x:c r="I35" s="37"/>
      <x:c r="J35" s="65"/>
      <x:c r="K35" s="65"/>
      <x:c r="L35" s="65"/>
      <x:c r="M35" s="66"/>
      <x:c r="N35" s="81"/>
      <x:c r="O35" s="40"/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64"/>
      <x:c r="I36" s="37"/>
      <x:c r="J36" s="65"/>
      <x:c r="K36" s="65"/>
      <x:c r="L36" s="65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6"/>
      <x:c r="I37" s="37"/>
      <x:c r="J37" s="38"/>
      <x:c r="K37" s="38"/>
      <x:c r="L37" s="38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26"/>
      <x:c r="I38" s="27"/>
      <x:c r="J38" s="28"/>
      <x:c r="K38" s="28"/>
      <x:c r="L38" s="28"/>
      <x:c r="M38" s="29"/>
      <x:c r="N38" s="82">
        <x:f t="shared" si="0"/>
        <x:v>0</x:v>
      </x:c>
      <x:c r="O38" s="3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f>E39*F39</x:f>
        <x:v>58880</x:v>
      </x:c>
      <x:c r="H39" s="36"/>
      <x:c r="I39" s="37"/>
      <x:c r="J39" s="38"/>
      <x:c r="K39" s="38"/>
      <x:c r="L39" s="38"/>
      <x:c r="M39" s="39"/>
      <x:c r="N39" s="81">
        <x:f>I39+J39+K39+L39+M39</x:f>
        <x:v>0</x:v>
      </x:c>
      <x:c r="O39" s="40">
        <x:f>E39*N39</x:f>
        <x:v>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f>E40*F40</x:f>
        <x:v>58880</x:v>
      </x:c>
      <x:c r="H40" s="26"/>
      <x:c r="I40" s="27"/>
      <x:c r="J40" s="28"/>
      <x:c r="K40" s="28"/>
      <x:c r="L40" s="28"/>
      <x:c r="M40" s="29"/>
      <x:c r="N40" s="82">
        <x:f>I40+J40+K40+L40+M40</x:f>
        <x:v>0</x:v>
      </x:c>
      <x:c r="O40" s="30">
        <x:f>E40*N40</x:f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18"/>
      <x:c r="I41" s="19"/>
      <x:c r="J41" s="20"/>
      <x:c r="K41" s="20"/>
      <x:c r="L41" s="20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26"/>
      <x:c r="I42" s="27"/>
      <x:c r="J42" s="28"/>
      <x:c r="K42" s="28"/>
      <x:c r="L42" s="28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18"/>
      <x:c r="I43" s="19"/>
      <x:c r="J43" s="20"/>
      <x:c r="K43" s="20"/>
      <x:c r="L43" s="20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6"/>
      <x:c r="I44" s="37"/>
      <x:c r="J44" s="38"/>
      <x:c r="K44" s="38"/>
      <x:c r="L44" s="38"/>
      <x:c r="M44" s="39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6"/>
      <x:c r="I45" s="37"/>
      <x:c r="J45" s="38"/>
      <x:c r="K45" s="38"/>
      <x:c r="L45" s="38"/>
      <x:c r="M45" s="39"/>
      <x:c r="N45" s="81">
        <x:f t="shared" si="0"/>
        <x:v>0</x:v>
      </x:c>
      <x:c r="O45" s="40">
        <x:f t="shared" si="1"/>
        <x:v>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6"/>
      <x:c r="I46" s="37"/>
      <x:c r="J46" s="38"/>
      <x:c r="K46" s="38"/>
      <x:c r="L46" s="38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6"/>
      <x:c r="I47" s="37"/>
      <x:c r="J47" s="38"/>
      <x:c r="K47" s="38"/>
      <x:c r="L47" s="38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6"/>
      <x:c r="I48" s="37"/>
      <x:c r="J48" s="38"/>
      <x:c r="K48" s="38"/>
      <x:c r="L48" s="38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6"/>
      <x:c r="I49" s="37"/>
      <x:c r="J49" s="38"/>
      <x:c r="K49" s="38"/>
      <x:c r="L49" s="38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6"/>
      <x:c r="I50" s="37"/>
      <x:c r="J50" s="38"/>
      <x:c r="K50" s="38"/>
      <x:c r="L50" s="38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f>E51*F51</x:f>
        <x:v>42000</x:v>
      </x:c>
      <x:c r="H51" s="36"/>
      <x:c r="I51" s="37"/>
      <x:c r="J51" s="38"/>
      <x:c r="K51" s="38"/>
      <x:c r="L51" s="38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57" t="s">
        <x:v>36</x:v>
      </x:c>
      <x:c r="C52" s="57" t="s">
        <x:v>28</x:v>
      </x:c>
      <x:c r="D52" s="57" t="s">
        <x:v>140</x:v>
      </x:c>
      <x:c r="E52" s="74">
        <x:v>9000</x:v>
      </x:c>
      <x:c r="F52" s="34">
        <x:v>6</x:v>
      </x:c>
      <x:c r="G52" s="35">
        <x:f>E52*F52</x:f>
        <x:v>54000</x:v>
      </x:c>
      <x:c r="H52" s="36"/>
      <x:c r="I52" s="37"/>
      <x:c r="J52" s="38"/>
      <x:c r="K52" s="38"/>
      <x:c r="L52" s="38"/>
      <x:c r="M52" s="39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6"/>
      <x:c r="I53" s="37"/>
      <x:c r="J53" s="38"/>
      <x:c r="K53" s="38"/>
      <x:c r="L53" s="38"/>
      <x:c r="M53" s="39"/>
      <x:c r="N53" s="81">
        <x:f>I53+J53+K53+L53+M53</x:f>
        <x:v>0</x:v>
      </x:c>
      <x:c r="O53" s="40">
        <x:f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6"/>
      <x:c r="I54" s="37"/>
      <x:c r="J54" s="38"/>
      <x:c r="K54" s="38"/>
      <x:c r="L54" s="38"/>
      <x:c r="M54" s="39"/>
      <x:c r="N54" s="81">
        <x:f t="shared" ref="N54:N57" si="3">I54+J54+K54+L54+M54</x:f>
        <x:v>0</x:v>
      </x:c>
      <x:c r="O54" s="40">
        <x:f t="shared" ref="O54:O57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6"/>
      <x:c r="I55" s="37"/>
      <x:c r="J55" s="38"/>
      <x:c r="K55" s="38"/>
      <x:c r="L55" s="38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6"/>
      <x:c r="I56" s="37"/>
      <x:c r="J56" s="38"/>
      <x:c r="K56" s="38"/>
      <x:c r="L56" s="38"/>
      <x:c r="M56" s="39"/>
      <x:c r="N56" s="81">
        <x:f t="shared" si="3"/>
        <x:v>0</x:v>
      </x:c>
      <x:c r="O56" s="40">
        <x:f t="shared" si="4"/>
        <x:v>0</x:v>
      </x:c>
    </x:row>
    <x:row r="57" spans="1:15" ht="17.25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25">
        <x:v>80400</x:v>
      </x:c>
      <x:c r="H57" s="36"/>
      <x:c r="I57" s="37"/>
      <x:c r="J57" s="38"/>
      <x:c r="K57" s="38"/>
      <x:c r="L57" s="38"/>
      <x:c r="M57" s="39"/>
      <x:c r="N57" s="81">
        <x:f t="shared" si="3"/>
        <x:v>0</x:v>
      </x:c>
      <x:c r="O57" s="30">
        <x:f t="shared" si="4"/>
        <x:v>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18"/>
      <x:c r="I58" s="44"/>
      <x:c r="J58" s="20"/>
      <x:c r="K58" s="20"/>
      <x:c r="L58" s="20"/>
      <x:c r="M58" s="21"/>
      <x:c r="N58" s="80">
        <x:f t="shared" si="0"/>
        <x:v>0</x:v>
      </x:c>
      <x:c r="O58" s="22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6"/>
      <x:c r="I59" s="37"/>
      <x:c r="J59" s="38"/>
      <x:c r="K59" s="38"/>
      <x:c r="L59" s="38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6"/>
      <x:c r="I60" s="37"/>
      <x:c r="J60" s="38"/>
      <x:c r="K60" s="38"/>
      <x:c r="L60" s="38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6"/>
      <x:c r="I61" s="37"/>
      <x:c r="J61" s="38"/>
      <x:c r="K61" s="38"/>
      <x:c r="L61" s="38"/>
      <x:c r="M61" s="39"/>
      <x:c r="N61" s="81">
        <x:f t="shared" si="0"/>
        <x:v>0</x:v>
      </x:c>
      <x:c r="O61" s="40">
        <x:f t="shared" si="1"/>
        <x:v>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6"/>
      <x:c r="I62" s="37"/>
      <x:c r="J62" s="38"/>
      <x:c r="K62" s="38"/>
      <x:c r="L62" s="38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6"/>
      <x:c r="I63" s="37"/>
      <x:c r="J63" s="38"/>
      <x:c r="K63" s="38"/>
      <x:c r="L63" s="38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6"/>
      <x:c r="I64" s="37"/>
      <x:c r="J64" s="38"/>
      <x:c r="K64" s="38"/>
      <x:c r="L64" s="38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6"/>
      <x:c r="I65" s="37"/>
      <x:c r="J65" s="38"/>
      <x:c r="K65" s="38"/>
      <x:c r="L65" s="38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6"/>
      <x:c r="I66" s="37"/>
      <x:c r="J66" s="38"/>
      <x:c r="K66" s="38"/>
      <x:c r="L66" s="38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6"/>
      <x:c r="I67" s="37"/>
      <x:c r="J67" s="38"/>
      <x:c r="K67" s="38"/>
      <x:c r="L67" s="38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26"/>
      <x:c r="I68" s="37"/>
      <x:c r="J68" s="28"/>
      <x:c r="K68" s="28"/>
      <x:c r="L68" s="28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18"/>
      <x:c r="I69" s="44"/>
      <x:c r="J69" s="20"/>
      <x:c r="K69" s="20"/>
      <x:c r="L69" s="20"/>
      <x:c r="M69" s="21"/>
      <x:c r="N69" s="82">
        <x:f t="shared" si="0"/>
        <x:v>0</x:v>
      </x:c>
      <x:c r="O69" s="22">
        <x:f t="shared" si="1"/>
        <x:v>0</x:v>
      </x:c>
    </x:row>
    <x:row r="70" spans="1:1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399"/>
      <x:c r="I70" s="400"/>
      <x:c r="J70" s="401"/>
      <x:c r="K70" s="401"/>
      <x:c r="L70" s="401"/>
      <x:c r="M70" s="402"/>
      <x:c r="N70" s="405">
        <x:f t="shared" si="0"/>
        <x:v>0</x:v>
      </x:c>
      <x:c r="O70" s="403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50"/>
      <x:c r="I71" s="68"/>
      <x:c r="J71" s="52"/>
      <x:c r="K71" s="52"/>
      <x:c r="L71" s="52"/>
      <x:c r="M71" s="53"/>
      <x:c r="N71" s="404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18"/>
      <x:c r="I72" s="19"/>
      <x:c r="J72" s="20"/>
      <x:c r="K72" s="20"/>
      <x:c r="L72" s="20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6"/>
      <x:c r="I73" s="37"/>
      <x:c r="J73" s="38"/>
      <x:c r="K73" s="38"/>
      <x:c r="L73" s="38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6"/>
      <x:c r="I74" s="37"/>
      <x:c r="J74" s="38"/>
      <x:c r="K74" s="38"/>
      <x:c r="L74" s="38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50"/>
      <x:c r="I75" s="51"/>
      <x:c r="J75" s="52"/>
      <x:c r="K75" s="52"/>
      <x:c r="L75" s="52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 t="shared" ref="E76:M76" si="5">SUM(E5:E75)</x:f>
        <x:v>348992.21499999997</x:v>
      </x:c>
      <x:c r="F76" s="54">
        <x:f t="shared" si="5"/>
        <x:v>76689</x:v>
      </x:c>
      <x:c r="G76" s="54">
        <x:f t="shared" si="5"/>
        <x:v>3692570</x:v>
      </x:c>
      <x:c r="H76" s="54">
        <x:f t="shared" si="5"/>
        <x:v>0</x:v>
      </x:c>
      <x:c r="I76" s="54">
        <x:f t="shared" si="5"/>
        <x:v>0</x:v>
      </x:c>
      <x:c r="J76" s="54">
        <x:f t="shared" si="5"/>
        <x:v>0</x:v>
      </x:c>
      <x:c r="K76" s="54">
        <x:f t="shared" si="5"/>
        <x:v>0</x:v>
      </x:c>
      <x:c r="L76" s="54">
        <x:f t="shared" si="5"/>
        <x:v>0</x:v>
      </x:c>
      <x:c r="M76" s="54">
        <x:f t="shared" si="5"/>
        <x:v>0</x:v>
      </x:c>
      <x:c r="N76" s="79">
        <x:f>SUM(N5:N75)</x:f>
        <x:v>0</x:v>
      </x:c>
      <x:c r="O76" s="85">
        <x:f>SUM(O36:O75)</x:f>
        <x:v>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6e0b3"/>
  </x:sheetPr>
  <x:dimension ref="A1:O78"/>
  <x:sheetViews>
    <x:sheetView topLeftCell="A1" zoomScale="85" zoomScaleNormal="85" zoomScaleSheetLayoutView="75" workbookViewId="0">
      <x:selection activeCell="K73" activeCellId="0" sqref="K73:K73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bestFit="1" customWidth="1"/>
    <x:col min="4" max="4" width="6" style="2" bestFit="1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126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18"/>
      <x:c r="I5" s="19"/>
      <x:c r="J5" s="20"/>
      <x:c r="K5" s="20"/>
      <x:c r="L5" s="20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6"/>
      <x:c r="I6" s="37"/>
      <x:c r="J6" s="38"/>
      <x:c r="K6" s="38"/>
      <x:c r="L6" s="38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6"/>
      <x:c r="I7" s="37"/>
      <x:c r="J7" s="38"/>
      <x:c r="K7" s="38"/>
      <x:c r="L7" s="38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64"/>
      <x:c r="I8" s="37"/>
      <x:c r="J8" s="65"/>
      <x:c r="K8" s="65"/>
      <x:c r="L8" s="65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6"/>
      <x:c r="I9" s="37"/>
      <x:c r="J9" s="38"/>
      <x:c r="K9" s="38"/>
      <x:c r="L9" s="38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6"/>
      <x:c r="I10" s="37"/>
      <x:c r="J10" s="38"/>
      <x:c r="K10" s="38"/>
      <x:c r="L10" s="38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64"/>
      <x:c r="I11" s="37"/>
      <x:c r="J11" s="65"/>
      <x:c r="K11" s="65"/>
      <x:c r="L11" s="65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6"/>
      <x:c r="I12" s="37"/>
      <x:c r="J12" s="38"/>
      <x:c r="K12" s="38"/>
      <x:c r="L12" s="38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6"/>
      <x:c r="I13" s="37"/>
      <x:c r="J13" s="38"/>
      <x:c r="K13" s="38"/>
      <x:c r="L13" s="38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6"/>
      <x:c r="I14" s="37"/>
      <x:c r="J14" s="38"/>
      <x:c r="K14" s="38"/>
      <x:c r="L14" s="38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6"/>
      <x:c r="I15" s="37"/>
      <x:c r="J15" s="38"/>
      <x:c r="K15" s="38"/>
      <x:c r="L15" s="38"/>
      <x:c r="M15" s="39"/>
      <x:c r="N15" s="81">
        <x:f t="shared" si="0"/>
        <x:v>0</x:v>
      </x:c>
      <x:c r="O15" s="40">
        <x:f t="shared" si="1"/>
        <x:v>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6"/>
      <x:c r="I16" s="37"/>
      <x:c r="J16" s="38"/>
      <x:c r="K16" s="38"/>
      <x:c r="L16" s="38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64"/>
      <x:c r="I17" s="37"/>
      <x:c r="J17" s="65"/>
      <x:c r="K17" s="65"/>
      <x:c r="L17" s="65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6"/>
      <x:c r="I18" s="37"/>
      <x:c r="J18" s="38"/>
      <x:c r="K18" s="38"/>
      <x:c r="L18" s="38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6"/>
      <x:c r="I19" s="37"/>
      <x:c r="J19" s="38"/>
      <x:c r="K19" s="38"/>
      <x:c r="L19" s="38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64"/>
      <x:c r="I20" s="37"/>
      <x:c r="J20" s="65"/>
      <x:c r="K20" s="65"/>
      <x:c r="L20" s="65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6"/>
      <x:c r="I21" s="37"/>
      <x:c r="J21" s="38"/>
      <x:c r="K21" s="38"/>
      <x:c r="L21" s="38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6"/>
      <x:c r="I22" s="37"/>
      <x:c r="J22" s="38"/>
      <x:c r="K22" s="38"/>
      <x:c r="L22" s="38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64"/>
      <x:c r="I23" s="37"/>
      <x:c r="J23" s="65"/>
      <x:c r="K23" s="65"/>
      <x:c r="L23" s="65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6"/>
      <x:c r="I24" s="37"/>
      <x:c r="J24" s="38"/>
      <x:c r="K24" s="38"/>
      <x:c r="L24" s="38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6"/>
      <x:c r="I25" s="37"/>
      <x:c r="J25" s="38"/>
      <x:c r="K25" s="38"/>
      <x:c r="L25" s="38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6"/>
      <x:c r="I26" s="37"/>
      <x:c r="J26" s="38"/>
      <x:c r="K26" s="38"/>
      <x:c r="L26" s="38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6"/>
      <x:c r="I27" s="37"/>
      <x:c r="J27" s="38"/>
      <x:c r="K27" s="38"/>
      <x:c r="L27" s="38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64"/>
      <x:c r="I28" s="37"/>
      <x:c r="J28" s="65"/>
      <x:c r="K28" s="65"/>
      <x:c r="L28" s="65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6"/>
      <x:c r="I29" s="37"/>
      <x:c r="J29" s="38"/>
      <x:c r="K29" s="38"/>
      <x:c r="L29" s="38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6"/>
      <x:c r="I30" s="37"/>
      <x:c r="J30" s="38"/>
      <x:c r="K30" s="38"/>
      <x:c r="L30" s="38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6"/>
      <x:c r="I31" s="37"/>
      <x:c r="J31" s="38"/>
      <x:c r="K31" s="38"/>
      <x:c r="L31" s="38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6"/>
      <x:c r="I32" s="37"/>
      <x:c r="J32" s="38"/>
      <x:c r="K32" s="38"/>
      <x:c r="L32" s="38"/>
      <x:c r="M32" s="39"/>
      <x:c r="N32" s="81">
        <x:f>I32+J32+K32+L32+M32</x:f>
        <x:v>0</x:v>
      </x:c>
      <x:c r="O32" s="40">
        <x:f>E32*N32</x:f>
        <x:v>0</x:v>
      </x:c>
    </x:row>
    <x:row r="33" spans="1:15" customHeight="1">
      <x:c r="A33" s="488"/>
      <x:c r="B33" s="107" t="s">
        <x:v>133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64"/>
      <x:c r="I33" s="37"/>
      <x:c r="J33" s="65"/>
      <x:c r="K33" s="65"/>
      <x:c r="L33" s="65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64"/>
      <x:c r="I34" s="37"/>
      <x:c r="J34" s="65"/>
      <x:c r="K34" s="65"/>
      <x:c r="L34" s="65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f>E35*F35</x:f>
        <x:v>92400</x:v>
      </x:c>
      <x:c r="H35" s="64"/>
      <x:c r="I35" s="37"/>
      <x:c r="J35" s="65"/>
      <x:c r="K35" s="65"/>
      <x:c r="L35" s="65"/>
      <x:c r="M35" s="66"/>
      <x:c r="N35" s="81"/>
      <x:c r="O35" s="40"/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64"/>
      <x:c r="I36" s="37"/>
      <x:c r="J36" s="65"/>
      <x:c r="K36" s="65"/>
      <x:c r="L36" s="65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6"/>
      <x:c r="I37" s="37"/>
      <x:c r="J37" s="38"/>
      <x:c r="K37" s="38"/>
      <x:c r="L37" s="38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32" t="s">
        <x:v>58</x:v>
      </x:c>
      <x:c r="D38" s="32" t="s">
        <x:v>140</x:v>
      </x:c>
      <x:c r="E38" s="55">
        <x:v>6870</x:v>
      </x:c>
      <x:c r="F38" s="34">
        <x:v>8</x:v>
      </x:c>
      <x:c r="G38" s="25">
        <x:v>54960</x:v>
      </x:c>
      <x:c r="H38" s="26"/>
      <x:c r="I38" s="27"/>
      <x:c r="J38" s="28"/>
      <x:c r="K38" s="28"/>
      <x:c r="L38" s="28"/>
      <x:c r="M38" s="29"/>
      <x:c r="N38" s="82">
        <x:f t="shared" si="0"/>
        <x:v>0</x:v>
      </x:c>
      <x:c r="O38" s="3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f>E39*F39</x:f>
        <x:v>58880</x:v>
      </x:c>
      <x:c r="H39" s="36"/>
      <x:c r="I39" s="37"/>
      <x:c r="J39" s="38"/>
      <x:c r="K39" s="38"/>
      <x:c r="L39" s="38"/>
      <x:c r="M39" s="39"/>
      <x:c r="N39" s="81">
        <x:f t="shared" si="0"/>
        <x:v>0</x:v>
      </x:c>
      <x:c r="O39" s="40">
        <x:f t="shared" si="1"/>
        <x:v>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f>E40*F40</x:f>
        <x:v>58880</x:v>
      </x:c>
      <x:c r="H40" s="26"/>
      <x:c r="I40" s="27"/>
      <x:c r="J40" s="28"/>
      <x:c r="K40" s="28"/>
      <x:c r="L40" s="28"/>
      <x:c r="M40" s="29"/>
      <x:c r="N40" s="82">
        <x:f t="shared" si="0"/>
        <x:v>0</x:v>
      </x:c>
      <x:c r="O40" s="30">
        <x:f t="shared" si="1"/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18"/>
      <x:c r="I41" s="19"/>
      <x:c r="J41" s="20"/>
      <x:c r="K41" s="20"/>
      <x:c r="L41" s="20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26"/>
      <x:c r="I42" s="27"/>
      <x:c r="J42" s="28"/>
      <x:c r="K42" s="28"/>
      <x:c r="L42" s="28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18"/>
      <x:c r="I43" s="19"/>
      <x:c r="J43" s="20"/>
      <x:c r="K43" s="20"/>
      <x:c r="L43" s="20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6"/>
      <x:c r="I44" s="37"/>
      <x:c r="J44" s="38"/>
      <x:c r="K44" s="38"/>
      <x:c r="L44" s="38"/>
      <x:c r="M44" s="39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6"/>
      <x:c r="I45" s="37"/>
      <x:c r="J45" s="38"/>
      <x:c r="K45" s="38"/>
      <x:c r="L45" s="38"/>
      <x:c r="M45" s="39"/>
      <x:c r="N45" s="81">
        <x:f t="shared" si="0"/>
        <x:v>0</x:v>
      </x:c>
      <x:c r="O45" s="40">
        <x:f t="shared" si="1"/>
        <x:v>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6"/>
      <x:c r="I46" s="37"/>
      <x:c r="J46" s="38"/>
      <x:c r="K46" s="38"/>
      <x:c r="L46" s="38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6"/>
      <x:c r="I47" s="37"/>
      <x:c r="J47" s="38"/>
      <x:c r="K47" s="38"/>
      <x:c r="L47" s="38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6"/>
      <x:c r="I48" s="37"/>
      <x:c r="J48" s="38"/>
      <x:c r="K48" s="38"/>
      <x:c r="L48" s="38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6"/>
      <x:c r="I49" s="37"/>
      <x:c r="J49" s="38"/>
      <x:c r="K49" s="38"/>
      <x:c r="L49" s="38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6"/>
      <x:c r="I50" s="37"/>
      <x:c r="J50" s="38"/>
      <x:c r="K50" s="38"/>
      <x:c r="L50" s="38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f>E51*F51</x:f>
        <x:v>42000</x:v>
      </x:c>
      <x:c r="H51" s="36"/>
      <x:c r="I51" s="37"/>
      <x:c r="J51" s="38"/>
      <x:c r="K51" s="38"/>
      <x:c r="L51" s="38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f>E52*F52</x:f>
        <x:v>54000</x:v>
      </x:c>
      <x:c r="H52" s="36"/>
      <x:c r="I52" s="37"/>
      <x:c r="J52" s="38"/>
      <x:c r="K52" s="38"/>
      <x:c r="L52" s="38"/>
      <x:c r="M52" s="39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6"/>
      <x:c r="I53" s="37"/>
      <x:c r="J53" s="38"/>
      <x:c r="K53" s="38"/>
      <x:c r="L53" s="38"/>
      <x:c r="M53" s="39"/>
      <x:c r="N53" s="81">
        <x:f>I53+J53+K53+L53+M53</x:f>
        <x:v>0</x:v>
      </x:c>
      <x:c r="O53" s="40">
        <x:f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6"/>
      <x:c r="I54" s="37"/>
      <x:c r="J54" s="38"/>
      <x:c r="K54" s="38"/>
      <x:c r="L54" s="38"/>
      <x:c r="M54" s="39"/>
      <x:c r="N54" s="81">
        <x:f t="shared" ref="N54:N56" si="3">I54+J54+K54+L54+M54</x:f>
        <x:v>0</x:v>
      </x:c>
      <x:c r="O54" s="40">
        <x:f t="shared" ref="O54:O56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6"/>
      <x:c r="I55" s="37"/>
      <x:c r="J55" s="38"/>
      <x:c r="K55" s="38"/>
      <x:c r="L55" s="38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6"/>
      <x:c r="I56" s="37"/>
      <x:c r="J56" s="38"/>
      <x:c r="K56" s="38"/>
      <x:c r="L56" s="38"/>
      <x:c r="M56" s="39"/>
      <x:c r="N56" s="81">
        <x:f t="shared" si="3"/>
        <x:v>0</x:v>
      </x:c>
      <x:c r="O56" s="40">
        <x:f t="shared" si="4"/>
        <x:v>0</x:v>
      </x:c>
    </x:row>
    <x:row r="57" spans="1:15" ht="17.25">
      <x:c r="A57" s="488"/>
      <x:c r="B57" s="23" t="s">
        <x:v>80</x:v>
      </x:c>
      <x:c r="C57" s="23" t="s">
        <x:v>45</x:v>
      </x:c>
      <x:c r="D57" s="23" t="s">
        <x:v>140</x:v>
      </x:c>
      <x:c r="E57" s="76">
        <x:v>6700</x:v>
      </x:c>
      <x:c r="F57" s="24">
        <x:v>12</x:v>
      </x:c>
      <x:c r="G57" s="25">
        <x:v>80400</x:v>
      </x:c>
      <x:c r="H57" s="26"/>
      <x:c r="I57" s="37"/>
      <x:c r="J57" s="28"/>
      <x:c r="K57" s="28"/>
      <x:c r="L57" s="28"/>
      <x:c r="M57" s="29"/>
      <x:c r="N57" s="82">
        <x:f t="shared" si="0"/>
        <x:v>0</x:v>
      </x:c>
      <x:c r="O57" s="42">
        <x:f t="shared" si="1"/>
        <x:v>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18"/>
      <x:c r="I58" s="44"/>
      <x:c r="J58" s="20"/>
      <x:c r="K58" s="20"/>
      <x:c r="L58" s="20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6"/>
      <x:c r="I59" s="37"/>
      <x:c r="J59" s="38"/>
      <x:c r="K59" s="38"/>
      <x:c r="L59" s="38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6"/>
      <x:c r="I60" s="37"/>
      <x:c r="J60" s="38"/>
      <x:c r="K60" s="38"/>
      <x:c r="L60" s="38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6"/>
      <x:c r="I61" s="37"/>
      <x:c r="J61" s="38"/>
      <x:c r="K61" s="38"/>
      <x:c r="L61" s="38"/>
      <x:c r="M61" s="39"/>
      <x:c r="N61" s="81">
        <x:f t="shared" si="0"/>
        <x:v>0</x:v>
      </x:c>
      <x:c r="O61" s="40">
        <x:f t="shared" si="1"/>
        <x:v>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6"/>
      <x:c r="I62" s="37"/>
      <x:c r="J62" s="38"/>
      <x:c r="K62" s="38"/>
      <x:c r="L62" s="38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6"/>
      <x:c r="I63" s="37"/>
      <x:c r="J63" s="38"/>
      <x:c r="K63" s="38"/>
      <x:c r="L63" s="38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6"/>
      <x:c r="I64" s="37"/>
      <x:c r="J64" s="38"/>
      <x:c r="K64" s="38"/>
      <x:c r="L64" s="38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6"/>
      <x:c r="I65" s="37"/>
      <x:c r="J65" s="38"/>
      <x:c r="K65" s="38"/>
      <x:c r="L65" s="38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6"/>
      <x:c r="I66" s="37"/>
      <x:c r="J66" s="38"/>
      <x:c r="K66" s="38"/>
      <x:c r="L66" s="38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6"/>
      <x:c r="I67" s="37"/>
      <x:c r="J67" s="38"/>
      <x:c r="K67" s="38"/>
      <x:c r="L67" s="38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26"/>
      <x:c r="I68" s="37"/>
      <x:c r="J68" s="28"/>
      <x:c r="K68" s="28"/>
      <x:c r="L68" s="28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18"/>
      <x:c r="I69" s="44"/>
      <x:c r="J69" s="20"/>
      <x:c r="K69" s="20"/>
      <x:c r="L69" s="20"/>
      <x:c r="M69" s="21"/>
      <x:c r="N69" s="81">
        <x:f t="shared" si="0"/>
        <x:v>0</x:v>
      </x:c>
      <x:c r="O69" s="22">
        <x:f t="shared" si="1"/>
        <x:v>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399"/>
      <x:c r="I70" s="400"/>
      <x:c r="J70" s="401"/>
      <x:c r="K70" s="401"/>
      <x:c r="L70" s="401"/>
      <x:c r="M70" s="402"/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50"/>
      <x:c r="I71" s="68"/>
      <x:c r="J71" s="52"/>
      <x:c r="K71" s="52"/>
      <x:c r="L71" s="52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18"/>
      <x:c r="I72" s="19"/>
      <x:c r="J72" s="20"/>
      <x:c r="K72" s="20"/>
      <x:c r="L72" s="20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6"/>
      <x:c r="I73" s="37"/>
      <x:c r="J73" s="38"/>
      <x:c r="K73" s="38"/>
      <x:c r="L73" s="38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6"/>
      <x:c r="I74" s="37"/>
      <x:c r="J74" s="38"/>
      <x:c r="K74" s="38"/>
      <x:c r="L74" s="38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50"/>
      <x:c r="I75" s="51"/>
      <x:c r="J75" s="52"/>
      <x:c r="K75" s="52"/>
      <x:c r="L75" s="52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 t="shared" ref="E76:M76" si="5">SUM(E5:E75)</x:f>
        <x:v>348992.21499999997</x:v>
      </x:c>
      <x:c r="F76" s="54">
        <x:f t="shared" si="5"/>
        <x:v>76689</x:v>
      </x:c>
      <x:c r="G76" s="54">
        <x:f t="shared" si="5"/>
        <x:v>3692570</x:v>
      </x:c>
      <x:c r="H76" s="54">
        <x:f t="shared" si="5"/>
        <x:v>0</x:v>
      </x:c>
      <x:c r="I76" s="54">
        <x:f t="shared" si="5"/>
        <x:v>0</x:v>
      </x:c>
      <x:c r="J76" s="54">
        <x:f t="shared" si="5"/>
        <x:v>0</x:v>
      </x:c>
      <x:c r="K76" s="54">
        <x:f t="shared" si="5"/>
        <x:v>0</x:v>
      </x:c>
      <x:c r="L76" s="54">
        <x:f t="shared" si="5"/>
        <x:v>0</x:v>
      </x:c>
      <x:c r="M76" s="54">
        <x:f t="shared" si="5"/>
        <x:v>0</x:v>
      </x:c>
      <x:c r="N76" s="79">
        <x:f>SUM(N5:N75)</x:f>
        <x:v>0</x:v>
      </x:c>
      <x:c r="O76" s="85">
        <x:f>SUM(O5:O75)</x:f>
        <x:v>0</x:v>
      </x:c>
    </x:row>
    <x:row r="78" spans="9:9" ht="24">
      <x:c r="I78" s="111" t="s">
        <x:v>149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P79"/>
  <x:sheetViews>
    <x:sheetView tabSelected="1" topLeftCell="A1" zoomScale="70" zoomScaleNormal="70" zoomScaleSheetLayoutView="75" workbookViewId="0">
      <x:selection activeCell="H4" activeCellId="0" sqref="H4:H4"/>
    </x:sheetView>
  </x:sheetViews>
  <x:sheetFormatPr defaultColWidth="9.140625" defaultRowHeight="15.75" customHeight="1"/>
  <x:cols>
    <x:col min="1" max="1" width="20.5" style="2" bestFit="1" customWidth="1"/>
    <x:col min="2" max="2" width="32.87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25.5703125" style="1" customWidth="1"/>
    <x:col min="8" max="8" width="13.25" style="2" customWidth="1"/>
    <x:col min="9" max="16" width="11.625" style="2" customWidth="1"/>
  </x:cols>
  <x:sheetData>
    <x:row r="1" spans="1:16" customHeight="1">
      <x:c r="A1" s="485" t="s">
        <x:v>168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  <x:c r="P1" s="485"/>
    </x:row>
    <x:row r="2" spans="1:16" customHeight="1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  <x:c r="P2" s="485"/>
    </x:row>
    <x:row r="3" spans="1:1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spans="1:16" customHeight="1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0</x:v>
      </x:c>
      <x:c r="H4" s="7" t="s">
        <x:v>111</x:v>
      </x:c>
      <x:c r="I4" s="8" t="s">
        <x:v>82</x:v>
      </x:c>
      <x:c r="J4" s="9" t="s">
        <x:v>72</x:v>
      </x:c>
      <x:c r="K4" s="10" t="s">
        <x:v>95</x:v>
      </x:c>
      <x:c r="L4" s="10" t="s">
        <x:v>70</x:v>
      </x:c>
      <x:c r="M4" s="11" t="s">
        <x:v>96</x:v>
      </x:c>
      <x:c r="N4" s="10" t="s">
        <x:v>87</x:v>
      </x:c>
      <x:c r="O4" s="12" t="s">
        <x:v>79</x:v>
      </x:c>
      <x:c r="P4" s="13" t="s">
        <x:v>91</x:v>
      </x:c>
    </x:row>
    <x:row r="5" spans="1:16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6">
        <x:v>1000</x:v>
      </x:c>
      <x:c r="H5" s="17">
        <x:v>37000</x:v>
      </x:c>
      <x:c r="I5" s="329"/>
      <x:c r="J5" s="19"/>
      <x:c r="K5" s="336">
        <x:v>1000</x:v>
      </x:c>
      <x:c r="L5" s="310"/>
      <x:c r="M5" s="464"/>
      <x:c r="N5" s="21"/>
      <x:c r="O5" s="80">
        <x:f>J5+K5+L5+M5+N5</x:f>
        <x:v>1000</x:v>
      </x:c>
      <x:c r="P5" s="22">
        <x:f>E5*O5</x:f>
        <x:v>37000</x:v>
      </x:c>
    </x:row>
    <x:row r="6" spans="1:16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16">
        <x:v>1000</x:v>
      </x:c>
      <x:c r="H6" s="35">
        <x:v>43000</x:v>
      </x:c>
      <x:c r="I6" s="330">
        <x:v>1350</x:v>
      </x:c>
      <x:c r="J6" s="37"/>
      <x:c r="K6" s="337"/>
      <x:c r="L6" s="311"/>
      <x:c r="M6" s="465"/>
      <x:c r="N6" s="39"/>
      <x:c r="O6" s="81">
        <x:f t="shared" ref="O6:O75" si="0">J6+K6+L6+M6+N6</x:f>
        <x:v>0</x:v>
      </x:c>
      <x:c r="P6" s="40">
        <x:f t="shared" ref="P6:P75" si="1">E6*O6</x:f>
        <x:v>0</x:v>
      </x:c>
    </x:row>
    <x:row r="7" spans="1:16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16">
        <x:v>1000</x:v>
      </x:c>
      <x:c r="H7" s="35">
        <x:v>20000</x:v>
      </x:c>
      <x:c r="I7" s="330">
        <x:v>1400</x:v>
      </x:c>
      <x:c r="J7" s="37"/>
      <x:c r="K7" s="337"/>
      <x:c r="L7" s="311"/>
      <x:c r="M7" s="465"/>
      <x:c r="N7" s="39"/>
      <x:c r="O7" s="81">
        <x:f t="shared" si="0"/>
        <x:v>0</x:v>
      </x:c>
      <x:c r="P7" s="40">
        <x:f t="shared" si="1"/>
        <x:v>0</x:v>
      </x:c>
    </x:row>
    <x:row r="8" spans="1:16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16">
        <x:v>1000</x:v>
      </x:c>
      <x:c r="H8" s="63">
        <x:v>42000</x:v>
      </x:c>
      <x:c r="I8" s="331"/>
      <x:c r="J8" s="37"/>
      <x:c r="K8" s="337"/>
      <x:c r="L8" s="312"/>
      <x:c r="M8" s="466"/>
      <x:c r="N8" s="66"/>
      <x:c r="O8" s="81">
        <x:f t="shared" si="0"/>
        <x:v>0</x:v>
      </x:c>
      <x:c r="P8" s="40">
        <x:f t="shared" si="1"/>
        <x:v>0</x:v>
      </x:c>
    </x:row>
    <x:row r="9" spans="1:16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16">
        <x:v>1000</x:v>
      </x:c>
      <x:c r="H9" s="35">
        <x:v>53000</x:v>
      </x:c>
      <x:c r="I9" s="331">
        <x:v>950</x:v>
      </x:c>
      <x:c r="J9" s="37"/>
      <x:c r="K9" s="337"/>
      <x:c r="L9" s="311"/>
      <x:c r="M9" s="465"/>
      <x:c r="N9" s="39"/>
      <x:c r="O9" s="81">
        <x:f>J9+K9+L9+M9+N9</x:f>
        <x:v>0</x:v>
      </x:c>
      <x:c r="P9" s="40">
        <x:f t="shared" si="1"/>
        <x:v>0</x:v>
      </x:c>
    </x:row>
    <x:row r="10" spans="1:16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16">
        <x:v>1000</x:v>
      </x:c>
      <x:c r="H10" s="35">
        <x:v>65000</x:v>
      </x:c>
      <x:c r="I10" s="330">
        <x:v>900</x:v>
      </x:c>
      <x:c r="J10" s="37"/>
      <x:c r="K10" s="337"/>
      <x:c r="L10" s="311"/>
      <x:c r="M10" s="465"/>
      <x:c r="N10" s="39"/>
      <x:c r="O10" s="81">
        <x:f t="shared" si="0"/>
        <x:v>0</x:v>
      </x:c>
      <x:c r="P10" s="40">
        <x:f t="shared" si="1"/>
        <x:v>0</x:v>
      </x:c>
    </x:row>
    <x:row r="11" spans="1:16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16">
        <x:v>1000</x:v>
      </x:c>
      <x:c r="H11" s="63">
        <x:v>18500</x:v>
      </x:c>
      <x:c r="I11" s="331">
        <x:v>900</x:v>
      </x:c>
      <x:c r="J11" s="37"/>
      <x:c r="K11" s="337"/>
      <x:c r="L11" s="312"/>
      <x:c r="M11" s="466"/>
      <x:c r="N11" s="66"/>
      <x:c r="O11" s="81">
        <x:f t="shared" si="0"/>
        <x:v>0</x:v>
      </x:c>
      <x:c r="P11" s="40">
        <x:f t="shared" si="1"/>
        <x:v>0</x:v>
      </x:c>
    </x:row>
    <x:row r="12" spans="1:16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16">
        <x:v>1000</x:v>
      </x:c>
      <x:c r="H12" s="35">
        <x:v>20000</x:v>
      </x:c>
      <x:c r="I12" s="330">
        <x:v>800</x:v>
      </x:c>
      <x:c r="J12" s="37"/>
      <x:c r="K12" s="337"/>
      <x:c r="L12" s="311"/>
      <x:c r="M12" s="465"/>
      <x:c r="N12" s="39"/>
      <x:c r="O12" s="81">
        <x:f t="shared" si="0"/>
        <x:v>0</x:v>
      </x:c>
      <x:c r="P12" s="40">
        <x:f t="shared" si="1"/>
        <x:v>0</x:v>
      </x:c>
    </x:row>
    <x:row r="13" spans="1:16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16">
        <x:v>1000</x:v>
      </x:c>
      <x:c r="H13" s="35">
        <x:v>19000</x:v>
      </x:c>
      <x:c r="I13" s="330"/>
      <x:c r="J13" s="37"/>
      <x:c r="K13" s="337"/>
      <x:c r="L13" s="311"/>
      <x:c r="M13" s="465"/>
      <x:c r="N13" s="39"/>
      <x:c r="O13" s="81">
        <x:f t="shared" si="0"/>
        <x:v>0</x:v>
      </x:c>
      <x:c r="P13" s="40">
        <x:f t="shared" si="1"/>
        <x:v>0</x:v>
      </x:c>
    </x:row>
    <x:row r="14" spans="1:16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16">
        <x:v>1000</x:v>
      </x:c>
      <x:c r="H14" s="35">
        <x:v>17500</x:v>
      </x:c>
      <x:c r="I14" s="330"/>
      <x:c r="J14" s="37"/>
      <x:c r="K14" s="337"/>
      <x:c r="L14" s="311"/>
      <x:c r="M14" s="465"/>
      <x:c r="N14" s="39"/>
      <x:c r="O14" s="81">
        <x:f t="shared" si="0"/>
        <x:v>0</x:v>
      </x:c>
      <x:c r="P14" s="40">
        <x:f t="shared" si="1"/>
        <x:v>0</x:v>
      </x:c>
    </x:row>
    <x:row r="15" spans="1:16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16">
        <x:v>1000</x:v>
      </x:c>
      <x:c r="H15" s="35">
        <x:v>18000</x:v>
      </x:c>
      <x:c r="I15" s="330"/>
      <x:c r="J15" s="37"/>
      <x:c r="K15" s="337">
        <x:v>1000</x:v>
      </x:c>
      <x:c r="L15" s="311"/>
      <x:c r="M15" s="465">
        <x:v>1000</x:v>
      </x:c>
      <x:c r="N15" s="39"/>
      <x:c r="O15" s="81">
        <x:f t="shared" si="0"/>
        <x:v>2000</x:v>
      </x:c>
      <x:c r="P15" s="40">
        <x:f t="shared" si="1"/>
        <x:v>36000</x:v>
      </x:c>
    </x:row>
    <x:row r="16" spans="1:16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500</x:v>
      </x:c>
      <x:c r="H16" s="35">
        <x:v>69000</x:v>
      </x:c>
      <x:c r="I16" s="330"/>
      <x:c r="J16" s="37"/>
      <x:c r="K16" s="337">
        <x:v>500</x:v>
      </x:c>
      <x:c r="L16" s="311"/>
      <x:c r="M16" s="465"/>
      <x:c r="N16" s="39"/>
      <x:c r="O16" s="81">
        <x:f t="shared" si="0"/>
        <x:v>500</x:v>
      </x:c>
      <x:c r="P16" s="40">
        <x:f t="shared" si="1"/>
        <x:v>3450</x:v>
      </x:c>
    </x:row>
    <x:row r="17" spans="1:16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35">
        <x:v>250</x:v>
      </x:c>
      <x:c r="H17" s="63">
        <x:v>71000</x:v>
      </x:c>
      <x:c r="I17" s="331">
        <x:v>200</x:v>
      </x:c>
      <x:c r="J17" s="37"/>
      <x:c r="K17" s="337"/>
      <x:c r="L17" s="312"/>
      <x:c r="M17" s="466"/>
      <x:c r="N17" s="66"/>
      <x:c r="O17" s="81">
        <x:f t="shared" si="0"/>
        <x:v>0</x:v>
      </x:c>
      <x:c r="P17" s="40">
        <x:f t="shared" si="1"/>
        <x:v>0</x:v>
      </x:c>
    </x:row>
    <x:row r="18" spans="1:16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500</x:v>
      </x:c>
      <x:c r="H18" s="35">
        <x:v>72000</x:v>
      </x:c>
      <x:c r="I18" s="330"/>
      <x:c r="J18" s="37"/>
      <x:c r="K18" s="337">
        <x:v>500</x:v>
      </x:c>
      <x:c r="L18" s="311"/>
      <x:c r="M18" s="465"/>
      <x:c r="N18" s="39"/>
      <x:c r="O18" s="81">
        <x:f t="shared" si="0"/>
        <x:v>500</x:v>
      </x:c>
      <x:c r="P18" s="40">
        <x:f t="shared" si="1"/>
        <x:v>3600</x:v>
      </x:c>
    </x:row>
    <x:row r="19" spans="1:16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250</x:v>
      </x:c>
      <x:c r="H19" s="35">
        <x:v>90000</x:v>
      </x:c>
      <x:c r="I19" s="330"/>
      <x:c r="J19" s="37"/>
      <x:c r="K19" s="337"/>
      <x:c r="L19" s="311"/>
      <x:c r="M19" s="465"/>
      <x:c r="N19" s="39"/>
      <x:c r="O19" s="81">
        <x:f t="shared" si="0"/>
        <x:v>0</x:v>
      </x:c>
      <x:c r="P19" s="40">
        <x:f t="shared" si="1"/>
        <x:v>0</x:v>
      </x:c>
    </x:row>
    <x:row r="20" spans="1:16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35">
        <x:v>250</x:v>
      </x:c>
      <x:c r="H20" s="63">
        <x:v>106800</x:v>
      </x:c>
      <x:c r="I20" s="331"/>
      <x:c r="J20" s="37"/>
      <x:c r="K20" s="337"/>
      <x:c r="L20" s="312"/>
      <x:c r="M20" s="466"/>
      <x:c r="N20" s="66"/>
      <x:c r="O20" s="81">
        <x:f t="shared" si="0"/>
        <x:v>0</x:v>
      </x:c>
      <x:c r="P20" s="40">
        <x:f t="shared" si="1"/>
        <x:v>0</x:v>
      </x:c>
    </x:row>
    <x:row r="21" spans="1:16" customHeight="1">
      <x:c r="A21" s="488"/>
      <x:c r="B21" s="57" t="s">
        <x:v>23</x:v>
      </x:c>
      <x:c r="C21" s="32" t="s">
        <x:v>52</x:v>
      </x:c>
      <x:c r="D21" s="32" t="s">
        <x:v>140</x:v>
      </x:c>
      <x:c r="E21" s="110">
        <x:v>22.8125</x:v>
      </x:c>
      <x:c r="F21" s="34">
        <x:v>3200</x:v>
      </x:c>
      <x:c r="G21" s="35">
        <x:v>250</x:v>
      </x:c>
      <x:c r="H21" s="35">
        <x:v>73000</x:v>
      </x:c>
      <x:c r="I21" s="330">
        <x:v>200</x:v>
      </x:c>
      <x:c r="J21" s="37"/>
      <x:c r="K21" s="337"/>
      <x:c r="L21" s="311"/>
      <x:c r="M21" s="465"/>
      <x:c r="N21" s="39"/>
      <x:c r="O21" s="81">
        <x:f t="shared" si="0"/>
        <x:v>0</x:v>
      </x:c>
      <x:c r="P21" s="40">
        <x:f t="shared" si="1"/>
        <x:v>0</x:v>
      </x:c>
    </x:row>
    <x:row r="22" spans="1:16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200</x:v>
      </x:c>
      <x:c r="H22" s="35">
        <x:v>22500</x:v>
      </x:c>
      <x:c r="I22" s="330">
        <x:v>75</x:v>
      </x:c>
      <x:c r="J22" s="37"/>
      <x:c r="K22" s="337"/>
      <x:c r="L22" s="311"/>
      <x:c r="M22" s="465"/>
      <x:c r="N22" s="39"/>
      <x:c r="O22" s="81">
        <x:f t="shared" si="0"/>
        <x:v>0</x:v>
      </x:c>
      <x:c r="P22" s="40">
        <x:f t="shared" si="1"/>
        <x:v>0</x:v>
      </x:c>
    </x:row>
    <x:row r="23" spans="1:16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35">
        <x:v>8000</x:v>
      </x:c>
      <x:c r="H23" s="63">
        <x:v>29000</x:v>
      </x:c>
      <x:c r="I23" s="331">
        <x:v>6000</x:v>
      </x:c>
      <x:c r="J23" s="37"/>
      <x:c r="K23" s="337"/>
      <x:c r="L23" s="312"/>
      <x:c r="M23" s="466"/>
      <x:c r="N23" s="66"/>
      <x:c r="O23" s="81">
        <x:f t="shared" si="0"/>
        <x:v>0</x:v>
      </x:c>
      <x:c r="P23" s="40">
        <x:f t="shared" si="1"/>
        <x:v>0</x:v>
      </x:c>
    </x:row>
    <x:row r="24" spans="1:16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</x:v>
      </x:c>
      <x:c r="H24" s="35">
        <x:v>12000</x:v>
      </x:c>
      <x:c r="I24" s="330"/>
      <x:c r="J24" s="37"/>
      <x:c r="K24" s="337"/>
      <x:c r="L24" s="311"/>
      <x:c r="M24" s="465">
        <x:v>1</x:v>
      </x:c>
      <x:c r="N24" s="39"/>
      <x:c r="O24" s="81">
        <x:f t="shared" si="0"/>
        <x:v>1</x:v>
      </x:c>
      <x:c r="P24" s="40">
        <x:f t="shared" si="1"/>
        <x:v>12000</x:v>
      </x:c>
    </x:row>
    <x:row r="25" spans="1:16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1000</x:v>
      </x:c>
      <x:c r="H25" s="35">
        <x:v>64000</x:v>
      </x:c>
      <x:c r="I25" s="330">
        <x:v>1000</x:v>
      </x:c>
      <x:c r="J25" s="37"/>
      <x:c r="K25" s="337"/>
      <x:c r="L25" s="311"/>
      <x:c r="M25" s="465"/>
      <x:c r="N25" s="39"/>
      <x:c r="O25" s="81">
        <x:f t="shared" si="0"/>
        <x:v>0</x:v>
      </x:c>
      <x:c r="P25" s="40">
        <x:f t="shared" si="1"/>
        <x:v>0</x:v>
      </x:c>
    </x:row>
    <x:row r="26" spans="1:16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1000</x:v>
      </x:c>
      <x:c r="H26" s="35">
        <x:v>68000</x:v>
      </x:c>
      <x:c r="I26" s="330"/>
      <x:c r="J26" s="37"/>
      <x:c r="K26" s="337"/>
      <x:c r="L26" s="311"/>
      <x:c r="M26" s="465"/>
      <x:c r="N26" s="39"/>
      <x:c r="O26" s="81">
        <x:f t="shared" si="0"/>
        <x:v>0</x:v>
      </x:c>
      <x:c r="P26" s="40">
        <x:f t="shared" si="1"/>
        <x:v>0</x:v>
      </x:c>
    </x:row>
    <x:row r="27" spans="1:16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200</x:v>
      </x:c>
      <x:c r="H27" s="35">
        <x:v>5000</x:v>
      </x:c>
      <x:c r="I27" s="330"/>
      <x:c r="J27" s="37"/>
      <x:c r="K27" s="337"/>
      <x:c r="L27" s="311"/>
      <x:c r="M27" s="465"/>
      <x:c r="N27" s="39"/>
      <x:c r="O27" s="81">
        <x:f t="shared" si="0"/>
        <x:v>0</x:v>
      </x:c>
      <x:c r="P27" s="40">
        <x:f t="shared" si="1"/>
        <x:v>0</x:v>
      </x:c>
    </x:row>
    <x:row r="28" spans="1:16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35">
        <x:v>1</x:v>
      </x:c>
      <x:c r="H28" s="63">
        <x:v>25200</x:v>
      </x:c>
      <x:c r="I28" s="331">
        <x:v>6</x:v>
      </x:c>
      <x:c r="J28" s="37"/>
      <x:c r="K28" s="337"/>
      <x:c r="L28" s="312"/>
      <x:c r="M28" s="466"/>
      <x:c r="N28" s="66"/>
      <x:c r="O28" s="81">
        <x:f t="shared" si="0"/>
        <x:v>0</x:v>
      </x:c>
      <x:c r="P28" s="40">
        <x:f t="shared" si="1"/>
        <x:v>0</x:v>
      </x:c>
    </x:row>
    <x:row r="29" spans="1:16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1</x:v>
      </x:c>
      <x:c r="H29" s="35">
        <x:v>25200</x:v>
      </x:c>
      <x:c r="I29" s="330">
        <x:v>5</x:v>
      </x:c>
      <x:c r="J29" s="37"/>
      <x:c r="K29" s="337"/>
      <x:c r="L29" s="311"/>
      <x:c r="M29" s="465"/>
      <x:c r="N29" s="39"/>
      <x:c r="O29" s="81">
        <x:f t="shared" si="0"/>
        <x:v>0</x:v>
      </x:c>
      <x:c r="P29" s="40">
        <x:f t="shared" si="1"/>
        <x:v>0</x:v>
      </x:c>
    </x:row>
    <x:row r="30" spans="1:16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1</x:v>
      </x:c>
      <x:c r="H30" s="35">
        <x:v>25200</x:v>
      </x:c>
      <x:c r="I30" s="330">
        <x:v>4</x:v>
      </x:c>
      <x:c r="J30" s="37"/>
      <x:c r="K30" s="337"/>
      <x:c r="L30" s="311"/>
      <x:c r="M30" s="465"/>
      <x:c r="N30" s="39"/>
      <x:c r="O30" s="81">
        <x:f t="shared" si="0"/>
        <x:v>0</x:v>
      </x:c>
      <x:c r="P30" s="40">
        <x:f t="shared" si="1"/>
        <x:v>0</x:v>
      </x:c>
    </x:row>
    <x:row r="31" spans="1:16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</x:v>
      </x:c>
      <x:c r="H31" s="35">
        <x:v>16800</x:v>
      </x:c>
      <x:c r="I31" s="330"/>
      <x:c r="J31" s="37"/>
      <x:c r="K31" s="337"/>
      <x:c r="L31" s="311"/>
      <x:c r="M31" s="465"/>
      <x:c r="N31" s="39"/>
      <x:c r="O31" s="81">
        <x:f t="shared" si="0"/>
        <x:v>0</x:v>
      </x:c>
      <x:c r="P31" s="40">
        <x:f t="shared" si="1"/>
        <x:v>0</x:v>
      </x:c>
    </x:row>
    <x:row r="32" spans="1:16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</x:v>
      </x:c>
      <x:c r="H32" s="35">
        <x:v>19200</x:v>
      </x:c>
      <x:c r="I32" s="330">
        <x:v>1</x:v>
      </x:c>
      <x:c r="J32" s="37"/>
      <x:c r="K32" s="337"/>
      <x:c r="L32" s="311"/>
      <x:c r="M32" s="465">
        <x:v>1</x:v>
      </x:c>
      <x:c r="N32" s="39"/>
      <x:c r="O32" s="81">
        <x:f t="shared" si="0"/>
        <x:v>1</x:v>
      </x:c>
      <x:c r="P32" s="40">
        <x:f t="shared" si="1"/>
        <x:v>3200</x:v>
      </x:c>
    </x:row>
    <x:row r="33" spans="1:16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25">
        <x:v>1</x:v>
      </x:c>
      <x:c r="H33" s="71">
        <x:v>8200</x:v>
      </x:c>
      <x:c r="I33" s="331">
        <x:v>3</x:v>
      </x:c>
      <x:c r="J33" s="37"/>
      <x:c r="K33" s="337"/>
      <x:c r="L33" s="312"/>
      <x:c r="M33" s="466"/>
      <x:c r="N33" s="66"/>
      <x:c r="O33" s="81">
        <x:f t="shared" si="0"/>
        <x:v>0</x:v>
      </x:c>
      <x:c r="P33" s="40">
        <x:f t="shared" si="1"/>
        <x:v>0</x:v>
      </x:c>
    </x:row>
    <x:row r="34" spans="1:16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35">
        <x:v>1</x:v>
      </x:c>
      <x:c r="H34" s="72">
        <x:v>86400</x:v>
      </x:c>
      <x:c r="I34" s="331"/>
      <x:c r="J34" s="37"/>
      <x:c r="K34" s="337"/>
      <x:c r="L34" s="312"/>
      <x:c r="M34" s="466"/>
      <x:c r="N34" s="66"/>
      <x:c r="O34" s="81">
        <x:f t="shared" si="0"/>
        <x:v>0</x:v>
      </x:c>
      <x:c r="P34" s="40">
        <x:f t="shared" si="1"/>
        <x:v>0</x:v>
      </x:c>
    </x:row>
    <x:row r="35" spans="1:16" ht="16.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25">
        <x:v>1</x:v>
      </x:c>
      <x:c r="H35" s="72">
        <x:v>92400</x:v>
      </x:c>
      <x:c r="I35" s="331">
        <x:v>4</x:v>
      </x:c>
      <x:c r="J35" s="37"/>
      <x:c r="K35" s="337">
        <x:v>2</x:v>
      </x:c>
      <x:c r="L35" s="312"/>
      <x:c r="M35" s="466">
        <x:v>2</x:v>
      </x:c>
      <x:c r="N35" s="66"/>
      <x:c r="O35" s="81">
        <x:f t="shared" si="0"/>
        <x:v>4</x:v>
      </x:c>
      <x:c r="P35" s="40">
        <x:f t="shared" si="1"/>
        <x:v>30800</x:v>
      </x:c>
    </x:row>
    <x:row r="36" spans="1:16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</x:v>
      </x:c>
      <x:c r="H36" s="35">
        <x:v>16200</x:v>
      </x:c>
      <x:c r="I36" s="331">
        <x:v>2</x:v>
      </x:c>
      <x:c r="J36" s="37"/>
      <x:c r="K36" s="337">
        <x:v>3</x:v>
      </x:c>
      <x:c r="L36" s="312"/>
      <x:c r="M36" s="466">
        <x:v>5</x:v>
      </x:c>
      <x:c r="N36" s="66"/>
      <x:c r="O36" s="81">
        <x:f t="shared" si="0"/>
        <x:v>8</x:v>
      </x:c>
      <x:c r="P36" s="40">
        <x:f t="shared" si="1"/>
        <x:v>10800</x:v>
      </x:c>
    </x:row>
    <x:row r="37" spans="1:16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25">
        <x:v>1</x:v>
      </x:c>
      <x:c r="H37" s="35">
        <x:v>54960</x:v>
      </x:c>
      <x:c r="I37" s="330"/>
      <x:c r="J37" s="37"/>
      <x:c r="K37" s="337"/>
      <x:c r="L37" s="311"/>
      <x:c r="M37" s="465"/>
      <x:c r="N37" s="39"/>
      <x:c r="O37" s="81">
        <x:f t="shared" si="0"/>
        <x:v>0</x:v>
      </x:c>
      <x:c r="P37" s="40">
        <x:f t="shared" si="1"/>
        <x:v>0</x:v>
      </x:c>
    </x:row>
    <x:row r="38" spans="1:16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35">
        <x:v>1</x:v>
      </x:c>
      <x:c r="H38" s="25">
        <x:v>54960</x:v>
      </x:c>
      <x:c r="I38" s="330"/>
      <x:c r="J38" s="37"/>
      <x:c r="K38" s="337"/>
      <x:c r="L38" s="311"/>
      <x:c r="M38" s="465"/>
      <x:c r="N38" s="39"/>
      <x:c r="O38" s="81">
        <x:f t="shared" si="0"/>
        <x:v>0</x:v>
      </x:c>
      <x:c r="P38" s="40">
        <x:f t="shared" si="1"/>
        <x:v>0</x:v>
      </x:c>
    </x:row>
    <x:row r="39" spans="1:16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25">
        <x:v>1</x:v>
      </x:c>
      <x:c r="H39" s="35">
        <x:v>58880</x:v>
      </x:c>
      <x:c r="I39" s="330">
        <x:v>1</x:v>
      </x:c>
      <x:c r="J39" s="37"/>
      <x:c r="K39" s="337">
        <x:v>1</x:v>
      </x:c>
      <x:c r="L39" s="311"/>
      <x:c r="M39" s="465">
        <x:v>2</x:v>
      </x:c>
      <x:c r="N39" s="39"/>
      <x:c r="O39" s="81">
        <x:f t="shared" si="0"/>
        <x:v>3</x:v>
      </x:c>
      <x:c r="P39" s="40">
        <x:f t="shared" si="1"/>
        <x:v>22080</x:v>
      </x:c>
    </x:row>
    <x:row r="40" spans="1:16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1</x:v>
      </x:c>
      <x:c r="H40" s="35">
        <x:v>58880</x:v>
      </x:c>
      <x:c r="I40" s="330">
        <x:v>1</x:v>
      </x:c>
      <x:c r="J40" s="37"/>
      <x:c r="K40" s="337">
        <x:v>1</x:v>
      </x:c>
      <x:c r="L40" s="311"/>
      <x:c r="M40" s="465">
        <x:v>1</x:v>
      </x:c>
      <x:c r="N40" s="39"/>
      <x:c r="O40" s="81">
        <x:f t="shared" si="0"/>
        <x:v>2</x:v>
      </x:c>
      <x:c r="P40" s="30">
        <x:f t="shared" si="1"/>
        <x:v>14720</x:v>
      </x:c>
    </x:row>
    <x:row r="41" spans="1:16" customHeight="1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100</x:v>
      </x:c>
      <x:c r="H41" s="17">
        <x:v>3200</x:v>
      </x:c>
      <x:c r="I41" s="329"/>
      <x:c r="J41" s="19"/>
      <x:c r="K41" s="336">
        <x:v>100</x:v>
      </x:c>
      <x:c r="L41" s="310"/>
      <x:c r="M41" s="464">
        <x:v>100</x:v>
      </x:c>
      <x:c r="N41" s="21"/>
      <x:c r="O41" s="80">
        <x:f t="shared" si="0"/>
        <x:v>200</x:v>
      </x:c>
      <x:c r="P41" s="22">
        <x:f t="shared" si="1"/>
        <x:v>1280</x:v>
      </x:c>
    </x:row>
    <x:row r="42" spans="1:16" customHeight="1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100</x:v>
      </x:c>
      <x:c r="H42" s="25">
        <x:v>4690</x:v>
      </x:c>
      <x:c r="I42" s="332"/>
      <x:c r="J42" s="27"/>
      <x:c r="K42" s="338"/>
      <x:c r="L42" s="313"/>
      <x:c r="M42" s="467"/>
      <x:c r="N42" s="29"/>
      <x:c r="O42" s="83">
        <x:f t="shared" si="0"/>
        <x:v>0</x:v>
      </x:c>
      <x:c r="P42" s="42">
        <x:f t="shared" si="1"/>
        <x:v>0</x:v>
      </x:c>
    </x:row>
    <x:row r="43" spans="1:16" customHeight="1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1</x:v>
      </x:c>
      <x:c r="H43" s="17">
        <x:v>92400</x:v>
      </x:c>
      <x:c r="I43" s="329">
        <x:v>1</x:v>
      </x:c>
      <x:c r="J43" s="19"/>
      <x:c r="K43" s="336">
        <x:v>1</x:v>
      </x:c>
      <x:c r="L43" s="310"/>
      <x:c r="M43" s="464"/>
      <x:c r="N43" s="21"/>
      <x:c r="O43" s="84">
        <x:f t="shared" si="0"/>
        <x:v>1</x:v>
      </x:c>
      <x:c r="P43" s="22">
        <x:f t="shared" si="1"/>
        <x:v>7700</x:v>
      </x:c>
    </x:row>
    <x:row r="44" spans="1:16" customHeight="1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1</x:v>
      </x:c>
      <x:c r="H44" s="35">
        <x:v>74400</x:v>
      </x:c>
      <x:c r="I44" s="330">
        <x:v>1</x:v>
      </x:c>
      <x:c r="J44" s="37"/>
      <x:c r="K44" s="337"/>
      <x:c r="L44" s="311"/>
      <x:c r="M44" s="465">
        <x:v>2</x:v>
      </x:c>
      <x:c r="N44" s="39"/>
      <x:c r="O44" s="84">
        <x:f t="shared" si="0"/>
        <x:v>2</x:v>
      </x:c>
      <x:c r="P44" s="40">
        <x:f t="shared" si="1"/>
        <x:v>12400</x:v>
      </x:c>
    </x:row>
    <x:row r="45" spans="1:16" customHeight="1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17">
        <x:v>1</x:v>
      </x:c>
      <x:c r="H45" s="35">
        <x:v>80400</x:v>
      </x:c>
      <x:c r="I45" s="330">
        <x:v>1</x:v>
      </x:c>
      <x:c r="J45" s="37"/>
      <x:c r="K45" s="337">
        <x:v>1</x:v>
      </x:c>
      <x:c r="L45" s="311"/>
      <x:c r="M45" s="465">
        <x:v>1</x:v>
      </x:c>
      <x:c r="N45" s="39"/>
      <x:c r="O45" s="84">
        <x:f t="shared" si="0"/>
        <x:v>2</x:v>
      </x:c>
      <x:c r="P45" s="40">
        <x:f t="shared" si="1"/>
        <x:v>13400</x:v>
      </x:c>
    </x:row>
    <x:row r="46" spans="1:16" customHeight="1">
      <x:c r="A46" s="488"/>
      <x:c r="B46" s="57" t="s">
        <x:v>92</x:v>
      </x:c>
      <x:c r="C46" s="57" t="s">
        <x:v>45</x:v>
      </x:c>
      <x:c r="D46" s="57" t="s">
        <x:v>140</x:v>
      </x:c>
      <x:c r="E46" s="74">
        <x:v>7250</x:v>
      </x:c>
      <x:c r="F46" s="34">
        <x:v>12</x:v>
      </x:c>
      <x:c r="G46" s="35">
        <x:v>1</x:v>
      </x:c>
      <x:c r="H46" s="35">
        <x:v>87000</x:v>
      </x:c>
      <x:c r="I46" s="330">
        <x:v>1</x:v>
      </x:c>
      <x:c r="J46" s="37"/>
      <x:c r="K46" s="337">
        <x:v>1</x:v>
      </x:c>
      <x:c r="L46" s="311"/>
      <x:c r="M46" s="465"/>
      <x:c r="N46" s="39"/>
      <x:c r="O46" s="84">
        <x:f t="shared" si="0"/>
        <x:v>1</x:v>
      </x:c>
      <x:c r="P46" s="40">
        <x:f t="shared" si="1"/>
        <x:v>7250</x:v>
      </x:c>
    </x:row>
    <x:row r="47" spans="1:16" customHeight="1">
      <x:c r="A47" s="488"/>
      <x:c r="B47" s="57" t="s">
        <x:v>93</x:v>
      </x:c>
      <x:c r="C47" s="57" t="s">
        <x:v>55</x:v>
      </x:c>
      <x:c r="D47" s="57" t="s">
        <x:v>140</x:v>
      </x:c>
      <x:c r="E47" s="74">
        <x:v>5300</x:v>
      </x:c>
      <x:c r="F47" s="34">
        <x:v>12</x:v>
      </x:c>
      <x:c r="G47" s="17">
        <x:v>1</x:v>
      </x:c>
      <x:c r="H47" s="35">
        <x:v>63600</x:v>
      </x:c>
      <x:c r="I47" s="330">
        <x:v>0</x:v>
      </x:c>
      <x:c r="J47" s="37"/>
      <x:c r="K47" s="337"/>
      <x:c r="L47" s="311"/>
      <x:c r="M47" s="465"/>
      <x:c r="N47" s="39"/>
      <x:c r="O47" s="84">
        <x:f t="shared" si="0"/>
        <x:v>0</x:v>
      </x:c>
      <x:c r="P47" s="40">
        <x:f t="shared" si="1"/>
        <x:v>0</x:v>
      </x:c>
    </x:row>
    <x:row r="48" spans="1:16" customHeight="1">
      <x:c r="A48" s="488"/>
      <x:c r="B48" s="57" t="s">
        <x:v>30</x:v>
      </x:c>
      <x:c r="C48" s="57" t="s">
        <x:v>55</x:v>
      </x:c>
      <x:c r="D48" s="57" t="s">
        <x:v>140</x:v>
      </x:c>
      <x:c r="E48" s="74">
        <x:v>6600</x:v>
      </x:c>
      <x:c r="F48" s="34">
        <x:v>12</x:v>
      </x:c>
      <x:c r="G48" s="35">
        <x:v>1</x:v>
      </x:c>
      <x:c r="H48" s="35">
        <x:v>79200</x:v>
      </x:c>
      <x:c r="I48" s="330">
        <x:v>0</x:v>
      </x:c>
      <x:c r="J48" s="37"/>
      <x:c r="K48" s="337">
        <x:v>1</x:v>
      </x:c>
      <x:c r="L48" s="311"/>
      <x:c r="M48" s="465"/>
      <x:c r="N48" s="39"/>
      <x:c r="O48" s="84">
        <x:f t="shared" si="0"/>
        <x:v>1</x:v>
      </x:c>
      <x:c r="P48" s="40">
        <x:f t="shared" si="1"/>
        <x:v>6600</x:v>
      </x:c>
    </x:row>
    <x:row r="49" spans="1:16" customHeight="1">
      <x:c r="A49" s="488"/>
      <x:c r="B49" s="57" t="s">
        <x:v>84</x:v>
      </x:c>
      <x:c r="C49" s="57" t="s">
        <x:v>28</x:v>
      </x:c>
      <x:c r="D49" s="57" t="s">
        <x:v>140</x:v>
      </x:c>
      <x:c r="E49" s="74">
        <x:v>14500</x:v>
      </x:c>
      <x:c r="F49" s="34">
        <x:v>6</x:v>
      </x:c>
      <x:c r="G49" s="17">
        <x:v>1</x:v>
      </x:c>
      <x:c r="H49" s="35">
        <x:v>87000</x:v>
      </x:c>
      <x:c r="I49" s="330">
        <x:v>1</x:v>
      </x:c>
      <x:c r="J49" s="37"/>
      <x:c r="K49" s="337">
        <x:v>1</x:v>
      </x:c>
      <x:c r="L49" s="311"/>
      <x:c r="M49" s="465">
        <x:v>1</x:v>
      </x:c>
      <x:c r="N49" s="39"/>
      <x:c r="O49" s="84">
        <x:f t="shared" si="0"/>
        <x:v>2</x:v>
      </x:c>
      <x:c r="P49" s="40">
        <x:f t="shared" si="1"/>
        <x:v>29000</x:v>
      </x:c>
    </x:row>
    <x:row r="50" spans="1:16" customHeight="1">
      <x:c r="A50" s="488"/>
      <x:c r="B50" s="57" t="s">
        <x:v>98</x:v>
      </x:c>
      <x:c r="C50" s="57" t="s">
        <x:v>28</x:v>
      </x:c>
      <x:c r="D50" s="57" t="s">
        <x:v>140</x:v>
      </x:c>
      <x:c r="E50" s="74">
        <x:v>11000</x:v>
      </x:c>
      <x:c r="F50" s="34">
        <x:v>6</x:v>
      </x:c>
      <x:c r="G50" s="35">
        <x:v>1</x:v>
      </x:c>
      <x:c r="H50" s="35">
        <x:v>66000</x:v>
      </x:c>
      <x:c r="I50" s="330">
        <x:v>1</x:v>
      </x:c>
      <x:c r="J50" s="37"/>
      <x:c r="K50" s="337"/>
      <x:c r="L50" s="311"/>
      <x:c r="M50" s="465"/>
      <x:c r="N50" s="39"/>
      <x:c r="O50" s="84">
        <x:f t="shared" si="0"/>
        <x:v>0</x:v>
      </x:c>
      <x:c r="P50" s="40">
        <x:f t="shared" si="1"/>
        <x:v>0</x:v>
      </x:c>
    </x:row>
    <x:row r="51" spans="1:16" customHeight="1">
      <x:c r="A51" s="488"/>
      <x:c r="B51" s="57" t="s">
        <x:v>108</x:v>
      </x:c>
      <x:c r="C51" s="57" t="s">
        <x:v>28</x:v>
      </x:c>
      <x:c r="D51" s="57" t="s">
        <x:v>140</x:v>
      </x:c>
      <x:c r="E51" s="74">
        <x:v>7000</x:v>
      </x:c>
      <x:c r="F51" s="34">
        <x:v>6</x:v>
      </x:c>
      <x:c r="G51" s="17">
        <x:v>1</x:v>
      </x:c>
      <x:c r="H51" s="35">
        <x:v>42000</x:v>
      </x:c>
      <x:c r="I51" s="330">
        <x:v>1</x:v>
      </x:c>
      <x:c r="J51" s="37"/>
      <x:c r="K51" s="337"/>
      <x:c r="L51" s="311"/>
      <x:c r="M51" s="465"/>
      <x:c r="N51" s="39"/>
      <x:c r="O51" s="84">
        <x:f t="shared" si="0"/>
        <x:v>0</x:v>
      </x:c>
      <x:c r="P51" s="40">
        <x:f>E51*O51</x:f>
        <x:v>0</x:v>
      </x:c>
    </x:row>
    <x:row r="52" spans="1:16" ht="15" customHeight="1">
      <x:c r="A52" s="488"/>
      <x:c r="B52" s="57" t="s">
        <x:v>36</x:v>
      </x:c>
      <x:c r="C52" s="57" t="s">
        <x:v>28</x:v>
      </x:c>
      <x:c r="D52" s="57" t="s">
        <x:v>140</x:v>
      </x:c>
      <x:c r="E52" s="74">
        <x:v>9000</x:v>
      </x:c>
      <x:c r="F52" s="34">
        <x:v>6</x:v>
      </x:c>
      <x:c r="G52" s="35">
        <x:v>1</x:v>
      </x:c>
      <x:c r="H52" s="35">
        <x:v>54000</x:v>
      </x:c>
      <x:c r="I52" s="330">
        <x:v>0</x:v>
      </x:c>
      <x:c r="J52" s="37"/>
      <x:c r="K52" s="337"/>
      <x:c r="L52" s="311"/>
      <x:c r="M52" s="465"/>
      <x:c r="N52" s="39"/>
      <x:c r="O52" s="84">
        <x:f t="shared" si="0"/>
        <x:v>0</x:v>
      </x:c>
      <x:c r="P52" s="40">
        <x:f>E52*O52</x:f>
        <x:v>0</x:v>
      </x:c>
    </x:row>
    <x:row r="53" spans="1:16" ht="15" customHeight="1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17">
        <x:v>1</x:v>
      </x:c>
      <x:c r="H53" s="35">
        <x:f>F53*E53</x:f>
        <x:v>63600</x:v>
      </x:c>
      <x:c r="I53" s="330">
        <x:v>1</x:v>
      </x:c>
      <x:c r="J53" s="37"/>
      <x:c r="K53" s="337">
        <x:v>1</x:v>
      </x:c>
      <x:c r="L53" s="311"/>
      <x:c r="M53" s="465">
        <x:v>1</x:v>
      </x:c>
      <x:c r="N53" s="39"/>
      <x:c r="O53" s="81">
        <x:f>J53+K53+L53+M53+N53</x:f>
        <x:v>2</x:v>
      </x:c>
      <x:c r="P53" s="40">
        <x:f>E53*O53</x:f>
        <x:v>10600</x:v>
      </x:c>
    </x:row>
    <x:row r="54" spans="1:16" ht="15" customHeight="1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35">
        <x:v>1</x:v>
      </x:c>
      <x:c r="H54" s="182">
        <x:f t="shared" ref="H54:H55" si="2">F54*E54</x:f>
        <x:v>94800</x:v>
      </x:c>
      <x:c r="I54" s="330">
        <x:v>1</x:v>
      </x:c>
      <x:c r="J54" s="37"/>
      <x:c r="K54" s="337"/>
      <x:c r="L54" s="311"/>
      <x:c r="M54" s="465"/>
      <x:c r="N54" s="39"/>
      <x:c r="O54" s="81">
        <x:f t="shared" ref="O54:O55" si="3">J54+K54+L54+M54+N54</x:f>
        <x:v>0</x:v>
      </x:c>
      <x:c r="P54" s="40">
        <x:f t="shared" ref="P54:P55" si="4">E54*O54</x:f>
        <x:v>0</x:v>
      </x:c>
    </x:row>
    <x:row r="55" spans="1:16" ht="15" customHeight="1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7">
        <x:v>1</x:v>
      </x:c>
      <x:c r="H55" s="182">
        <x:f t="shared" si="2"/>
        <x:v>100800</x:v>
      </x:c>
      <x:c r="I55" s="330">
        <x:v>1</x:v>
      </x:c>
      <x:c r="J55" s="37"/>
      <x:c r="K55" s="337"/>
      <x:c r="L55" s="311"/>
      <x:c r="M55" s="465"/>
      <x:c r="N55" s="39"/>
      <x:c r="O55" s="81">
        <x:f t="shared" si="3"/>
        <x:v>0</x:v>
      </x:c>
      <x:c r="P55" s="40">
        <x:f t="shared" si="4"/>
        <x:v>0</x:v>
      </x:c>
    </x:row>
    <x:row r="56" spans="1:16" customHeight="1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1</x:v>
      </x:c>
      <x:c r="H56" s="35">
        <x:v>54000</x:v>
      </x:c>
      <x:c r="I56" s="330">
        <x:v>1</x:v>
      </x:c>
      <x:c r="J56" s="37"/>
      <x:c r="K56" s="337"/>
      <x:c r="L56" s="311"/>
      <x:c r="M56" s="465">
        <x:v>1</x:v>
      </x:c>
      <x:c r="N56" s="39"/>
      <x:c r="O56" s="84">
        <x:f t="shared" si="0"/>
        <x:v>1</x:v>
      </x:c>
      <x:c r="P56" s="40">
        <x:f t="shared" si="1"/>
        <x:v>4500</x:v>
      </x:c>
    </x:row>
    <x:row r="57" spans="1:16" customHeight="1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17">
        <x:v>1</x:v>
      </x:c>
      <x:c r="H57" s="25">
        <x:v>80400</x:v>
      </x:c>
      <x:c r="I57" s="332">
        <x:v>0</x:v>
      </x:c>
      <x:c r="J57" s="37"/>
      <x:c r="K57" s="337">
        <x:v>1</x:v>
      </x:c>
      <x:c r="L57" s="313"/>
      <x:c r="M57" s="467">
        <x:v>1</x:v>
      </x:c>
      <x:c r="N57" s="29"/>
      <x:c r="O57" s="84">
        <x:f t="shared" si="0"/>
        <x:v>2</x:v>
      </x:c>
      <x:c r="P57" s="42">
        <x:f t="shared" si="1"/>
        <x:v>13400</x:v>
      </x:c>
    </x:row>
    <x:row r="58" spans="1:16" customHeight="1">
      <x:c r="A58" s="482" t="s">
        <x:v>73</x:v>
      </x:c>
      <x:c r="B58" s="58" t="s">
        <x:v>26</x:v>
      </x:c>
      <x:c r="C58" s="58" t="s">
        <x:v>28</x:v>
      </x:c>
      <x:c r="D58" s="58" t="s">
        <x:v>140</x:v>
      </x:c>
      <x:c r="E58" s="286">
        <x:v>6900</x:v>
      </x:c>
      <x:c r="F58" s="16">
        <x:v>6</x:v>
      </x:c>
      <x:c r="G58" s="35">
        <x:v>1</x:v>
      </x:c>
      <x:c r="H58" s="17">
        <x:v>41400</x:v>
      </x:c>
      <x:c r="I58" s="329">
        <x:v>1</x:v>
      </x:c>
      <x:c r="J58" s="44"/>
      <x:c r="K58" s="336"/>
      <x:c r="L58" s="310"/>
      <x:c r="M58" s="464">
        <x:v>2</x:v>
      </x:c>
      <x:c r="N58" s="21"/>
      <x:c r="O58" s="80">
        <x:f t="shared" si="0"/>
        <x:v>2</x:v>
      </x:c>
      <x:c r="P58" s="86">
        <x:f t="shared" si="1"/>
        <x:v>13800</x:v>
      </x:c>
    </x:row>
    <x:row r="59" spans="1:16" customHeight="1">
      <x:c r="A59" s="483"/>
      <x:c r="B59" s="57" t="s">
        <x:v>29</x:v>
      </x:c>
      <x:c r="C59" s="57" t="s">
        <x:v>28</x:v>
      </x:c>
      <x:c r="D59" s="57" t="s">
        <x:v>140</x:v>
      </x:c>
      <x:c r="E59" s="74">
        <x:v>6900</x:v>
      </x:c>
      <x:c r="F59" s="34">
        <x:v>6</x:v>
      </x:c>
      <x:c r="G59" s="17">
        <x:v>1</x:v>
      </x:c>
      <x:c r="H59" s="35">
        <x:v>41400</x:v>
      </x:c>
      <x:c r="I59" s="330">
        <x:v>2</x:v>
      </x:c>
      <x:c r="J59" s="37"/>
      <x:c r="K59" s="337"/>
      <x:c r="L59" s="311"/>
      <x:c r="M59" s="465"/>
      <x:c r="N59" s="39"/>
      <x:c r="O59" s="81">
        <x:f t="shared" si="0"/>
        <x:v>0</x:v>
      </x:c>
      <x:c r="P59" s="40">
        <x:f t="shared" si="1"/>
        <x:v>0</x:v>
      </x:c>
    </x:row>
    <x:row r="60" spans="1:16" customHeight="1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1</x:v>
      </x:c>
      <x:c r="H60" s="35">
        <x:v>40800</x:v>
      </x:c>
      <x:c r="I60" s="330">
        <x:v>1</x:v>
      </x:c>
      <x:c r="J60" s="37"/>
      <x:c r="K60" s="337"/>
      <x:c r="L60" s="311"/>
      <x:c r="M60" s="465"/>
      <x:c r="N60" s="39"/>
      <x:c r="O60" s="81">
        <x:f t="shared" si="0"/>
        <x:v>0</x:v>
      </x:c>
      <x:c r="P60" s="40">
        <x:f t="shared" si="1"/>
        <x:v>0</x:v>
      </x:c>
    </x:row>
    <x:row r="61" spans="1:16" customHeight="1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17">
        <x:v>1</x:v>
      </x:c>
      <x:c r="H61" s="35">
        <x:v>60000</x:v>
      </x:c>
      <x:c r="I61" s="330">
        <x:v>1</x:v>
      </x:c>
      <x:c r="J61" s="37"/>
      <x:c r="K61" s="337">
        <x:v>1</x:v>
      </x:c>
      <x:c r="L61" s="311"/>
      <x:c r="M61" s="465">
        <x:v>2</x:v>
      </x:c>
      <x:c r="N61" s="39"/>
      <x:c r="O61" s="81">
        <x:f t="shared" si="0"/>
        <x:v>3</x:v>
      </x:c>
      <x:c r="P61" s="40">
        <x:f t="shared" si="1"/>
        <x:v>45000</x:v>
      </x:c>
    </x:row>
    <x:row r="62" spans="1:16" customHeight="1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1</x:v>
      </x:c>
      <x:c r="H62" s="35">
        <x:v>31800</x:v>
      </x:c>
      <x:c r="I62" s="330"/>
      <x:c r="J62" s="37"/>
      <x:c r="K62" s="337"/>
      <x:c r="L62" s="311"/>
      <x:c r="M62" s="465"/>
      <x:c r="N62" s="39"/>
      <x:c r="O62" s="81">
        <x:f t="shared" si="0"/>
        <x:v>0</x:v>
      </x:c>
      <x:c r="P62" s="40">
        <x:f t="shared" si="1"/>
        <x:v>0</x:v>
      </x:c>
    </x:row>
    <x:row r="63" spans="1:16" customHeight="1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17">
        <x:v>1</x:v>
      </x:c>
      <x:c r="H63" s="35">
        <x:v>39600</x:v>
      </x:c>
      <x:c r="I63" s="330">
        <x:v>1</x:v>
      </x:c>
      <x:c r="J63" s="37"/>
      <x:c r="K63" s="337">
        <x:v>1</x:v>
      </x:c>
      <x:c r="L63" s="311"/>
      <x:c r="M63" s="465">
        <x:v>1</x:v>
      </x:c>
      <x:c r="N63" s="39"/>
      <x:c r="O63" s="81">
        <x:f t="shared" si="0"/>
        <x:v>2</x:v>
      </x:c>
      <x:c r="P63" s="40">
        <x:f t="shared" si="1"/>
        <x:v>13200</x:v>
      </x:c>
    </x:row>
    <x:row r="64" spans="1:16" customHeight="1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1</x:v>
      </x:c>
      <x:c r="H64" s="35">
        <x:v>56000</x:v>
      </x:c>
      <x:c r="I64" s="330"/>
      <x:c r="J64" s="37"/>
      <x:c r="K64" s="337"/>
      <x:c r="L64" s="311"/>
      <x:c r="M64" s="465"/>
      <x:c r="N64" s="39"/>
      <x:c r="O64" s="81">
        <x:f t="shared" si="0"/>
        <x:v>0</x:v>
      </x:c>
      <x:c r="P64" s="40">
        <x:f t="shared" si="1"/>
        <x:v>0</x:v>
      </x:c>
    </x:row>
    <x:row r="65" spans="1:16" customHeight="1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17">
        <x:v>1</x:v>
      </x:c>
      <x:c r="H65" s="35">
        <x:f>F65*E65</x:f>
        <x:v>42000</x:v>
      </x:c>
      <x:c r="I65" s="330">
        <x:v>1</x:v>
      </x:c>
      <x:c r="J65" s="37"/>
      <x:c r="K65" s="337">
        <x:v>1</x:v>
      </x:c>
      <x:c r="L65" s="311"/>
      <x:c r="M65" s="465"/>
      <x:c r="N65" s="39"/>
      <x:c r="O65" s="81">
        <x:f t="shared" si="0"/>
        <x:v>1</x:v>
      </x:c>
      <x:c r="P65" s="40">
        <x:f t="shared" si="1"/>
        <x:v>7000</x:v>
      </x:c>
    </x:row>
    <x:row r="66" spans="1:16" customHeight="1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1</x:v>
      </x:c>
      <x:c r="H66" s="35">
        <x:v>56400</x:v>
      </x:c>
      <x:c r="I66" s="330"/>
      <x:c r="J66" s="37"/>
      <x:c r="K66" s="337"/>
      <x:c r="L66" s="311"/>
      <x:c r="M66" s="465"/>
      <x:c r="N66" s="39"/>
      <x:c r="O66" s="81">
        <x:f t="shared" si="0"/>
        <x:v>0</x:v>
      </x:c>
      <x:c r="P66" s="40">
        <x:f t="shared" si="1"/>
        <x:v>0</x:v>
      </x:c>
    </x:row>
    <x:row r="67" spans="1:16" customHeight="1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17">
        <x:v>1</x:v>
      </x:c>
      <x:c r="H67" s="35">
        <x:v>60400</x:v>
      </x:c>
      <x:c r="I67" s="330">
        <x:v>1</x:v>
      </x:c>
      <x:c r="J67" s="37"/>
      <x:c r="K67" s="337"/>
      <x:c r="L67" s="311"/>
      <x:c r="M67" s="465"/>
      <x:c r="N67" s="39"/>
      <x:c r="O67" s="81">
        <x:f t="shared" si="0"/>
        <x:v>0</x:v>
      </x:c>
      <x:c r="P67" s="40">
        <x:f t="shared" si="1"/>
        <x:v>0</x:v>
      </x:c>
    </x:row>
    <x:row r="68" spans="1:16" customHeight="1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1</x:v>
      </x:c>
      <x:c r="H68" s="35">
        <x:v>61200</x:v>
      </x:c>
      <x:c r="I68" s="332"/>
      <x:c r="J68" s="37"/>
      <x:c r="K68" s="337">
        <x:v>1</x:v>
      </x:c>
      <x:c r="L68" s="313"/>
      <x:c r="M68" s="467">
        <x:v>1</x:v>
      </x:c>
      <x:c r="N68" s="29"/>
      <x:c r="O68" s="83">
        <x:f t="shared" si="0"/>
        <x:v>2</x:v>
      </x:c>
      <x:c r="P68" s="30">
        <x:f t="shared" si="1"/>
        <x:v>30600</x:v>
      </x:c>
    </x:row>
    <x:row r="69" spans="1:16" customHeight="1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17">
        <x:v>1</x:v>
      </x:c>
      <x:c r="H69" s="45">
        <x:v>110000</x:v>
      </x:c>
      <x:c r="I69" s="329">
        <x:v>20</x:v>
      </x:c>
      <x:c r="J69" s="44"/>
      <x:c r="K69" s="336">
        <x:v>3</x:v>
      </x:c>
      <x:c r="L69" s="310"/>
      <x:c r="M69" s="464">
        <x:v>12</x:v>
      </x:c>
      <x:c r="N69" s="21"/>
      <x:c r="O69" s="80">
        <x:f t="shared" si="0"/>
        <x:v>15</x:v>
      </x:c>
      <x:c r="P69" s="22">
        <x:f t="shared" si="1"/>
        <x:v>165000</x:v>
      </x:c>
    </x:row>
    <x:row r="70" spans="1:16" customHeight="1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">
        <x:v>1</x:v>
      </x:c>
      <x:c r="H70" s="354">
        <x:v>140000</x:v>
      </x:c>
      <x:c r="I70" s="406"/>
      <x:c r="J70" s="400"/>
      <x:c r="K70" s="407"/>
      <x:c r="L70" s="408">
        <x:v>0</x:v>
      </x:c>
      <x:c r="M70" s="468"/>
      <x:c r="N70" s="402"/>
      <x:c r="O70" s="83">
        <x:f t="shared" si="0"/>
        <x:v>0</x:v>
      </x:c>
      <x:c r="P70" s="30">
        <x:f t="shared" si="1"/>
        <x:v>0</x:v>
      </x:c>
    </x:row>
    <x:row r="71" spans="1:16" customHeight="1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17">
        <x:v>1</x:v>
      </x:c>
      <x:c r="H71" s="67">
        <x:v>190000</x:v>
      </x:c>
      <x:c r="I71" s="333">
        <x:v>1</x:v>
      </x:c>
      <x:c r="J71" s="68"/>
      <x:c r="K71" s="339"/>
      <x:c r="L71" s="314"/>
      <x:c r="M71" s="469"/>
      <x:c r="N71" s="53"/>
      <x:c r="O71" s="83">
        <x:f t="shared" si="0"/>
        <x:v>0</x:v>
      </x:c>
      <x:c r="P71" s="42">
        <x:f t="shared" si="1"/>
        <x:v>0</x:v>
      </x:c>
    </x:row>
    <x:row r="72" spans="1:16" customHeight="1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17">
        <x:v>1</x:v>
      </x:c>
      <x:c r="H72" s="45">
        <x:v>4000</x:v>
      </x:c>
      <x:c r="I72" s="329">
        <x:v>1.1499999999999999</x:v>
      </x:c>
      <x:c r="J72" s="19"/>
      <x:c r="K72" s="336"/>
      <x:c r="L72" s="310"/>
      <x:c r="M72" s="464"/>
      <x:c r="N72" s="21"/>
      <x:c r="O72" s="84">
        <x:f t="shared" si="0"/>
        <x:v>0</x:v>
      </x:c>
      <x:c r="P72" s="86">
        <x:f t="shared" si="1"/>
        <x:v>0</x:v>
      </x:c>
    </x:row>
    <x:row r="73" spans="1:16" customHeight="1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1</x:v>
      </x:c>
      <x:c r="H73" s="35">
        <x:v>4000</x:v>
      </x:c>
      <x:c r="I73" s="334">
        <x:v>1.6000000000000001</x:v>
      </x:c>
      <x:c r="J73" s="37"/>
      <x:c r="K73" s="337"/>
      <x:c r="L73" s="311"/>
      <x:c r="M73" s="465">
        <x:v>1</x:v>
      </x:c>
      <x:c r="N73" s="39"/>
      <x:c r="O73" s="81">
        <x:f t="shared" si="0"/>
        <x:v>1</x:v>
      </x:c>
      <x:c r="P73" s="40">
        <x:f t="shared" si="1"/>
        <x:v>4000</x:v>
      </x:c>
    </x:row>
    <x:row r="74" spans="1:16" customHeight="1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1</x:v>
      </x:c>
      <x:c r="H74" s="35">
        <x:v>4000</x:v>
      </x:c>
      <x:c r="I74" s="334">
        <x:v>1.3</x:v>
      </x:c>
      <x:c r="J74" s="37"/>
      <x:c r="K74" s="337">
        <x:v>1</x:v>
      </x:c>
      <x:c r="L74" s="311"/>
      <x:c r="M74" s="465"/>
      <x:c r="N74" s="39"/>
      <x:c r="O74" s="81">
        <x:f t="shared" si="0"/>
        <x:v>1</x:v>
      </x:c>
      <x:c r="P74" s="40">
        <x:f t="shared" si="1"/>
        <x:v>4000</x:v>
      </x:c>
    </x:row>
    <x:row r="75" spans="1:16" customHeight="1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1</x:v>
      </x:c>
      <x:c r="H75" s="49">
        <x:v>4300</x:v>
      </x:c>
      <x:c r="I75" s="335">
        <x:v>1</x:v>
      </x:c>
      <x:c r="J75" s="51"/>
      <x:c r="K75" s="339">
        <x:v>1</x:v>
      </x:c>
      <x:c r="L75" s="314"/>
      <x:c r="M75" s="469"/>
      <x:c r="N75" s="53"/>
      <x:c r="O75" s="83">
        <x:f t="shared" si="0"/>
        <x:v>1</x:v>
      </x:c>
      <x:c r="P75" s="42">
        <x:f t="shared" si="1"/>
        <x:v>4300</x:v>
      </x:c>
    </x:row>
    <x:row r="76" spans="1:16" customHeight="1">
      <x:c r="A76" s="54"/>
      <x:c r="B76" s="54"/>
      <x:c r="C76" s="54"/>
      <x:c r="D76" s="54"/>
      <x:c r="E76" s="54">
        <x:f t="shared" ref="E76:H76" si="5">SUM(E5:E75)</x:f>
        <x:v>348992.21499999997</x:v>
      </x:c>
      <x:c r="F76" s="54">
        <x:f t="shared" si="5"/>
        <x:v>76689</x:v>
      </x:c>
      <x:c r="G76" s="54"/>
      <x:c r="H76" s="54">
        <x:f t="shared" si="5"/>
        <x:v>3692570</x:v>
      </x:c>
      <x:c r="I76" s="54">
        <x:f>SUM(I5:I75)</x:f>
        <x:v>13847.049999999999</x:v>
      </x:c>
      <x:c r="J76" s="54">
        <x:f>SUM(J5:J75)</x:f>
        <x:v>0</x:v>
      </x:c>
      <x:c r="K76" s="435">
        <x:f>SUM(K5:K75)</x:f>
        <x:v>3123</x:v>
      </x:c>
      <x:c r="L76" s="54">
        <x:f t="shared" ref="L76:N76" si="6">SUM(L5:L75)</x:f>
        <x:v>0</x:v>
      </x:c>
      <x:c r="M76" s="54">
        <x:f t="shared" si="6"/>
        <x:v>1138</x:v>
      </x:c>
      <x:c r="N76" s="54">
        <x:f t="shared" si="6"/>
        <x:v>0</x:v>
      </x:c>
      <x:c r="O76" s="108">
        <x:f>SUM(O5:O75)</x:f>
        <x:v>4261</x:v>
      </x:c>
      <x:c r="P76" s="108">
        <x:f>SUM(P5:P75)</x:f>
        <x:v>566680</x:v>
      </x:c>
    </x:row>
    <x:row r="79" spans="11:11" customHeight="1">
      <x:c r="K79" s="2" t="s">
        <x:v>4</x:v>
      </x:c>
    </x:row>
  </x:sheetData>
  <x:mergeCells count="7">
    <x:mergeCell ref="A72:A75"/>
    <x:mergeCell ref="A1:P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bed7ee"/>
  </x:sheetPr>
  <x:dimension ref="A1:O76"/>
  <x:sheetViews>
    <x:sheetView topLeftCell="A1" zoomScale="55" zoomScaleNormal="55" zoomScaleSheetLayoutView="75" workbookViewId="0">
      <x:selection activeCell="L5" activeCellId="0" sqref="L5:L75"/>
    </x:sheetView>
  </x:sheetViews>
  <x:sheetFormatPr defaultColWidth="9.140625" defaultRowHeight="16.5"/>
  <x:cols>
    <x:col min="1" max="1" width="20.5" style="2" bestFit="1" customWidth="1"/>
    <x:col min="2" max="2" width="31.37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159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29"/>
      <x:c r="I5" s="19"/>
      <x:c r="J5" s="336"/>
      <x:c r="K5" s="20"/>
      <x:c r="L5" s="470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30">
        <x:v>300</x:v>
      </x:c>
      <x:c r="I6" s="37"/>
      <x:c r="J6" s="337"/>
      <x:c r="K6" s="38"/>
      <x:c r="L6" s="471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30">
        <x:v>600</x:v>
      </x:c>
      <x:c r="I7" s="37"/>
      <x:c r="J7" s="337"/>
      <x:c r="K7" s="38"/>
      <x:c r="L7" s="471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31"/>
      <x:c r="I8" s="37"/>
      <x:c r="J8" s="337"/>
      <x:c r="K8" s="65"/>
      <x:c r="L8" s="472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31">
        <x:v>1300</x:v>
      </x:c>
      <x:c r="I9" s="37"/>
      <x:c r="J9" s="337"/>
      <x:c r="K9" s="38"/>
      <x:c r="L9" s="471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31">
        <x:v>900</x:v>
      </x:c>
      <x:c r="I10" s="37"/>
      <x:c r="J10" s="337"/>
      <x:c r="K10" s="38"/>
      <x:c r="L10" s="471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31">
        <x:v>1050</x:v>
      </x:c>
      <x:c r="I11" s="37"/>
      <x:c r="J11" s="337"/>
      <x:c r="K11" s="65"/>
      <x:c r="L11" s="472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30">
        <x:v>950</x:v>
      </x:c>
      <x:c r="I12" s="37"/>
      <x:c r="J12" s="337"/>
      <x:c r="K12" s="38"/>
      <x:c r="L12" s="471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30"/>
      <x:c r="I13" s="37"/>
      <x:c r="J13" s="337"/>
      <x:c r="K13" s="38"/>
      <x:c r="L13" s="471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30"/>
      <x:c r="I14" s="37"/>
      <x:c r="J14" s="337"/>
      <x:c r="K14" s="38"/>
      <x:c r="L14" s="471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30"/>
      <x:c r="I15" s="37"/>
      <x:c r="J15" s="337"/>
      <x:c r="K15" s="38"/>
      <x:c r="L15" s="471">
        <x:v>1000</x:v>
      </x:c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30">
        <x:v>500</x:v>
      </x:c>
      <x:c r="I16" s="37"/>
      <x:c r="J16" s="337"/>
      <x:c r="K16" s="38"/>
      <x:c r="L16" s="471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31"/>
      <x:c r="I17" s="37"/>
      <x:c r="J17" s="337">
        <x:v>200</x:v>
      </x:c>
      <x:c r="K17" s="65"/>
      <x:c r="L17" s="472"/>
      <x:c r="M17" s="66"/>
      <x:c r="N17" s="81">
        <x:f t="shared" si="0"/>
        <x:v>200</x:v>
      </x:c>
      <x:c r="O17" s="40">
        <x:f t="shared" si="1"/>
        <x:v>4437.5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30">
        <x:v>500</x:v>
      </x:c>
      <x:c r="I18" s="37"/>
      <x:c r="J18" s="337"/>
      <x:c r="K18" s="38"/>
      <x:c r="L18" s="471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30"/>
      <x:c r="I19" s="37"/>
      <x:c r="J19" s="337"/>
      <x:c r="K19" s="38"/>
      <x:c r="L19" s="471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31"/>
      <x:c r="I20" s="37"/>
      <x:c r="J20" s="337"/>
      <x:c r="K20" s="65"/>
      <x:c r="L20" s="472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30"/>
      <x:c r="I21" s="37"/>
      <x:c r="J21" s="337"/>
      <x:c r="K21" s="38"/>
      <x:c r="L21" s="471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30">
        <x:v>75</x:v>
      </x:c>
      <x:c r="I22" s="37"/>
      <x:c r="J22" s="337"/>
      <x:c r="K22" s="38"/>
      <x:c r="L22" s="471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31">
        <x:v>4000</x:v>
      </x:c>
      <x:c r="I23" s="37"/>
      <x:c r="J23" s="337"/>
      <x:c r="K23" s="65"/>
      <x:c r="L23" s="472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30"/>
      <x:c r="I24" s="37"/>
      <x:c r="J24" s="337"/>
      <x:c r="K24" s="38"/>
      <x:c r="L24" s="471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30">
        <x:v>3000</x:v>
      </x:c>
      <x:c r="I25" s="37"/>
      <x:c r="J25" s="337"/>
      <x:c r="K25" s="38"/>
      <x:c r="L25" s="471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30"/>
      <x:c r="I26" s="37"/>
      <x:c r="J26" s="337"/>
      <x:c r="K26" s="38"/>
      <x:c r="L26" s="471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30"/>
      <x:c r="I27" s="37"/>
      <x:c r="J27" s="337"/>
      <x:c r="K27" s="38"/>
      <x:c r="L27" s="471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31"/>
      <x:c r="I28" s="37"/>
      <x:c r="J28" s="337"/>
      <x:c r="K28" s="65"/>
      <x:c r="L28" s="472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30"/>
      <x:c r="I29" s="37"/>
      <x:c r="J29" s="337"/>
      <x:c r="K29" s="38"/>
      <x:c r="L29" s="471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30"/>
      <x:c r="I30" s="37"/>
      <x:c r="J30" s="337"/>
      <x:c r="K30" s="38"/>
      <x:c r="L30" s="471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30"/>
      <x:c r="I31" s="37"/>
      <x:c r="J31" s="337"/>
      <x:c r="K31" s="38"/>
      <x:c r="L31" s="471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30">
        <x:v>1</x:v>
      </x:c>
      <x:c r="I32" s="37"/>
      <x:c r="J32" s="337"/>
      <x:c r="K32" s="38"/>
      <x:c r="L32" s="471"/>
      <x:c r="M32" s="39"/>
      <x:c r="N32" s="81">
        <x:f t="shared" si="0"/>
        <x:v>0</x:v>
      </x:c>
      <x:c r="O32" s="40">
        <x:f t="shared" si="1"/>
        <x:v>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31"/>
      <x:c r="I33" s="37"/>
      <x:c r="J33" s="337"/>
      <x:c r="K33" s="65"/>
      <x:c r="L33" s="472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31"/>
      <x:c r="I34" s="37"/>
      <x:c r="J34" s="337"/>
      <x:c r="K34" s="65"/>
      <x:c r="L34" s="472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31">
        <x:v>5</x:v>
      </x:c>
      <x:c r="I35" s="37"/>
      <x:c r="J35" s="337"/>
      <x:c r="K35" s="65"/>
      <x:c r="L35" s="472"/>
      <x:c r="M35" s="66"/>
      <x:c r="N35" s="81">
        <x:f t="shared" si="0"/>
        <x:v>0</x:v>
      </x:c>
      <x:c r="O35" s="40">
        <x:f>E35*N35</x:f>
        <x:v>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31"/>
      <x:c r="I36" s="37"/>
      <x:c r="J36" s="337">
        <x:v>3</x:v>
      </x:c>
      <x:c r="K36" s="65"/>
      <x:c r="L36" s="472"/>
      <x:c r="M36" s="66"/>
      <x:c r="N36" s="81">
        <x:f t="shared" si="0"/>
        <x:v>3</x:v>
      </x:c>
      <x:c r="O36" s="40">
        <x:f>E36*N36</x:f>
        <x:v>4050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30"/>
      <x:c r="I37" s="37"/>
      <x:c r="J37" s="337"/>
      <x:c r="K37" s="38"/>
      <x:c r="L37" s="471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30"/>
      <x:c r="I38" s="37"/>
      <x:c r="J38" s="337"/>
      <x:c r="K38" s="38"/>
      <x:c r="L38" s="471"/>
      <x:c r="M38" s="39"/>
      <x:c r="N38" s="81">
        <x:f t="shared" si="0"/>
        <x:v>0</x:v>
      </x:c>
      <x:c r="O38" s="3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30">
        <x:v>1</x:v>
      </x:c>
      <x:c r="I39" s="37"/>
      <x:c r="J39" s="337"/>
      <x:c r="K39" s="38"/>
      <x:c r="L39" s="471">
        <x:v>1</x:v>
      </x:c>
      <x:c r="M39" s="39"/>
      <x:c r="N39" s="81">
        <x:f t="shared" si="0"/>
        <x:v>1</x:v>
      </x:c>
      <x:c r="O39" s="40">
        <x:f t="shared" si="1"/>
        <x:v>7360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30">
        <x:v>1</x:v>
      </x:c>
      <x:c r="I40" s="37"/>
      <x:c r="J40" s="337"/>
      <x:c r="K40" s="38"/>
      <x:c r="L40" s="471"/>
      <x:c r="M40" s="39"/>
      <x:c r="N40" s="82">
        <x:f t="shared" si="0"/>
        <x:v>0</x:v>
      </x:c>
      <x:c r="O40" s="30">
        <x:f t="shared" si="1"/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29"/>
      <x:c r="I41" s="19"/>
      <x:c r="J41" s="336">
        <x:v>100</x:v>
      </x:c>
      <x:c r="K41" s="20"/>
      <x:c r="L41" s="470"/>
      <x:c r="M41" s="21"/>
      <x:c r="N41" s="80">
        <x:f t="shared" si="0"/>
        <x:v>100</x:v>
      </x:c>
      <x:c r="O41" s="22">
        <x:f t="shared" si="1"/>
        <x:v>640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32"/>
      <x:c r="I42" s="27"/>
      <x:c r="J42" s="338"/>
      <x:c r="K42" s="28"/>
      <x:c r="L42" s="473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29">
        <x:v>1</x:v>
      </x:c>
      <x:c r="I43" s="19"/>
      <x:c r="J43" s="336"/>
      <x:c r="K43" s="20"/>
      <x:c r="L43" s="470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30">
        <x:v>1</x:v>
      </x:c>
      <x:c r="I44" s="37"/>
      <x:c r="J44" s="337"/>
      <x:c r="K44" s="38"/>
      <x:c r="L44" s="471"/>
      <x:c r="M44" s="39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30">
        <x:v>1</x:v>
      </x:c>
      <x:c r="I45" s="37"/>
      <x:c r="J45" s="337"/>
      <x:c r="K45" s="38"/>
      <x:c r="L45" s="471">
        <x:v>1</x:v>
      </x:c>
      <x:c r="M45" s="39"/>
      <x:c r="N45" s="81">
        <x:f t="shared" si="0"/>
        <x:v>1</x:v>
      </x:c>
      <x:c r="O45" s="40">
        <x:f t="shared" si="1"/>
        <x:v>6700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30">
        <x:v>1</x:v>
      </x:c>
      <x:c r="I46" s="37"/>
      <x:c r="J46" s="337"/>
      <x:c r="K46" s="38"/>
      <x:c r="L46" s="471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30"/>
      <x:c r="I47" s="37"/>
      <x:c r="J47" s="337"/>
      <x:c r="K47" s="38"/>
      <x:c r="L47" s="471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30">
        <x:v>1</x:v>
      </x:c>
      <x:c r="I48" s="37"/>
      <x:c r="J48" s="337"/>
      <x:c r="K48" s="38"/>
      <x:c r="L48" s="471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30"/>
      <x:c r="I49" s="37"/>
      <x:c r="J49" s="337">
        <x:v>1</x:v>
      </x:c>
      <x:c r="K49" s="38"/>
      <x:c r="L49" s="471"/>
      <x:c r="M49" s="39"/>
      <x:c r="N49" s="81">
        <x:f t="shared" si="0"/>
        <x:v>1</x:v>
      </x:c>
      <x:c r="O49" s="40">
        <x:f t="shared" si="1"/>
        <x:v>14500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30">
        <x:v>1</x:v>
      </x:c>
      <x:c r="I50" s="37"/>
      <x:c r="J50" s="337"/>
      <x:c r="K50" s="38"/>
      <x:c r="L50" s="471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30">
        <x:v>1</x:v>
      </x:c>
      <x:c r="I51" s="37"/>
      <x:c r="J51" s="337"/>
      <x:c r="K51" s="38"/>
      <x:c r="L51" s="471"/>
      <x:c r="M51" s="39"/>
      <x:c r="N51" s="81">
        <x:f t="shared" si="0"/>
        <x:v>0</x:v>
      </x:c>
      <x:c r="O51" s="40">
        <x:f>E51*N51</x:f>
        <x:v>0</x:v>
      </x:c>
    </x:row>
    <x:row r="52" spans="1:15">
      <x:c r="A52" s="488"/>
      <x:c r="B52" s="57" t="s">
        <x:v>36</x:v>
      </x:c>
      <x:c r="C52" s="57" t="s">
        <x:v>28</x:v>
      </x:c>
      <x:c r="D52" s="57" t="s">
        <x:v>140</x:v>
      </x:c>
      <x:c r="E52" s="74">
        <x:v>9000</x:v>
      </x:c>
      <x:c r="F52" s="34">
        <x:v>6</x:v>
      </x:c>
      <x:c r="G52" s="35">
        <x:v>54000</x:v>
      </x:c>
      <x:c r="H52" s="330"/>
      <x:c r="I52" s="37"/>
      <x:c r="J52" s="337"/>
      <x:c r="K52" s="38"/>
      <x:c r="L52" s="471"/>
      <x:c r="M52" s="39"/>
      <x:c r="N52" s="81">
        <x:f t="shared" si="0"/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30">
        <x:v>1</x:v>
      </x:c>
      <x:c r="I53" s="37"/>
      <x:c r="J53" s="337"/>
      <x:c r="K53" s="38"/>
      <x:c r="L53" s="471"/>
      <x:c r="M53" s="39"/>
      <x:c r="N53" s="81">
        <x:f t="shared" ref="N53:N56" si="2">I53+J53+K53+L53+M53</x:f>
        <x:v>0</x:v>
      </x:c>
      <x:c r="O53" s="40">
        <x:f t="shared" ref="O53:O56" si="3"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4">F54*E54</x:f>
        <x:v>94800</x:v>
      </x:c>
      <x:c r="H54" s="330"/>
      <x:c r="I54" s="37"/>
      <x:c r="J54" s="337"/>
      <x:c r="K54" s="38"/>
      <x:c r="L54" s="471"/>
      <x:c r="M54" s="39"/>
      <x:c r="N54" s="81">
        <x:f t="shared" si="2"/>
        <x:v>0</x:v>
      </x:c>
      <x:c r="O54" s="40">
        <x:f t="shared" si="3"/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4"/>
        <x:v>100800</x:v>
      </x:c>
      <x:c r="H55" s="330"/>
      <x:c r="I55" s="37"/>
      <x:c r="J55" s="337"/>
      <x:c r="K55" s="38"/>
      <x:c r="L55" s="471"/>
      <x:c r="M55" s="39"/>
      <x:c r="N55" s="81">
        <x:f t="shared" si="2"/>
        <x:v>0</x:v>
      </x:c>
      <x:c r="O55" s="40">
        <x:f t="shared" si="3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30">
        <x:v>1</x:v>
      </x:c>
      <x:c r="I56" s="37"/>
      <x:c r="J56" s="337"/>
      <x:c r="K56" s="38"/>
      <x:c r="L56" s="471"/>
      <x:c r="M56" s="39"/>
      <x:c r="N56" s="81">
        <x:f t="shared" si="2"/>
        <x:v>0</x:v>
      </x:c>
      <x:c r="O56" s="40">
        <x:f t="shared" si="3"/>
        <x:v>0</x:v>
      </x:c>
    </x:row>
    <x:row r="57" spans="1:15" ht="17.25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25">
        <x:v>80400</x:v>
      </x:c>
      <x:c r="H57" s="332">
        <x:v>1</x:v>
      </x:c>
      <x:c r="I57" s="37"/>
      <x:c r="J57" s="337"/>
      <x:c r="K57" s="28"/>
      <x:c r="L57" s="473"/>
      <x:c r="M57" s="29"/>
      <x:c r="N57" s="82">
        <x:f t="shared" si="0"/>
        <x:v>0</x:v>
      </x:c>
      <x:c r="O57" s="42">
        <x:f t="shared" si="1"/>
        <x:v>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29">
        <x:v>1</x:v>
      </x:c>
      <x:c r="I58" s="409"/>
      <x:c r="J58" s="410"/>
      <x:c r="K58" s="20"/>
      <x:c r="L58" s="470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30">
        <x:v>1</x:v>
      </x:c>
      <x:c r="I59" s="37"/>
      <x:c r="J59" s="337"/>
      <x:c r="K59" s="38"/>
      <x:c r="L59" s="471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30">
        <x:v>1</x:v>
      </x:c>
      <x:c r="I60" s="37"/>
      <x:c r="J60" s="337"/>
      <x:c r="K60" s="38"/>
      <x:c r="L60" s="471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30">
        <x:v>1</x:v>
      </x:c>
      <x:c r="I61" s="37"/>
      <x:c r="J61" s="337">
        <x:v>1</x:v>
      </x:c>
      <x:c r="K61" s="38"/>
      <x:c r="L61" s="471"/>
      <x:c r="M61" s="39"/>
      <x:c r="N61" s="81">
        <x:f t="shared" si="0"/>
        <x:v>1</x:v>
      </x:c>
      <x:c r="O61" s="40">
        <x:f t="shared" si="1"/>
        <x:v>15000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30"/>
      <x:c r="I62" s="37"/>
      <x:c r="J62" s="337"/>
      <x:c r="K62" s="38"/>
      <x:c r="L62" s="471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30">
        <x:v>1</x:v>
      </x:c>
      <x:c r="I63" s="37"/>
      <x:c r="J63" s="337"/>
      <x:c r="K63" s="38"/>
      <x:c r="L63" s="471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30"/>
      <x:c r="I64" s="37"/>
      <x:c r="J64" s="337"/>
      <x:c r="K64" s="38"/>
      <x:c r="L64" s="471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30">
        <x:v>1</x:v>
      </x:c>
      <x:c r="I65" s="37"/>
      <x:c r="J65" s="337"/>
      <x:c r="K65" s="38"/>
      <x:c r="L65" s="471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30"/>
      <x:c r="I66" s="37"/>
      <x:c r="J66" s="337"/>
      <x:c r="K66" s="38"/>
      <x:c r="L66" s="471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30">
        <x:v>1</x:v>
      </x:c>
      <x:c r="I67" s="37"/>
      <x:c r="J67" s="337"/>
      <x:c r="K67" s="38"/>
      <x:c r="L67" s="471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32"/>
      <x:c r="I68" s="37"/>
      <x:c r="J68" s="337">
        <x:v>1</x:v>
      </x:c>
      <x:c r="K68" s="28"/>
      <x:c r="L68" s="473"/>
      <x:c r="M68" s="29"/>
      <x:c r="N68" s="81">
        <x:f t="shared" si="0"/>
        <x:v>1</x:v>
      </x:c>
      <x:c r="O68" s="30">
        <x:f t="shared" si="1"/>
        <x:v>15300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29">
        <x:v>7</x:v>
      </x:c>
      <x:c r="I69" s="44"/>
      <x:c r="J69" s="336">
        <x:v>5</x:v>
      </x:c>
      <x:c r="K69" s="20"/>
      <x:c r="L69" s="470">
        <x:v>3</x:v>
      </x:c>
      <x:c r="M69" s="21"/>
      <x:c r="N69" s="80">
        <x:f t="shared" si="0"/>
        <x:v>8</x:v>
      </x:c>
      <x:c r="O69" s="22">
        <x:f t="shared" si="1"/>
        <x:v>88000</x:v>
      </x:c>
    </x:row>
    <x:row r="70" spans="1:1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06"/>
      <x:c r="I70" s="411"/>
      <x:c r="J70" s="407"/>
      <x:c r="K70" s="401"/>
      <x:c r="L70" s="474"/>
      <x:c r="M70" s="402"/>
      <x:c r="N70" s="81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33"/>
      <x:c r="I71" s="412"/>
      <x:c r="J71" s="413"/>
      <x:c r="K71" s="52"/>
      <x:c r="L71" s="475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29">
        <x:v>1.1499999999999999</x:v>
      </x:c>
      <x:c r="I72" s="19"/>
      <x:c r="J72" s="336"/>
      <x:c r="K72" s="20"/>
      <x:c r="L72" s="470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30">
        <x:v>1.1100000000000001</x:v>
      </x:c>
      <x:c r="I73" s="37"/>
      <x:c r="J73" s="337"/>
      <x:c r="K73" s="38"/>
      <x:c r="L73" s="471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30">
        <x:v>1.8999999999999999</x:v>
      </x:c>
      <x:c r="I74" s="37"/>
      <x:c r="J74" s="337"/>
      <x:c r="K74" s="38"/>
      <x:c r="L74" s="471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35">
        <x:v>1</x:v>
      </x:c>
      <x:c r="I75" s="51"/>
      <x:c r="J75" s="339"/>
      <x:c r="K75" s="52"/>
      <x:c r="L75" s="475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G76" si="5">SUM(F5:F75)</x:f>
        <x:v>76689</x:v>
      </x:c>
      <x:c r="G76" s="54">
        <x:f t="shared" si="5"/>
        <x:v>3692570</x:v>
      </x:c>
      <x:c r="H76" s="54">
        <x:f>SUM(H5:H75)</x:f>
        <x:v>13212.16</x:v>
      </x:c>
      <x:c r="I76" s="54">
        <x:f t="shared" ref="I76:M76" si="6">SUM(I5:I75)</x:f>
        <x:v>0</x:v>
      </x:c>
      <x:c r="J76" s="54">
        <x:f t="shared" si="6"/>
        <x:v>311</x:v>
      </x:c>
      <x:c r="K76" s="54">
        <x:f t="shared" si="6"/>
        <x:v>0</x:v>
      </x:c>
      <x:c r="L76" s="54">
        <x:f t="shared" si="6"/>
        <x:v>1005</x:v>
      </x:c>
      <x:c r="M76" s="54">
        <x:f t="shared" si="6"/>
        <x:v>0</x:v>
      </x:c>
      <x:c r="N76" s="108">
        <x:f>SUM(N5:N75)</x:f>
        <x:v>1316</x:v>
      </x:c>
      <x:c r="O76" s="108">
        <x:f>SUM(O5:O75)</x:f>
        <x:v>173987.5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V77"/>
  <x:sheetViews>
    <x:sheetView topLeftCell="F37" zoomScale="70" zoomScaleNormal="70" zoomScaleSheetLayoutView="75" workbookViewId="0">
      <x:selection activeCell="L5" activeCellId="0" sqref="L5:L75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8" width="11.625" style="87" customWidth="1"/>
    <x:col min="9" max="15" width="11.625" style="2" customWidth="1"/>
  </x:cols>
  <x:sheetData>
    <x:row r="1" spans="1:15">
      <x:c r="A1" s="485" t="s">
        <x:v>161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92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91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40"/>
      <x:c r="I5" s="20"/>
      <x:c r="J5" s="347"/>
      <x:c r="K5" s="137"/>
      <x:c r="L5" s="476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41">
        <x:v>1000</x:v>
      </x:c>
      <x:c r="I6" s="38"/>
      <x:c r="J6" s="348"/>
      <x:c r="K6" s="138"/>
      <x:c r="L6" s="477"/>
      <x:c r="M6" s="39"/>
      <x:c r="N6" s="81">
        <x:f t="shared" ref="N6:N75" si="0">I6+J6+K6+L6+M6</x:f>
        <x:v>0</x:v>
      </x:c>
      <x:c r="O6" s="40">
        <x:f t="shared" ref="O6:O70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41">
        <x:v>700</x:v>
      </x:c>
      <x:c r="I7" s="38"/>
      <x:c r="J7" s="348"/>
      <x:c r="K7" s="138"/>
      <x:c r="L7" s="477">
        <x:v>1000</x:v>
      </x:c>
      <x:c r="M7" s="39"/>
      <x:c r="N7" s="81">
        <x:f t="shared" si="0"/>
        <x:v>1000</x:v>
      </x:c>
      <x:c r="O7" s="40">
        <x:f t="shared" si="1"/>
        <x:v>20000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42"/>
      <x:c r="I8" s="65"/>
      <x:c r="J8" s="348"/>
      <x:c r="K8" s="139"/>
      <x:c r="L8" s="478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42">
        <x:v>1600</x:v>
      </x:c>
      <x:c r="I9" s="38"/>
      <x:c r="J9" s="348"/>
      <x:c r="K9" s="138"/>
      <x:c r="L9" s="477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41">
        <x:v>1400</x:v>
      </x:c>
      <x:c r="I10" s="38"/>
      <x:c r="J10" s="348"/>
      <x:c r="K10" s="138"/>
      <x:c r="L10" s="477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42">
        <x:v>750</x:v>
      </x:c>
      <x:c r="I11" s="65"/>
      <x:c r="J11" s="348"/>
      <x:c r="K11" s="139"/>
      <x:c r="L11" s="478">
        <x:v>1000</x:v>
      </x:c>
      <x:c r="M11" s="66"/>
      <x:c r="N11" s="81">
        <x:f t="shared" si="0"/>
        <x:v>1000</x:v>
      </x:c>
      <x:c r="O11" s="40">
        <x:f t="shared" si="1"/>
        <x:v>18500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41">
        <x:v>900</x:v>
      </x:c>
      <x:c r="I12" s="38"/>
      <x:c r="J12" s="348"/>
      <x:c r="K12" s="138"/>
      <x:c r="L12" s="477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41"/>
      <x:c r="I13" s="38"/>
      <x:c r="J13" s="348"/>
      <x:c r="K13" s="138"/>
      <x:c r="L13" s="477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41"/>
      <x:c r="I14" s="38"/>
      <x:c r="J14" s="348"/>
      <x:c r="K14" s="138"/>
      <x:c r="L14" s="477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41">
        <x:v>500</x:v>
      </x:c>
      <x:c r="I15" s="38"/>
      <x:c r="J15" s="348">
        <x:v>1000</x:v>
      </x:c>
      <x:c r="K15" s="138"/>
      <x:c r="L15" s="477"/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41"/>
      <x:c r="I16" s="38"/>
      <x:c r="J16" s="348"/>
      <x:c r="K16" s="138"/>
      <x:c r="L16" s="477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42">
        <x:v>200</x:v>
      </x:c>
      <x:c r="I17" s="65"/>
      <x:c r="J17" s="348"/>
      <x:c r="K17" s="139"/>
      <x:c r="L17" s="478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41">
        <x:v>1000</x:v>
      </x:c>
      <x:c r="I18" s="38"/>
      <x:c r="J18" s="348"/>
      <x:c r="K18" s="138"/>
      <x:c r="L18" s="477">
        <x:v>500</x:v>
      </x:c>
      <x:c r="M18" s="39"/>
      <x:c r="N18" s="81">
        <x:f t="shared" si="0"/>
        <x:v>500</x:v>
      </x:c>
      <x:c r="O18" s="40">
        <x:f t="shared" si="1"/>
        <x:v>3600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41"/>
      <x:c r="I19" s="38"/>
      <x:c r="J19" s="348"/>
      <x:c r="K19" s="138"/>
      <x:c r="L19" s="477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42"/>
      <x:c r="I20" s="65"/>
      <x:c r="J20" s="348"/>
      <x:c r="K20" s="139"/>
      <x:c r="L20" s="478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41">
        <x:v>200</x:v>
      </x:c>
      <x:c r="I21" s="38"/>
      <x:c r="J21" s="348"/>
      <x:c r="K21" s="138"/>
      <x:c r="L21" s="477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41">
        <x:v>100</x:v>
      </x:c>
      <x:c r="I22" s="38"/>
      <x:c r="J22" s="348"/>
      <x:c r="K22" s="138"/>
      <x:c r="L22" s="477">
        <x:v>200</x:v>
      </x:c>
      <x:c r="M22" s="39"/>
      <x:c r="N22" s="81">
        <x:f t="shared" si="0"/>
        <x:v>200</x:v>
      </x:c>
      <x:c r="O22" s="40">
        <x:f t="shared" si="1"/>
        <x:v>22500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42"/>
      <x:c r="I23" s="65"/>
      <x:c r="J23" s="348"/>
      <x:c r="K23" s="139"/>
      <x:c r="L23" s="478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41"/>
      <x:c r="I24" s="38"/>
      <x:c r="J24" s="348"/>
      <x:c r="K24" s="138"/>
      <x:c r="L24" s="477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41"/>
      <x:c r="I25" s="38"/>
      <x:c r="J25" s="348"/>
      <x:c r="K25" s="138"/>
      <x:c r="L25" s="477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41"/>
      <x:c r="I26" s="38"/>
      <x:c r="J26" s="348"/>
      <x:c r="K26" s="138"/>
      <x:c r="L26" s="477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41"/>
      <x:c r="I27" s="38"/>
      <x:c r="J27" s="348"/>
      <x:c r="K27" s="138"/>
      <x:c r="L27" s="477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42"/>
      <x:c r="I28" s="65"/>
      <x:c r="J28" s="348"/>
      <x:c r="K28" s="139"/>
      <x:c r="L28" s="478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112" t="s">
        <x:v>85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41">
        <x:v>5</x:v>
      </x:c>
      <x:c r="I29" s="38"/>
      <x:c r="J29" s="348"/>
      <x:c r="K29" s="138"/>
      <x:c r="L29" s="477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41">
        <x:v>7</x:v>
      </x:c>
      <x:c r="I30" s="38"/>
      <x:c r="J30" s="348"/>
      <x:c r="K30" s="138"/>
      <x:c r="L30" s="477">
        <x:v>6</x:v>
      </x:c>
      <x:c r="M30" s="39"/>
      <x:c r="N30" s="81">
        <x:f t="shared" si="0"/>
        <x:v>6</x:v>
      </x:c>
      <x:c r="O30" s="40">
        <x:f t="shared" si="1"/>
        <x:v>12600</x:v>
      </x:c>
    </x:row>
    <x:row r="31" spans="1:15" ht="17.2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41"/>
      <x:c r="I31" s="38"/>
      <x:c r="J31" s="348"/>
      <x:c r="K31" s="138"/>
      <x:c r="L31" s="477"/>
      <x:c r="M31" s="39"/>
      <x:c r="N31" s="81">
        <x:f t="shared" si="0"/>
        <x:v>0</x:v>
      </x:c>
      <x:c r="O31" s="40">
        <x:f t="shared" si="1"/>
        <x:v>0</x:v>
      </x:c>
    </x:row>
    <x:row r="32" spans="1:15" ht="17.2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41">
        <x:v>2</x:v>
      </x:c>
      <x:c r="I32" s="38"/>
      <x:c r="J32" s="348"/>
      <x:c r="K32" s="138"/>
      <x:c r="L32" s="477"/>
      <x:c r="M32" s="39"/>
      <x:c r="N32" s="81">
        <x:f t="shared" si="0"/>
        <x:v>0</x:v>
      </x:c>
      <x:c r="O32" s="40">
        <x:f t="shared" si="1"/>
        <x:v>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42"/>
      <x:c r="I33" s="65"/>
      <x:c r="J33" s="348"/>
      <x:c r="K33" s="139"/>
      <x:c r="L33" s="478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42"/>
      <x:c r="I34" s="65"/>
      <x:c r="J34" s="348"/>
      <x:c r="K34" s="139"/>
      <x:c r="L34" s="478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42">
        <x:v>6</x:v>
      </x:c>
      <x:c r="I35" s="65"/>
      <x:c r="J35" s="348">
        <x:v>2</x:v>
      </x:c>
      <x:c r="K35" s="139"/>
      <x:c r="L35" s="478">
        <x:v>6</x:v>
      </x:c>
      <x:c r="M35" s="66"/>
      <x:c r="N35" s="81">
        <x:f t="shared" si="0"/>
        <x:v>8</x:v>
      </x:c>
      <x:c r="O35" s="40">
        <x:f t="shared" si="1"/>
        <x:v>61600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42">
        <x:v>2</x:v>
      </x:c>
      <x:c r="I36" s="65"/>
      <x:c r="J36" s="348">
        <x:v>2</x:v>
      </x:c>
      <x:c r="K36" s="139"/>
      <x:c r="L36" s="478">
        <x:v>2</x:v>
      </x:c>
      <x:c r="M36" s="66"/>
      <x:c r="N36" s="81">
        <x:f t="shared" si="0"/>
        <x:v>4</x:v>
      </x:c>
      <x:c r="O36" s="40">
        <x:f t="shared" si="1"/>
        <x:v>5400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41"/>
      <x:c r="I37" s="38"/>
      <x:c r="J37" s="348"/>
      <x:c r="K37" s="138"/>
      <x:c r="L37" s="477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41"/>
      <x:c r="I38" s="28"/>
      <x:c r="J38" s="348"/>
      <x:c r="K38" s="138"/>
      <x:c r="L38" s="477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41">
        <x:v>4</x:v>
      </x:c>
      <x:c r="I39" s="38"/>
      <x:c r="J39" s="348"/>
      <x:c r="K39" s="138"/>
      <x:c r="L39" s="477">
        <x:v>3</x:v>
      </x:c>
      <x:c r="M39" s="39"/>
      <x:c r="N39" s="81">
        <x:f t="shared" si="0"/>
        <x:v>3</x:v>
      </x:c>
      <x:c r="O39" s="40">
        <x:f t="shared" si="1"/>
        <x:v>22080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41">
        <x:v>2</x:v>
      </x:c>
      <x:c r="I40" s="28"/>
      <x:c r="J40" s="348">
        <x:v>1</x:v>
      </x:c>
      <x:c r="K40" s="138"/>
      <x:c r="L40" s="477"/>
      <x:c r="M40" s="29"/>
      <x:c r="N40" s="82">
        <x:f t="shared" si="0"/>
        <x:v>1</x:v>
      </x:c>
      <x:c r="O40" s="40">
        <x:f t="shared" si="1"/>
        <x:v>7360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40"/>
      <x:c r="I41" s="20"/>
      <x:c r="J41" s="347">
        <x:v>100</x:v>
      </x:c>
      <x:c r="K41" s="137"/>
      <x:c r="L41" s="476"/>
      <x:c r="M41" s="21"/>
      <x:c r="N41" s="80">
        <x:f t="shared" si="0"/>
        <x:v>100</x:v>
      </x:c>
      <x:c r="O41" s="22">
        <x:f t="shared" si="1"/>
        <x:v>640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43"/>
      <x:c r="I42" s="28"/>
      <x:c r="J42" s="349"/>
      <x:c r="K42" s="140"/>
      <x:c r="L42" s="479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40"/>
      <x:c r="I43" s="20"/>
      <x:c r="J43" s="347"/>
      <x:c r="K43" s="137"/>
      <x:c r="L43" s="476">
        <x:v>1</x:v>
      </x:c>
      <x:c r="M43" s="119"/>
      <x:c r="N43" s="84">
        <x:f t="shared" si="0"/>
        <x:v>1</x:v>
      </x:c>
      <x:c r="O43" s="22">
        <x:f t="shared" si="1"/>
        <x:v>7700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41">
        <x:v>1</x:v>
      </x:c>
      <x:c r="I44" s="38"/>
      <x:c r="J44" s="348">
        <x:v>1</x:v>
      </x:c>
      <x:c r="K44" s="138"/>
      <x:c r="L44" s="477"/>
      <x:c r="M44" s="120"/>
      <x:c r="N44" s="81">
        <x:f t="shared" si="0"/>
        <x:v>1</x:v>
      </x:c>
      <x:c r="O44" s="40">
        <x:f t="shared" si="1"/>
        <x:v>6200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41">
        <x:v>1</x:v>
      </x:c>
      <x:c r="I45" s="38"/>
      <x:c r="J45" s="348">
        <x:v>1</x:v>
      </x:c>
      <x:c r="K45" s="138"/>
      <x:c r="L45" s="477">
        <x:v>1</x:v>
      </x:c>
      <x:c r="M45" s="120"/>
      <x:c r="N45" s="81">
        <x:f t="shared" si="0"/>
        <x:v>2</x:v>
      </x:c>
      <x:c r="O45" s="40">
        <x:f t="shared" si="1"/>
        <x:v>13400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41"/>
      <x:c r="I46" s="38"/>
      <x:c r="J46" s="348">
        <x:v>2</x:v>
      </x:c>
      <x:c r="K46" s="138"/>
      <x:c r="L46" s="477"/>
      <x:c r="M46" s="120"/>
      <x:c r="N46" s="81">
        <x:f t="shared" si="0"/>
        <x:v>2</x:v>
      </x:c>
      <x:c r="O46" s="40">
        <x:f t="shared" si="1"/>
        <x:v>14500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41"/>
      <x:c r="I47" s="38"/>
      <x:c r="J47" s="348"/>
      <x:c r="K47" s="138"/>
      <x:c r="L47" s="477"/>
      <x:c r="M47" s="120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41"/>
      <x:c r="I48" s="38"/>
      <x:c r="J48" s="348">
        <x:v>1</x:v>
      </x:c>
      <x:c r="K48" s="138"/>
      <x:c r="L48" s="477"/>
      <x:c r="M48" s="120"/>
      <x:c r="N48" s="81">
        <x:f t="shared" si="0"/>
        <x:v>1</x:v>
      </x:c>
      <x:c r="O48" s="40">
        <x:f t="shared" si="1"/>
        <x:v>6600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41"/>
      <x:c r="I49" s="38"/>
      <x:c r="J49" s="348">
        <x:v>1</x:v>
      </x:c>
      <x:c r="K49" s="138"/>
      <x:c r="L49" s="477">
        <x:v>1</x:v>
      </x:c>
      <x:c r="M49" s="120"/>
      <x:c r="N49" s="81">
        <x:f t="shared" si="0"/>
        <x:v>2</x:v>
      </x:c>
      <x:c r="O49" s="40">
        <x:f t="shared" si="1"/>
        <x:v>29000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41"/>
      <x:c r="I50" s="38"/>
      <x:c r="J50" s="348"/>
      <x:c r="K50" s="138"/>
      <x:c r="L50" s="477">
        <x:v>1</x:v>
      </x:c>
      <x:c r="M50" s="120"/>
      <x:c r="N50" s="81">
        <x:f t="shared" si="0"/>
        <x:v>1</x:v>
      </x:c>
      <x:c r="O50" s="40">
        <x:f t="shared" si="1"/>
        <x:v>11000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41">
        <x:v>1</x:v>
      </x:c>
      <x:c r="I51" s="38"/>
      <x:c r="J51" s="348"/>
      <x:c r="K51" s="138"/>
      <x:c r="L51" s="477"/>
      <x:c r="M51" s="120"/>
      <x:c r="N51" s="81">
        <x:f>I51+J51+K51+L51+M51</x:f>
        <x:v>0</x:v>
      </x:c>
      <x:c r="O51" s="40">
        <x:f t="shared" si="1"/>
        <x:v>0</x:v>
      </x:c>
    </x:row>
    <x:row r="52" spans="1:15">
      <x:c r="A52" s="488"/>
      <x:c r="B52" s="57" t="s">
        <x:v>36</x:v>
      </x:c>
      <x:c r="C52" s="57" t="s">
        <x:v>28</x:v>
      </x:c>
      <x:c r="D52" s="57" t="s">
        <x:v>140</x:v>
      </x:c>
      <x:c r="E52" s="74">
        <x:v>9000</x:v>
      </x:c>
      <x:c r="F52" s="34">
        <x:v>6</x:v>
      </x:c>
      <x:c r="G52" s="35">
        <x:v>54000</x:v>
      </x:c>
      <x:c r="H52" s="341">
        <x:v>2</x:v>
      </x:c>
      <x:c r="I52" s="38"/>
      <x:c r="J52" s="348"/>
      <x:c r="K52" s="138"/>
      <x:c r="L52" s="477"/>
      <x:c r="M52" s="120"/>
      <x:c r="N52" s="81">
        <x:f>I52+J52+K52+L52+M52</x:f>
        <x:v>0</x:v>
      </x:c>
      <x:c r="O52" s="40">
        <x:f t="shared" si="1"/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41"/>
      <x:c r="I53" s="37"/>
      <x:c r="J53" s="348">
        <x:v>2</x:v>
      </x:c>
      <x:c r="K53" s="138"/>
      <x:c r="L53" s="477"/>
      <x:c r="M53" s="39"/>
      <x:c r="N53" s="81">
        <x:f>I53+J53+K53+L53+M53</x:f>
        <x:v>2</x:v>
      </x:c>
      <x:c r="O53" s="40">
        <x:f>E53*N53</x:f>
        <x:v>10600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41"/>
      <x:c r="I54" s="37"/>
      <x:c r="J54" s="348">
        <x:v>2</x:v>
      </x:c>
      <x:c r="K54" s="138"/>
      <x:c r="L54" s="477"/>
      <x:c r="M54" s="39"/>
      <x:c r="N54" s="81">
        <x:f t="shared" ref="N54:N55" si="3">I54+J54+K54+L54+M54</x:f>
        <x:v>2</x:v>
      </x:c>
      <x:c r="O54" s="40">
        <x:f t="shared" ref="O54:O55" si="4">E54*N54</x:f>
        <x:v>15800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41">
        <x:v>1</x:v>
      </x:c>
      <x:c r="I55" s="37"/>
      <x:c r="J55" s="348"/>
      <x:c r="K55" s="138"/>
      <x:c r="L55" s="477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41">
        <x:v>1</x:v>
      </x:c>
      <x:c r="I56" s="38"/>
      <x:c r="J56" s="348"/>
      <x:c r="K56" s="138"/>
      <x:c r="L56" s="477"/>
      <x:c r="M56" s="120"/>
      <x:c r="N56" s="81">
        <x:f t="shared" si="0"/>
        <x:v>0</x:v>
      </x:c>
      <x:c r="O56" s="40">
        <x:f t="shared" si="1"/>
        <x:v>0</x:v>
      </x:c>
    </x:row>
    <x:row r="57" spans="1:15" ht="17.25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25">
        <x:v>80400</x:v>
      </x:c>
      <x:c r="H57" s="343">
        <x:v>1</x:v>
      </x:c>
      <x:c r="I57" s="28"/>
      <x:c r="J57" s="348"/>
      <x:c r="K57" s="140"/>
      <x:c r="L57" s="479"/>
      <x:c r="M57" s="121"/>
      <x:c r="N57" s="82">
        <x:f t="shared" si="0"/>
        <x:v>0</x:v>
      </x:c>
      <x:c r="O57" s="40">
        <x:f t="shared" si="1"/>
        <x:v>0</x:v>
      </x:c>
    </x:row>
    <x:row r="58" spans="1:15">
      <x:c r="A58" s="482" t="s">
        <x:v>73</x:v>
      </x:c>
      <x:c r="B58" s="58" t="s">
        <x:v>26</x:v>
      </x:c>
      <x:c r="C58" s="58" t="s">
        <x:v>28</x:v>
      </x:c>
      <x:c r="D58" s="58" t="s">
        <x:v>140</x:v>
      </x:c>
      <x:c r="E58" s="286">
        <x:v>6900</x:v>
      </x:c>
      <x:c r="F58" s="16">
        <x:v>6</x:v>
      </x:c>
      <x:c r="G58" s="17">
        <x:v>41400</x:v>
      </x:c>
      <x:c r="H58" s="340">
        <x:v>1</x:v>
      </x:c>
      <x:c r="I58" s="123"/>
      <x:c r="J58" s="417">
        <x:v>1</x:v>
      </x:c>
      <x:c r="K58" s="137"/>
      <x:c r="L58" s="476"/>
      <x:c r="M58" s="119"/>
      <x:c r="N58" s="80">
        <x:f t="shared" si="0"/>
        <x:v>1</x:v>
      </x:c>
      <x:c r="O58" s="86">
        <x:f t="shared" si="1"/>
        <x:v>6900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41">
        <x:v>1</x:v>
      </x:c>
      <x:c r="I59" s="117"/>
      <x:c r="J59" s="348">
        <x:v>1</x:v>
      </x:c>
      <x:c r="K59" s="138"/>
      <x:c r="L59" s="477"/>
      <x:c r="M59" s="120"/>
      <x:c r="N59" s="81">
        <x:f t="shared" si="0"/>
        <x:v>1</x:v>
      </x:c>
      <x:c r="O59" s="40">
        <x:f t="shared" si="1"/>
        <x:v>6900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41">
        <x:v>1</x:v>
      </x:c>
      <x:c r="I60" s="117"/>
      <x:c r="J60" s="348">
        <x:v>1</x:v>
      </x:c>
      <x:c r="K60" s="138"/>
      <x:c r="L60" s="477"/>
      <x:c r="M60" s="120"/>
      <x:c r="N60" s="81">
        <x:f t="shared" si="0"/>
        <x:v>1</x:v>
      </x:c>
      <x:c r="O60" s="40">
        <x:f t="shared" si="1"/>
        <x:v>6800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41">
        <x:v>2</x:v>
      </x:c>
      <x:c r="I61" s="117"/>
      <x:c r="J61" s="348">
        <x:v>1</x:v>
      </x:c>
      <x:c r="K61" s="138"/>
      <x:c r="L61" s="477"/>
      <x:c r="M61" s="120"/>
      <x:c r="N61" s="81">
        <x:f t="shared" si="0"/>
        <x:v>1</x:v>
      </x:c>
      <x:c r="O61" s="40">
        <x:f t="shared" si="1"/>
        <x:v>15000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41"/>
      <x:c r="I62" s="117"/>
      <x:c r="J62" s="348"/>
      <x:c r="K62" s="138"/>
      <x:c r="L62" s="477"/>
      <x:c r="M62" s="120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41"/>
      <x:c r="I63" s="117"/>
      <x:c r="J63" s="348">
        <x:v>2</x:v>
      </x:c>
      <x:c r="K63" s="138"/>
      <x:c r="L63" s="477"/>
      <x:c r="M63" s="120"/>
      <x:c r="N63" s="81">
        <x:f t="shared" si="0"/>
        <x:v>2</x:v>
      </x:c>
      <x:c r="O63" s="40">
        <x:f t="shared" si="1"/>
        <x:v>13200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41"/>
      <x:c r="I64" s="117"/>
      <x:c r="J64" s="348"/>
      <x:c r="K64" s="138"/>
      <x:c r="L64" s="477"/>
      <x:c r="M64" s="120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41"/>
      <x:c r="I65" s="37"/>
      <x:c r="J65" s="348">
        <x:v>1</x:v>
      </x:c>
      <x:c r="K65" s="138"/>
      <x:c r="L65" s="477"/>
      <x:c r="M65" s="39"/>
      <x:c r="N65" s="81">
        <x:f t="shared" si="0"/>
        <x:v>1</x:v>
      </x:c>
      <x:c r="O65" s="40">
        <x:f t="shared" si="1"/>
        <x:v>7000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41"/>
      <x:c r="I66" s="117"/>
      <x:c r="J66" s="348">
        <x:v>1</x:v>
      </x:c>
      <x:c r="K66" s="138"/>
      <x:c r="L66" s="477"/>
      <x:c r="M66" s="120"/>
      <x:c r="N66" s="81">
        <x:f t="shared" si="0"/>
        <x:v>1</x:v>
      </x:c>
      <x:c r="O66" s="40">
        <x:f t="shared" si="1"/>
        <x:v>14100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41">
        <x:v>1</x:v>
      </x:c>
      <x:c r="I67" s="117"/>
      <x:c r="J67" s="348"/>
      <x:c r="K67" s="138"/>
      <x:c r="L67" s="477"/>
      <x:c r="M67" s="120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43">
        <x:v>3</x:v>
      </x:c>
      <x:c r="I68" s="118"/>
      <x:c r="J68" s="348"/>
      <x:c r="K68" s="140"/>
      <x:c r="L68" s="479"/>
      <x:c r="M68" s="121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40">
        <x:v>12</x:v>
      </x:c>
      <x:c r="I69" s="419"/>
      <x:c r="J69" s="347">
        <x:v>5</x:v>
      </x:c>
      <x:c r="K69" s="137"/>
      <x:c r="L69" s="476">
        <x:v>12</x:v>
      </x:c>
      <x:c r="M69" s="119"/>
      <x:c r="N69" s="80">
        <x:f t="shared" si="0"/>
        <x:v>17</x:v>
      </x:c>
      <x:c r="O69" s="22">
        <x:f>E69*N69</x:f>
        <x:v>187000</x:v>
      </x:c>
    </x:row>
    <x:row r="70" spans="1:1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14"/>
      <x:c r="I70" s="420"/>
      <x:c r="J70" s="418"/>
      <x:c r="K70" s="415"/>
      <x:c r="L70" s="480"/>
      <x:c r="M70" s="416"/>
      <x:c r="N70" s="82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44">
        <x:v>1</x:v>
      </x:c>
      <x:c r="I71" s="126"/>
      <x:c r="J71" s="421"/>
      <x:c r="K71" s="141"/>
      <x:c r="L71" s="481"/>
      <x:c r="M71" s="122"/>
      <x:c r="N71" s="422">
        <x:f t="shared" si="0"/>
        <x:v>0</x:v>
      </x:c>
      <x:c r="O71" s="42">
        <x:f>E71*N71</x:f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40">
        <x:v>2.8999999999999999</x:v>
      </x:c>
      <x:c r="I72" s="116"/>
      <x:c r="J72" s="347"/>
      <x:c r="K72" s="137"/>
      <x:c r="L72" s="476"/>
      <x:c r="M72" s="119"/>
      <x:c r="N72" s="84">
        <x:f t="shared" si="0"/>
        <x:v>0</x:v>
      </x:c>
      <x:c r="O72" s="86">
        <x:f>E72*N72</x:f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45">
        <x:v>1.3</x:v>
      </x:c>
      <x:c r="I73" s="38"/>
      <x:c r="J73" s="348">
        <x:v>1</x:v>
      </x:c>
      <x:c r="K73" s="138"/>
      <x:c r="L73" s="477"/>
      <x:c r="M73" s="120"/>
      <x:c r="N73" s="81">
        <x:f t="shared" si="0"/>
        <x:v>1</x:v>
      </x:c>
      <x:c r="O73" s="40">
        <x:f>E73*N73</x:f>
        <x:v>4000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45">
        <x:v>3.2000000000000002</x:v>
      </x:c>
      <x:c r="I74" s="38"/>
      <x:c r="J74" s="348"/>
      <x:c r="K74" s="138"/>
      <x:c r="L74" s="477"/>
      <x:c r="M74" s="120"/>
      <x:c r="N74" s="81">
        <x:f t="shared" si="0"/>
        <x:v>0</x:v>
      </x:c>
      <x:c r="O74" s="40">
        <x:f>E74*N74</x:f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46">
        <x:v>1.3</x:v>
      </x:c>
      <x:c r="I75" s="52"/>
      <x:c r="J75" s="350">
        <x:v>1</x:v>
      </x:c>
      <x:c r="K75" s="141"/>
      <x:c r="L75" s="481"/>
      <x:c r="M75" s="122"/>
      <x:c r="N75" s="83">
        <x:f t="shared" si="0"/>
        <x:v>1</x:v>
      </x:c>
      <x:c r="O75" s="42">
        <x:f>E75*N75</x:f>
        <x:v>4300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>SUM(F5:F75)</x:f>
        <x:v>76689</x:v>
      </x:c>
      <x:c r="G76" s="54">
        <x:f t="shared" ref="G76:N76" si="5">SUM(G5:G75)</x:f>
        <x:v>3692570</x:v>
      </x:c>
      <x:c r="H76" s="54">
        <x:f t="shared" si="5"/>
        <x:v>8416.6999999999989</x:v>
      </x:c>
      <x:c r="I76" s="54">
        <x:f t="shared" si="5"/>
        <x:v>0</x:v>
      </x:c>
      <x:c r="J76" s="54">
        <x:f t="shared" si="5"/>
        <x:v>1130</x:v>
      </x:c>
      <x:c r="K76" s="54">
        <x:f t="shared" si="5"/>
        <x:v>0</x:v>
      </x:c>
      <x:c r="L76" s="54">
        <x:f t="shared" si="5"/>
        <x:v>2733</x:v>
      </x:c>
      <x:c r="M76" s="54">
        <x:f t="shared" si="5"/>
        <x:v>0</x:v>
      </x:c>
      <x:c r="N76" s="108">
        <x:f t="shared" si="5"/>
        <x:v>3863</x:v>
      </x:c>
      <x:c r="O76" s="108">
        <x:f>SUM(O5:O75)</x:f>
        <x:v>572280</x:v>
      </x:c>
    </x:row>
    <x:row r="77" spans="22:22">
      <x:c r="V77" s="130"/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76"/>
  <x:sheetViews>
    <x:sheetView topLeftCell="A31" zoomScale="70" zoomScaleNormal="70" zoomScaleSheetLayoutView="75" workbookViewId="0">
      <x:selection activeCell="L35" activeCellId="0" sqref="L35:L35"/>
    </x:sheetView>
  </x:sheetViews>
  <x:sheetFormatPr defaultColWidth="9.140625" defaultRowHeight="16.5"/>
  <x:cols>
    <x:col min="1" max="1" width="20.5" style="2" bestFit="1" customWidth="1"/>
    <x:col min="2" max="2" width="31.37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155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20"/>
      <x:c r="J5" s="323"/>
      <x:c r="K5" s="20"/>
      <x:c r="L5" s="446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850</x:v>
      </x:c>
      <x:c r="I6" s="38"/>
      <x:c r="J6" s="324"/>
      <x:c r="K6" s="38"/>
      <x:c r="L6" s="447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>
        <x:v>900</x:v>
      </x:c>
      <x:c r="I7" s="38"/>
      <x:c r="J7" s="324"/>
      <x:c r="K7" s="38"/>
      <x:c r="L7" s="447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65"/>
      <x:c r="J8" s="325"/>
      <x:c r="K8" s="65"/>
      <x:c r="L8" s="448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850</x:v>
      </x:c>
      <x:c r="I9" s="38"/>
      <x:c r="J9" s="324"/>
      <x:c r="K9" s="38"/>
      <x:c r="L9" s="447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600</x:v>
      </x:c>
      <x:c r="I10" s="38"/>
      <x:c r="J10" s="324"/>
      <x:c r="K10" s="38"/>
      <x:c r="L10" s="447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>
        <x:v>250</x:v>
      </x:c>
      <x:c r="I11" s="65"/>
      <x:c r="J11" s="325"/>
      <x:c r="K11" s="65"/>
      <x:c r="L11" s="448">
        <x:v>1000</x:v>
      </x:c>
      <x:c r="M11" s="66"/>
      <x:c r="N11" s="81">
        <x:f t="shared" si="0"/>
        <x:v>1000</x:v>
      </x:c>
      <x:c r="O11" s="40">
        <x:f t="shared" si="1"/>
        <x:v>18500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>
        <x:v>500</x:v>
      </x:c>
      <x:c r="I12" s="38"/>
      <x:c r="J12" s="324"/>
      <x:c r="K12" s="38"/>
      <x:c r="L12" s="447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38"/>
      <x:c r="J13" s="324"/>
      <x:c r="K13" s="38"/>
      <x:c r="L13" s="447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38"/>
      <x:c r="J14" s="324"/>
      <x:c r="K14" s="38"/>
      <x:c r="L14" s="447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/>
      <x:c r="I15" s="38"/>
      <x:c r="J15" s="324"/>
      <x:c r="K15" s="38"/>
      <x:c r="L15" s="447">
        <x:v>1000</x:v>
      </x:c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>
        <x:v>500</x:v>
      </x:c>
      <x:c r="I16" s="38"/>
      <x:c r="J16" s="324"/>
      <x:c r="K16" s="38"/>
      <x:c r="L16" s="447">
        <x:v>500</x:v>
      </x:c>
      <x:c r="M16" s="39"/>
      <x:c r="N16" s="81">
        <x:f t="shared" si="0"/>
        <x:v>500</x:v>
      </x:c>
      <x:c r="O16" s="40">
        <x:f t="shared" si="1"/>
        <x:v>3450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/>
      <x:c r="I17" s="65"/>
      <x:c r="J17" s="325"/>
      <x:c r="K17" s="65"/>
      <x:c r="L17" s="448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>
        <x:v>500</x:v>
      </x:c>
      <x:c r="I18" s="38"/>
      <x:c r="J18" s="324"/>
      <x:c r="K18" s="38"/>
      <x:c r="L18" s="447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/>
      <x:c r="I19" s="38"/>
      <x:c r="J19" s="324"/>
      <x:c r="K19" s="38"/>
      <x:c r="L19" s="447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/>
      <x:c r="I20" s="65"/>
      <x:c r="J20" s="325"/>
      <x:c r="K20" s="65"/>
      <x:c r="L20" s="448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/>
      <x:c r="I21" s="38"/>
      <x:c r="J21" s="324"/>
      <x:c r="K21" s="38"/>
      <x:c r="L21" s="447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25</x:v>
      </x:c>
      <x:c r="I22" s="38"/>
      <x:c r="J22" s="324"/>
      <x:c r="K22" s="38"/>
      <x:c r="L22" s="447">
        <x:v>200</x:v>
      </x:c>
      <x:c r="M22" s="39"/>
      <x:c r="N22" s="81">
        <x:f t="shared" si="0"/>
        <x:v>200</x:v>
      </x:c>
      <x:c r="O22" s="40">
        <x:f t="shared" si="1"/>
        <x:v>22500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4800</x:v>
      </x:c>
      <x:c r="I23" s="65"/>
      <x:c r="J23" s="325"/>
      <x:c r="K23" s="65"/>
      <x:c r="L23" s="448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38"/>
      <x:c r="J24" s="324"/>
      <x:c r="K24" s="38"/>
      <x:c r="L24" s="447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/>
      <x:c r="I25" s="38"/>
      <x:c r="J25" s="324"/>
      <x:c r="K25" s="38"/>
      <x:c r="L25" s="447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38"/>
      <x:c r="J26" s="324"/>
      <x:c r="K26" s="38"/>
      <x:c r="L26" s="447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38"/>
      <x:c r="J27" s="324"/>
      <x:c r="K27" s="38"/>
      <x:c r="L27" s="447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/>
      <x:c r="I28" s="65"/>
      <x:c r="J28" s="325"/>
      <x:c r="K28" s="65"/>
      <x:c r="L28" s="448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/>
      <x:c r="I29" s="38"/>
      <x:c r="J29" s="324"/>
      <x:c r="K29" s="38"/>
      <x:c r="L29" s="447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/>
      <x:c r="I30" s="38"/>
      <x:c r="J30" s="324"/>
      <x:c r="K30" s="38"/>
      <x:c r="L30" s="447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38"/>
      <x:c r="J31" s="324"/>
      <x:c r="K31" s="38"/>
      <x:c r="L31" s="447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>
        <x:v>1</x:v>
      </x:c>
      <x:c r="I32" s="38"/>
      <x:c r="J32" s="324"/>
      <x:c r="K32" s="38"/>
      <x:c r="L32" s="447"/>
      <x:c r="M32" s="39"/>
      <x:c r="N32" s="81">
        <x:f t="shared" si="0"/>
        <x:v>0</x:v>
      </x:c>
      <x:c r="O32" s="40">
        <x:f t="shared" si="1"/>
        <x:v>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/>
      <x:c r="I33" s="65"/>
      <x:c r="J33" s="325"/>
      <x:c r="K33" s="65"/>
      <x:c r="L33" s="448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65"/>
      <x:c r="J34" s="325"/>
      <x:c r="K34" s="65"/>
      <x:c r="L34" s="448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1</x:v>
      </x:c>
      <x:c r="I35" s="65"/>
      <x:c r="J35" s="325">
        <x:v>1</x:v>
      </x:c>
      <x:c r="K35" s="65"/>
      <x:c r="L35" s="448">
        <x:v>3</x:v>
      </x:c>
      <x:c r="M35" s="66"/>
      <x:c r="N35" s="81">
        <x:f t="shared" si="0"/>
        <x:v>4</x:v>
      </x:c>
      <x:c r="O35" s="40">
        <x:f t="shared" si="1"/>
        <x:v>30800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>
        <x:v>1</x:v>
      </x:c>
      <x:c r="I36" s="65"/>
      <x:c r="J36" s="325">
        <x:v>1</x:v>
      </x:c>
      <x:c r="K36" s="65"/>
      <x:c r="L36" s="448">
        <x:v>1</x:v>
      </x:c>
      <x:c r="M36" s="66"/>
      <x:c r="N36" s="81">
        <x:f t="shared" si="0"/>
        <x:v>2</x:v>
      </x:c>
      <x:c r="O36" s="40">
        <x:f t="shared" si="1"/>
        <x:v>2700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39"/>
      <x:c r="J37" s="324"/>
      <x:c r="K37" s="38"/>
      <x:c r="L37" s="447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29"/>
      <x:c r="J38" s="324"/>
      <x:c r="K38" s="38"/>
      <x:c r="L38" s="447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>
        <x:v>2</x:v>
      </x:c>
      <x:c r="I39" s="37"/>
      <x:c r="J39" s="324"/>
      <x:c r="K39" s="38"/>
      <x:c r="L39" s="447">
        <x:v>1</x:v>
      </x:c>
      <x:c r="M39" s="39"/>
      <x:c r="N39" s="81">
        <x:f t="shared" si="0"/>
        <x:v>1</x:v>
      </x:c>
      <x:c r="O39" s="40">
        <x:f t="shared" si="1"/>
        <x:v>7360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>
        <x:v>1</x:v>
      </x:c>
      <x:c r="I40" s="27"/>
      <x:c r="J40" s="324"/>
      <x:c r="K40" s="38"/>
      <x:c r="L40" s="447"/>
      <x:c r="M40" s="29"/>
      <x:c r="N40" s="82">
        <x:f t="shared" si="0"/>
        <x:v>0</x:v>
      </x:c>
      <x:c r="O40" s="30">
        <x:f t="shared" si="1"/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20"/>
      <x:c r="J41" s="323"/>
      <x:c r="K41" s="20"/>
      <x:c r="L41" s="446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28"/>
      <x:c r="J42" s="326"/>
      <x:c r="K42" s="28"/>
      <x:c r="L42" s="449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>
        <x:v>1</x:v>
      </x:c>
      <x:c r="I43" s="20"/>
      <x:c r="J43" s="323"/>
      <x:c r="K43" s="20"/>
      <x:c r="L43" s="446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>
        <x:v>1</x:v>
      </x:c>
      <x:c r="I44" s="38"/>
      <x:c r="J44" s="324">
        <x:v>1</x:v>
      </x:c>
      <x:c r="K44" s="38"/>
      <x:c r="L44" s="447">
        <x:v>2</x:v>
      </x:c>
      <x:c r="M44" s="39"/>
      <x:c r="N44" s="81">
        <x:f t="shared" si="0"/>
        <x:v>3</x:v>
      </x:c>
      <x:c r="O44" s="40">
        <x:f t="shared" si="1"/>
        <x:v>18600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>
        <x:v>1</x:v>
      </x:c>
      <x:c r="I45" s="38"/>
      <x:c r="J45" s="324">
        <x:v>1</x:v>
      </x:c>
      <x:c r="K45" s="38"/>
      <x:c r="L45" s="447"/>
      <x:c r="M45" s="39"/>
      <x:c r="N45" s="81">
        <x:f t="shared" si="0"/>
        <x:v>1</x:v>
      </x:c>
      <x:c r="O45" s="40">
        <x:f t="shared" si="1"/>
        <x:v>6700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/>
      <x:c r="I46" s="38"/>
      <x:c r="J46" s="324">
        <x:v>1</x:v>
      </x:c>
      <x:c r="K46" s="38"/>
      <x:c r="L46" s="447"/>
      <x:c r="M46" s="39"/>
      <x:c r="N46" s="81">
        <x:f t="shared" si="0"/>
        <x:v>1</x:v>
      </x:c>
      <x:c r="O46" s="40">
        <x:f t="shared" si="1"/>
        <x:v>7250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1</x:v>
      </x:c>
      <x:c r="I47" s="38"/>
      <x:c r="J47" s="324"/>
      <x:c r="K47" s="38"/>
      <x:c r="L47" s="447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>
        <x:v>1</x:v>
      </x:c>
      <x:c r="I48" s="38"/>
      <x:c r="J48" s="324"/>
      <x:c r="K48" s="38"/>
      <x:c r="L48" s="447"/>
      <x:c r="M48" s="39"/>
      <x:c r="N48" s="81">
        <x:f t="shared" si="0"/>
        <x:v>0</x:v>
      </x:c>
      <x:c r="O48" s="40">
        <x:f t="shared" si="1"/>
        <x:v>0</x:v>
      </x:c>
    </x:row>
    <x:row r="49" spans="1:15" customHeight="1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/>
      <x:c r="I49" s="38"/>
      <x:c r="J49" s="324"/>
      <x:c r="K49" s="38"/>
      <x:c r="L49" s="447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>
        <x:v>1</x:v>
      </x:c>
      <x:c r="I50" s="38"/>
      <x:c r="J50" s="324"/>
      <x:c r="K50" s="38"/>
      <x:c r="L50" s="447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/>
      <x:c r="I51" s="38"/>
      <x:c r="J51" s="324"/>
      <x:c r="K51" s="38"/>
      <x:c r="L51" s="447"/>
      <x:c r="M51" s="39"/>
      <x:c r="N51" s="81">
        <x:f t="shared" si="0"/>
        <x:v>0</x:v>
      </x:c>
      <x:c r="O51" s="40">
        <x:f t="shared" si="1"/>
        <x:v>0</x:v>
      </x:c>
    </x:row>
    <x:row r="52" spans="1:15">
      <x:c r="A52" s="488"/>
      <x:c r="B52" s="57" t="s">
        <x:v>36</x:v>
      </x:c>
      <x:c r="C52" s="57" t="s">
        <x:v>28</x:v>
      </x:c>
      <x:c r="D52" s="57" t="s">
        <x:v>140</x:v>
      </x:c>
      <x:c r="E52" s="74">
        <x:v>9000</x:v>
      </x:c>
      <x:c r="F52" s="34">
        <x:v>6</x:v>
      </x:c>
      <x:c r="G52" s="35">
        <x:v>54000</x:v>
      </x:c>
      <x:c r="H52" s="317"/>
      <x:c r="I52" s="38"/>
      <x:c r="J52" s="324"/>
      <x:c r="K52" s="38"/>
      <x:c r="L52" s="447"/>
      <x:c r="M52" s="39"/>
      <x:c r="N52" s="81">
        <x:f t="shared" si="0"/>
        <x:v>0</x:v>
      </x:c>
      <x:c r="O52" s="40">
        <x:f t="shared" si="1"/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>
        <x:v>1</x:v>
      </x:c>
      <x:c r="I53" s="37"/>
      <x:c r="J53" s="324"/>
      <x:c r="K53" s="38"/>
      <x:c r="L53" s="447">
        <x:v>1</x:v>
      </x:c>
      <x:c r="M53" s="39"/>
      <x:c r="N53" s="81">
        <x:f>I53+J53+K53+L53+M53</x:f>
        <x:v>1</x:v>
      </x:c>
      <x:c r="O53" s="40">
        <x:f>E53*N53</x:f>
        <x:v>5300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>
        <x:v>1</x:v>
      </x:c>
      <x:c r="I54" s="37"/>
      <x:c r="J54" s="324"/>
      <x:c r="K54" s="38"/>
      <x:c r="L54" s="447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/>
      <x:c r="I55" s="37"/>
      <x:c r="J55" s="324"/>
      <x:c r="K55" s="38"/>
      <x:c r="L55" s="447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17">
        <x:v>1</x:v>
      </x:c>
      <x:c r="I56" s="38"/>
      <x:c r="J56" s="324"/>
      <x:c r="K56" s="38"/>
      <x:c r="L56" s="447">
        <x:v>1</x:v>
      </x:c>
      <x:c r="M56" s="39"/>
      <x:c r="N56" s="81">
        <x:f t="shared" si="0"/>
        <x:v>1</x:v>
      </x:c>
      <x:c r="O56" s="40">
        <x:f t="shared" si="1"/>
        <x:v>4500</x:v>
      </x:c>
    </x:row>
    <x:row r="57" spans="1:15" ht="17.25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25">
        <x:v>80400</x:v>
      </x:c>
      <x:c r="H57" s="319"/>
      <x:c r="I57" s="28"/>
      <x:c r="J57" s="326">
        <x:v>1</x:v>
      </x:c>
      <x:c r="K57" s="28"/>
      <x:c r="L57" s="449"/>
      <x:c r="M57" s="29"/>
      <x:c r="N57" s="82">
        <x:f t="shared" si="0"/>
        <x:v>1</x:v>
      </x:c>
      <x:c r="O57" s="42">
        <x:f t="shared" si="1"/>
        <x:v>6700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>
        <x:v>1</x:v>
      </x:c>
      <x:c r="I58" s="20"/>
      <x:c r="J58" s="323"/>
      <x:c r="K58" s="20"/>
      <x:c r="L58" s="446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/>
      <x:c r="I59" s="38"/>
      <x:c r="J59" s="324"/>
      <x:c r="K59" s="38"/>
      <x:c r="L59" s="447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/>
      <x:c r="I60" s="38"/>
      <x:c r="J60" s="324"/>
      <x:c r="K60" s="38"/>
      <x:c r="L60" s="447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/>
      <x:c r="I61" s="38"/>
      <x:c r="J61" s="324">
        <x:v>1</x:v>
      </x:c>
      <x:c r="K61" s="38"/>
      <x:c r="L61" s="447">
        <x:v>1</x:v>
      </x:c>
      <x:c r="M61" s="39"/>
      <x:c r="N61" s="81">
        <x:f t="shared" si="0"/>
        <x:v>2</x:v>
      </x:c>
      <x:c r="O61" s="40">
        <x:f t="shared" si="1"/>
        <x:v>30000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38"/>
      <x:c r="J62" s="324"/>
      <x:c r="K62" s="38"/>
      <x:c r="L62" s="447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1</x:v>
      </x:c>
      <x:c r="I63" s="38"/>
      <x:c r="J63" s="324"/>
      <x:c r="K63" s="38"/>
      <x:c r="L63" s="447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38"/>
      <x:c r="J64" s="324"/>
      <x:c r="K64" s="38"/>
      <x:c r="L64" s="447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>
        <x:v>1</x:v>
      </x:c>
      <x:c r="I65" s="37"/>
      <x:c r="J65" s="324"/>
      <x:c r="K65" s="38"/>
      <x:c r="L65" s="447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>
        <x:v>1</x:v>
      </x:c>
      <x:c r="I66" s="38"/>
      <x:c r="J66" s="324"/>
      <x:c r="K66" s="38"/>
      <x:c r="L66" s="447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/>
      <x:c r="I67" s="38"/>
      <x:c r="J67" s="324"/>
      <x:c r="K67" s="38"/>
      <x:c r="L67" s="447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/>
      <x:c r="I68" s="28"/>
      <x:c r="J68" s="326"/>
      <x:c r="K68" s="28"/>
      <x:c r="L68" s="449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9</x:v>
      </x:c>
      <x:c r="I69" s="20"/>
      <x:c r="J69" s="323">
        <x:v>5</x:v>
      </x:c>
      <x:c r="K69" s="20"/>
      <x:c r="L69" s="446">
        <x:v>7</x:v>
      </x:c>
      <x:c r="M69" s="21"/>
      <x:c r="N69" s="80">
        <x:f t="shared" si="0"/>
        <x:v>12</x:v>
      </x:c>
      <x:c r="O69" s="22">
        <x:f t="shared" si="1"/>
        <x:v>132000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01"/>
      <x:c r="J70" s="424"/>
      <x:c r="K70" s="401"/>
      <x:c r="L70" s="450"/>
      <x:c r="M70" s="402">
        <x:v>0</x:v>
      </x:c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>
        <x:v>1</x:v>
      </x:c>
      <x:c r="I71" s="52"/>
      <x:c r="J71" s="327"/>
      <x:c r="K71" s="52"/>
      <x:c r="L71" s="451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>
        <x:v>1.1499999999999999</x:v>
      </x:c>
      <x:c r="I72" s="20"/>
      <x:c r="J72" s="323"/>
      <x:c r="K72" s="20"/>
      <x:c r="L72" s="446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>
        <x:v>0.65000000000000002</x:v>
      </x:c>
      <x:c r="I73" s="38"/>
      <x:c r="J73" s="324">
        <x:v>1</x:v>
      </x:c>
      <x:c r="K73" s="38"/>
      <x:c r="L73" s="447"/>
      <x:c r="M73" s="39"/>
      <x:c r="N73" s="81">
        <x:f t="shared" si="0"/>
        <x:v>1</x:v>
      </x:c>
      <x:c r="O73" s="40">
        <x:f t="shared" si="1"/>
        <x:v>4000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>
        <x:v>1.1000000000000001</x:v>
      </x:c>
      <x:c r="I74" s="38"/>
      <x:c r="J74" s="324"/>
      <x:c r="K74" s="38"/>
      <x:c r="L74" s="447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>
        <x:v>1.3999999999999999</x:v>
      </x:c>
      <x:c r="I75" s="52"/>
      <x:c r="J75" s="328"/>
      <x:c r="K75" s="52"/>
      <x:c r="L75" s="451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N76" si="5">SUM(F5:F75)</x:f>
        <x:v>76689</x:v>
      </x:c>
      <x:c r="G76" s="54">
        <x:f t="shared" si="5"/>
        <x:v>3692570</x:v>
      </x:c>
      <x:c r="H76" s="54">
        <x:f t="shared" si="5"/>
        <x:v>9808.2999999999993</x:v>
      </x:c>
      <x:c r="I76" s="54">
        <x:f t="shared" si="5"/>
        <x:v>0</x:v>
      </x:c>
      <x:c r="J76" s="54">
        <x:f t="shared" si="5"/>
        <x:v>13</x:v>
      </x:c>
      <x:c r="K76" s="54">
        <x:f t="shared" si="5"/>
        <x:v>0</x:v>
      </x:c>
      <x:c r="L76" s="54">
        <x:f t="shared" si="5"/>
        <x:v>2717</x:v>
      </x:c>
      <x:c r="M76" s="54">
        <x:f t="shared" si="5"/>
        <x:v>0</x:v>
      </x:c>
      <x:c r="N76" s="79">
        <x:f t="shared" si="5"/>
        <x:v>2730</x:v>
      </x:c>
      <x:c r="O76" s="85">
        <x:f>SUM(O5:O75)</x:f>
        <x:v>318360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P76"/>
  <x:sheetViews>
    <x:sheetView topLeftCell="A22" zoomScale="55" zoomScaleNormal="55" zoomScaleSheetLayoutView="75" workbookViewId="0">
      <x:selection activeCell="I71" activeCellId="0" sqref="I71:I71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158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21"/>
      <x:c r="J5" s="20"/>
      <x:c r="K5" s="20"/>
      <x:c r="L5" s="20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1000</x:v>
      </x:c>
      <x:c r="I6" s="39"/>
      <x:c r="J6" s="38"/>
      <x:c r="K6" s="38"/>
      <x:c r="L6" s="38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/>
      <x:c r="I7" s="39"/>
      <x:c r="J7" s="38"/>
      <x:c r="K7" s="38"/>
      <x:c r="L7" s="38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66"/>
      <x:c r="J8" s="65"/>
      <x:c r="K8" s="65"/>
      <x:c r="L8" s="65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50</x:v>
      </x:c>
      <x:c r="I9" s="39"/>
      <x:c r="J9" s="38"/>
      <x:c r="K9" s="38"/>
      <x:c r="L9" s="38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50</x:v>
      </x:c>
      <x:c r="I10" s="39"/>
      <x:c r="J10" s="38"/>
      <x:c r="K10" s="38"/>
      <x:c r="L10" s="38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/>
      <x:c r="I11" s="66"/>
      <x:c r="J11" s="65"/>
      <x:c r="K11" s="65"/>
      <x:c r="L11" s="65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/>
      <x:c r="I12" s="39"/>
      <x:c r="J12" s="38"/>
      <x:c r="K12" s="38"/>
      <x:c r="L12" s="38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39"/>
      <x:c r="J13" s="38"/>
      <x:c r="K13" s="38"/>
      <x:c r="L13" s="38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39"/>
      <x:c r="J14" s="38"/>
      <x:c r="K14" s="38"/>
      <x:c r="L14" s="38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/>
      <x:c r="I15" s="39"/>
      <x:c r="J15" s="38"/>
      <x:c r="K15" s="38"/>
      <x:c r="L15" s="38"/>
      <x:c r="M15" s="39"/>
      <x:c r="N15" s="81">
        <x:f t="shared" si="0"/>
        <x:v>0</x:v>
      </x:c>
      <x:c r="O15" s="40">
        <x:f t="shared" si="1"/>
        <x:v>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/>
      <x:c r="I16" s="39"/>
      <x:c r="J16" s="38"/>
      <x:c r="K16" s="38"/>
      <x:c r="L16" s="38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/>
      <x:c r="I17" s="66"/>
      <x:c r="J17" s="65"/>
      <x:c r="K17" s="65"/>
      <x:c r="L17" s="65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/>
      <x:c r="I18" s="39"/>
      <x:c r="J18" s="38"/>
      <x:c r="K18" s="38"/>
      <x:c r="L18" s="38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/>
      <x:c r="I19" s="39"/>
      <x:c r="J19" s="38"/>
      <x:c r="K19" s="38"/>
      <x:c r="L19" s="38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/>
      <x:c r="I20" s="66"/>
      <x:c r="J20" s="65"/>
      <x:c r="K20" s="65"/>
      <x:c r="L20" s="65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/>
      <x:c r="I21" s="39"/>
      <x:c r="J21" s="38"/>
      <x:c r="K21" s="38"/>
      <x:c r="L21" s="38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150</x:v>
      </x:c>
      <x:c r="I22" s="39"/>
      <x:c r="J22" s="38"/>
      <x:c r="K22" s="38"/>
      <x:c r="L22" s="38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400</x:v>
      </x:c>
      <x:c r="I23" s="66"/>
      <x:c r="J23" s="65"/>
      <x:c r="K23" s="65"/>
      <x:c r="L23" s="65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39"/>
      <x:c r="J24" s="38"/>
      <x:c r="K24" s="38"/>
      <x:c r="L24" s="38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/>
      <x:c r="I25" s="39"/>
      <x:c r="J25" s="38"/>
      <x:c r="K25" s="38"/>
      <x:c r="L25" s="38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39"/>
      <x:c r="J26" s="38"/>
      <x:c r="K26" s="38"/>
      <x:c r="L26" s="38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39"/>
      <x:c r="J27" s="38"/>
      <x:c r="K27" s="38"/>
      <x:c r="L27" s="38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/>
      <x:c r="I28" s="66"/>
      <x:c r="J28" s="65"/>
      <x:c r="K28" s="65"/>
      <x:c r="L28" s="65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/>
      <x:c r="I29" s="39"/>
      <x:c r="J29" s="38"/>
      <x:c r="K29" s="38"/>
      <x:c r="L29" s="38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/>
      <x:c r="I30" s="39"/>
      <x:c r="J30" s="38"/>
      <x:c r="K30" s="38"/>
      <x:c r="L30" s="38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39"/>
      <x:c r="J31" s="38"/>
      <x:c r="K31" s="38"/>
      <x:c r="L31" s="38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/>
      <x:c r="I32" s="39"/>
      <x:c r="J32" s="38"/>
      <x:c r="K32" s="38"/>
      <x:c r="L32" s="38"/>
      <x:c r="M32" s="39"/>
      <x:c r="N32" s="81">
        <x:f t="shared" si="0"/>
        <x:v>0</x:v>
      </x:c>
      <x:c r="O32" s="40">
        <x:f t="shared" si="1"/>
        <x:v>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/>
      <x:c r="I33" s="66"/>
      <x:c r="J33" s="65"/>
      <x:c r="K33" s="65"/>
      <x:c r="L33" s="65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66"/>
      <x:c r="J34" s="65"/>
      <x:c r="K34" s="65"/>
      <x:c r="L34" s="65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3</x:v>
      </x:c>
      <x:c r="I35" s="66"/>
      <x:c r="J35" s="65"/>
      <x:c r="K35" s="65"/>
      <x:c r="L35" s="65"/>
      <x:c r="M35" s="66"/>
      <x:c r="N35" s="81">
        <x:f t="shared" si="0"/>
        <x:v>0</x:v>
      </x:c>
      <x:c r="O35" s="40">
        <x:f t="shared" si="1"/>
        <x:v>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/>
      <x:c r="I36" s="66"/>
      <x:c r="J36" s="65"/>
      <x:c r="K36" s="65"/>
      <x:c r="L36" s="65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39"/>
      <x:c r="J37" s="38"/>
      <x:c r="K37" s="38"/>
      <x:c r="L37" s="38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29"/>
      <x:c r="J38" s="28"/>
      <x:c r="K38" s="28"/>
      <x:c r="L38" s="28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/>
      <x:c r="I39" s="37"/>
      <x:c r="J39" s="38"/>
      <x:c r="K39" s="38"/>
      <x:c r="L39" s="38"/>
      <x:c r="M39" s="39"/>
      <x:c r="N39" s="81">
        <x:f t="shared" si="0"/>
        <x:v>0</x:v>
      </x:c>
      <x:c r="O39" s="40">
        <x:f t="shared" si="1"/>
        <x:v>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/>
      <x:c r="I40" s="27"/>
      <x:c r="J40" s="28"/>
      <x:c r="K40" s="28"/>
      <x:c r="L40" s="28"/>
      <x:c r="M40" s="29"/>
      <x:c r="N40" s="82">
        <x:f t="shared" si="0"/>
        <x:v>0</x:v>
      </x:c>
      <x:c r="O40" s="40">
        <x:f t="shared" si="1"/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21"/>
      <x:c r="J41" s="20"/>
      <x:c r="K41" s="20"/>
      <x:c r="L41" s="20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29"/>
      <x:c r="J42" s="28"/>
      <x:c r="K42" s="28"/>
      <x:c r="L42" s="28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/>
      <x:c r="I43" s="19"/>
      <x:c r="J43" s="20"/>
      <x:c r="K43" s="20"/>
      <x:c r="L43" s="20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/>
      <x:c r="I44" s="37"/>
      <x:c r="J44" s="38"/>
      <x:c r="K44" s="38"/>
      <x:c r="L44" s="38"/>
      <x:c r="M44" s="39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/>
      <x:c r="I45" s="37"/>
      <x:c r="J45" s="38"/>
      <x:c r="K45" s="38"/>
      <x:c r="L45" s="38"/>
      <x:c r="M45" s="39"/>
      <x:c r="N45" s="81">
        <x:f t="shared" si="0"/>
        <x:v>0</x:v>
      </x:c>
      <x:c r="O45" s="40">
        <x:f t="shared" si="1"/>
        <x:v>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/>
      <x:c r="I46" s="37"/>
      <x:c r="J46" s="38"/>
      <x:c r="K46" s="38"/>
      <x:c r="L46" s="38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1</x:v>
      </x:c>
      <x:c r="I47" s="37"/>
      <x:c r="J47" s="38"/>
      <x:c r="K47" s="38"/>
      <x:c r="L47" s="38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/>
      <x:c r="I48" s="37"/>
      <x:c r="J48" s="38"/>
      <x:c r="K48" s="38"/>
      <x:c r="L48" s="38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>
        <x:v>1</x:v>
      </x:c>
      <x:c r="I49" s="37"/>
      <x:c r="J49" s="38"/>
      <x:c r="K49" s="38"/>
      <x:c r="L49" s="38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/>
      <x:c r="I50" s="37"/>
      <x:c r="J50" s="38"/>
      <x:c r="K50" s="38"/>
      <x:c r="L50" s="38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/>
      <x:c r="I51" s="37"/>
      <x:c r="J51" s="38"/>
      <x:c r="K51" s="38"/>
      <x:c r="L51" s="38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v>54000</x:v>
      </x:c>
      <x:c r="H52" s="317"/>
      <x:c r="I52" s="37"/>
      <x:c r="J52" s="38"/>
      <x:c r="K52" s="38"/>
      <x:c r="L52" s="38"/>
      <x:c r="M52" s="39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/>
      <x:c r="I53" s="37"/>
      <x:c r="J53" s="38"/>
      <x:c r="K53" s="38"/>
      <x:c r="L53" s="38"/>
      <x:c r="M53" s="39"/>
      <x:c r="N53" s="81">
        <x:f>I53+J53+K53+L53+M53</x:f>
        <x:v>0</x:v>
      </x:c>
      <x:c r="O53" s="40">
        <x:f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/>
      <x:c r="I54" s="37"/>
      <x:c r="J54" s="38"/>
      <x:c r="K54" s="38"/>
      <x:c r="L54" s="39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/>
      <x:c r="I55" s="37"/>
      <x:c r="J55" s="38"/>
      <x:c r="K55" s="38"/>
      <x:c r="L55" s="39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17"/>
      <x:c r="I56" s="37"/>
      <x:c r="J56" s="38"/>
      <x:c r="K56" s="38"/>
      <x:c r="L56" s="38"/>
      <x:c r="M56" s="39"/>
      <x:c r="N56" s="81">
        <x:f t="shared" si="0"/>
        <x:v>0</x:v>
      </x:c>
      <x:c r="O56" s="40">
        <x:f t="shared" si="1"/>
        <x:v>0</x:v>
      </x:c>
    </x:row>
    <x:row r="57" spans="1:15" ht="17.25">
      <x:c r="A57" s="488"/>
      <x:c r="B57" s="23" t="s">
        <x:v>80</x:v>
      </x:c>
      <x:c r="C57" s="23" t="s">
        <x:v>45</x:v>
      </x:c>
      <x:c r="D57" s="23" t="s">
        <x:v>140</x:v>
      </x:c>
      <x:c r="E57" s="76">
        <x:v>6700</x:v>
      </x:c>
      <x:c r="F57" s="24">
        <x:v>12</x:v>
      </x:c>
      <x:c r="G57" s="25">
        <x:v>80400</x:v>
      </x:c>
      <x:c r="H57" s="319"/>
      <x:c r="I57" s="37"/>
      <x:c r="J57" s="28"/>
      <x:c r="K57" s="28"/>
      <x:c r="L57" s="28"/>
      <x:c r="M57" s="29"/>
      <x:c r="N57" s="82">
        <x:f t="shared" si="0"/>
        <x:v>0</x:v>
      </x:c>
      <x:c r="O57" s="42">
        <x:f t="shared" si="1"/>
        <x:v>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/>
      <x:c r="I58" s="44"/>
      <x:c r="J58" s="20"/>
      <x:c r="K58" s="20"/>
      <x:c r="L58" s="20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>
        <x:v>1</x:v>
      </x:c>
      <x:c r="I59" s="37"/>
      <x:c r="J59" s="38"/>
      <x:c r="K59" s="38"/>
      <x:c r="L59" s="38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/>
      <x:c r="I60" s="37"/>
      <x:c r="J60" s="38"/>
      <x:c r="K60" s="38"/>
      <x:c r="L60" s="38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/>
      <x:c r="I61" s="37"/>
      <x:c r="J61" s="38"/>
      <x:c r="K61" s="38"/>
      <x:c r="L61" s="38"/>
      <x:c r="M61" s="39"/>
      <x:c r="N61" s="81">
        <x:f t="shared" si="0"/>
        <x:v>0</x:v>
      </x:c>
      <x:c r="O61" s="40">
        <x:f t="shared" si="1"/>
        <x:v>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37"/>
      <x:c r="J62" s="38"/>
      <x:c r="K62" s="38"/>
      <x:c r="L62" s="38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1</x:v>
      </x:c>
      <x:c r="I63" s="37"/>
      <x:c r="J63" s="38"/>
      <x:c r="K63" s="38"/>
      <x:c r="L63" s="38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37"/>
      <x:c r="J64" s="38"/>
      <x:c r="K64" s="38"/>
      <x:c r="L64" s="38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>
        <x:v>1</x:v>
      </x:c>
      <x:c r="I65" s="37"/>
      <x:c r="J65" s="38"/>
      <x:c r="K65" s="38"/>
      <x:c r="L65" s="38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/>
      <x:c r="I66" s="37"/>
      <x:c r="J66" s="38"/>
      <x:c r="K66" s="38"/>
      <x:c r="L66" s="38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/>
      <x:c r="I67" s="37"/>
      <x:c r="J67" s="38"/>
      <x:c r="K67" s="38"/>
      <x:c r="L67" s="38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/>
      <x:c r="I68" s="37"/>
      <x:c r="J68" s="28"/>
      <x:c r="K68" s="28"/>
      <x:c r="L68" s="28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1</x:v>
      </x:c>
      <x:c r="I69" s="44"/>
      <x:c r="J69" s="20"/>
      <x:c r="K69" s="20"/>
      <x:c r="L69" s="20"/>
      <x:c r="M69" s="21"/>
      <x:c r="N69" s="80">
        <x:f t="shared" si="0"/>
        <x:v>0</x:v>
      </x:c>
      <x:c r="O69" s="22">
        <x:f t="shared" si="1"/>
        <x:v>0</x:v>
      </x:c>
    </x:row>
    <x:row r="70" spans="1:1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00"/>
      <x:c r="J70" s="401"/>
      <x:c r="K70" s="401"/>
      <x:c r="L70" s="401"/>
      <x:c r="M70" s="402"/>
      <x:c r="N70" s="81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/>
      <x:c r="I71" s="68"/>
      <x:c r="J71" s="52"/>
      <x:c r="K71" s="52"/>
      <x:c r="L71" s="52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/>
      <x:c r="I72" s="19"/>
      <x:c r="J72" s="20"/>
      <x:c r="K72" s="20"/>
      <x:c r="L72" s="20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/>
      <x:c r="I73" s="37"/>
      <x:c r="J73" s="38"/>
      <x:c r="K73" s="38"/>
      <x:c r="L73" s="38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>
        <x:v>1</x:v>
      </x:c>
      <x:c r="I74" s="37"/>
      <x:c r="J74" s="38"/>
      <x:c r="K74" s="38"/>
      <x:c r="L74" s="38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>
        <x:v>1</x:v>
      </x:c>
      <x:c r="I75" s="51"/>
      <x:c r="J75" s="52"/>
      <x:c r="K75" s="52"/>
      <x:c r="L75" s="52"/>
      <x:c r="M75" s="53"/>
      <x:c r="N75" s="83">
        <x:f t="shared" si="0"/>
        <x:v>0</x:v>
      </x:c>
      <x:c r="O75" s="42">
        <x:f t="shared" si="1"/>
        <x:v>0</x:v>
      </x:c>
    </x:row>
    <x:row r="76" spans="1:16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N76" si="5">SUM(F5:F75)</x:f>
        <x:v>76689</x:v>
      </x:c>
      <x:c r="G76" s="54">
        <x:f t="shared" si="5"/>
        <x:v>3692570</x:v>
      </x:c>
      <x:c r="H76" s="54">
        <x:f t="shared" si="5"/>
        <x:v>1661</x:v>
      </x:c>
      <x:c r="I76" s="54">
        <x:f t="shared" si="5"/>
        <x:v>0</x:v>
      </x:c>
      <x:c r="J76" s="54">
        <x:f t="shared" si="5"/>
        <x:v>0</x:v>
      </x:c>
      <x:c r="K76" s="54">
        <x:f t="shared" si="5"/>
        <x:v>0</x:v>
      </x:c>
      <x:c r="L76" s="54">
        <x:f t="shared" si="5"/>
        <x:v>0</x:v>
      </x:c>
      <x:c r="M76" s="54">
        <x:f t="shared" si="5"/>
        <x:v>0</x:v>
      </x:c>
      <x:c r="N76" s="108">
        <x:f t="shared" si="5"/>
        <x:v>0</x:v>
      </x:c>
      <x:c r="O76" s="108">
        <x:f>SUM(O5:O75)</x:f>
        <x:v>0</x:v>
      </x:c>
      <x:c r="P76" s="54"/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O76"/>
  <x:sheetViews>
    <x:sheetView topLeftCell="A37" zoomScale="70" zoomScaleNormal="70" zoomScaleSheetLayoutView="75" workbookViewId="0">
      <x:selection activeCell="L71" activeCellId="0" sqref="L71:L71"/>
    </x:sheetView>
  </x:sheetViews>
  <x:sheetFormatPr defaultColWidth="9.140625" defaultRowHeight="16.5"/>
  <x:cols>
    <x:col min="1" max="1" width="21.125" style="2" customWidth="1"/>
    <x:col min="2" max="2" width="31.375" style="2" bestFit="1" customWidth="1"/>
    <x:col min="3" max="3" width="15.25" style="2" bestFit="1" customWidth="1"/>
    <x:col min="4" max="4" width="6" style="2" customWidth="1"/>
    <x:col min="5" max="6" width="11.625" style="2" customWidth="1"/>
    <x:col min="7" max="7" width="13.25" style="2" customWidth="1"/>
    <x:col min="8" max="8" width="11.625" style="87" customWidth="1"/>
    <x:col min="9" max="15" width="11.625" style="2" customWidth="1"/>
  </x:cols>
  <x:sheetData>
    <x:row r="1" spans="1:15">
      <x:c r="A1" s="485" t="s">
        <x:v>156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92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91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19"/>
      <x:c r="J5" s="323"/>
      <x:c r="K5" s="297"/>
      <x:c r="L5" s="446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600</x:v>
      </x:c>
      <x:c r="I6" s="39"/>
      <x:c r="J6" s="324"/>
      <x:c r="K6" s="298"/>
      <x:c r="L6" s="447">
        <x:v>1000</x:v>
      </x:c>
      <x:c r="M6" s="39"/>
      <x:c r="N6" s="81">
        <x:f t="shared" ref="N6:N75" si="0">I6+J6+K6+L6+M6</x:f>
        <x:v>1000</x:v>
      </x:c>
      <x:c r="O6" s="40">
        <x:f t="shared" ref="O6:O75" si="1">E6*N6</x:f>
        <x:v>43000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>
        <x:v>400</x:v>
      </x:c>
      <x:c r="I7" s="39"/>
      <x:c r="J7" s="324"/>
      <x:c r="K7" s="298"/>
      <x:c r="L7" s="447">
        <x:v>1000</x:v>
      </x:c>
      <x:c r="M7" s="39"/>
      <x:c r="N7" s="81">
        <x:f t="shared" si="0"/>
        <x:v>1000</x:v>
      </x:c>
      <x:c r="O7" s="40">
        <x:f t="shared" si="1"/>
        <x:v>20000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66"/>
      <x:c r="J8" s="325"/>
      <x:c r="K8" s="299"/>
      <x:c r="L8" s="448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700</x:v>
      </x:c>
      <x:c r="I9" s="39"/>
      <x:c r="J9" s="324"/>
      <x:c r="K9" s="298"/>
      <x:c r="L9" s="447">
        <x:v>1000</x:v>
      </x:c>
      <x:c r="M9" s="39"/>
      <x:c r="N9" s="81">
        <x:f t="shared" si="0"/>
        <x:v>1000</x:v>
      </x:c>
      <x:c r="O9" s="40">
        <x:f t="shared" si="1"/>
        <x:v>53000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1550</x:v>
      </x:c>
      <x:c r="I10" s="39"/>
      <x:c r="J10" s="324"/>
      <x:c r="K10" s="298"/>
      <x:c r="L10" s="447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>
        <x:v>600</x:v>
      </x:c>
      <x:c r="I11" s="66"/>
      <x:c r="J11" s="325"/>
      <x:c r="K11" s="299"/>
      <x:c r="L11" s="448">
        <x:v>1000</x:v>
      </x:c>
      <x:c r="M11" s="66"/>
      <x:c r="N11" s="81">
        <x:f t="shared" si="0"/>
        <x:v>1000</x:v>
      </x:c>
      <x:c r="O11" s="40">
        <x:f t="shared" si="1"/>
        <x:v>18500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>
        <x:v>850</x:v>
      </x:c>
      <x:c r="I12" s="39"/>
      <x:c r="J12" s="324"/>
      <x:c r="K12" s="298"/>
      <x:c r="L12" s="447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39"/>
      <x:c r="J13" s="324"/>
      <x:c r="K13" s="298"/>
      <x:c r="L13" s="447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39"/>
      <x:c r="J14" s="324"/>
      <x:c r="K14" s="298"/>
      <x:c r="L14" s="447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>
        <x:v>1000</x:v>
      </x:c>
      <x:c r="I15" s="39"/>
      <x:c r="J15" s="324"/>
      <x:c r="K15" s="298"/>
      <x:c r="L15" s="447"/>
      <x:c r="M15" s="39"/>
      <x:c r="N15" s="81">
        <x:f t="shared" si="0"/>
        <x:v>0</x:v>
      </x:c>
      <x:c r="O15" s="40">
        <x:f t="shared" si="1"/>
        <x:v>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/>
      <x:c r="I16" s="39"/>
      <x:c r="J16" s="324"/>
      <x:c r="K16" s="298"/>
      <x:c r="L16" s="447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/>
      <x:c r="I17" s="66"/>
      <x:c r="J17" s="325"/>
      <x:c r="K17" s="299"/>
      <x:c r="L17" s="448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>
        <x:v>2500</x:v>
      </x:c>
      <x:c r="I18" s="39"/>
      <x:c r="J18" s="324"/>
      <x:c r="K18" s="298"/>
      <x:c r="L18" s="447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/>
      <x:c r="I19" s="39"/>
      <x:c r="J19" s="324"/>
      <x:c r="K19" s="298"/>
      <x:c r="L19" s="447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/>
      <x:c r="I20" s="66"/>
      <x:c r="J20" s="325"/>
      <x:c r="K20" s="299"/>
      <x:c r="L20" s="448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/>
      <x:c r="I21" s="39"/>
      <x:c r="J21" s="324"/>
      <x:c r="K21" s="298"/>
      <x:c r="L21" s="447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25</x:v>
      </x:c>
      <x:c r="I22" s="39"/>
      <x:c r="J22" s="324">
        <x:v>400</x:v>
      </x:c>
      <x:c r="K22" s="298"/>
      <x:c r="L22" s="447"/>
      <x:c r="M22" s="39"/>
      <x:c r="N22" s="81">
        <x:f t="shared" si="0"/>
        <x:v>400</x:v>
      </x:c>
      <x:c r="O22" s="40">
        <x:f t="shared" si="1"/>
        <x:v>45000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8000</x:v>
      </x:c>
      <x:c r="I23" s="66"/>
      <x:c r="J23" s="325"/>
      <x:c r="K23" s="299"/>
      <x:c r="L23" s="448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39"/>
      <x:c r="J24" s="324"/>
      <x:c r="K24" s="298"/>
      <x:c r="L24" s="447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/>
      <x:c r="I25" s="39"/>
      <x:c r="J25" s="324"/>
      <x:c r="K25" s="298"/>
      <x:c r="L25" s="447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39"/>
      <x:c r="J26" s="324"/>
      <x:c r="K26" s="298"/>
      <x:c r="L26" s="447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39"/>
      <x:c r="J27" s="324"/>
      <x:c r="K27" s="298"/>
      <x:c r="L27" s="447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>
        <x:v>3</x:v>
      </x:c>
      <x:c r="I28" s="66"/>
      <x:c r="J28" s="325"/>
      <x:c r="K28" s="299"/>
      <x:c r="L28" s="448"/>
      <x:c r="M28" s="66"/>
      <x:c r="N28" s="81">
        <x:f t="shared" si="0"/>
        <x:v>0</x:v>
      </x:c>
      <x:c r="O28" s="40">
        <x:f t="shared" si="1"/>
        <x:v>0</x:v>
      </x:c>
    </x:row>
    <x:row r="29" spans="1:15" ht="20.2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>
        <x:v>2</x:v>
      </x:c>
      <x:c r="I29" s="39"/>
      <x:c r="J29" s="324"/>
      <x:c r="K29" s="298"/>
      <x:c r="L29" s="447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>
        <x:v>3</x:v>
      </x:c>
      <x:c r="I30" s="39"/>
      <x:c r="J30" s="324"/>
      <x:c r="K30" s="298"/>
      <x:c r="L30" s="447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39"/>
      <x:c r="J31" s="324"/>
      <x:c r="K31" s="298"/>
      <x:c r="L31" s="447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>
        <x:v>1</x:v>
      </x:c>
      <x:c r="I32" s="39"/>
      <x:c r="J32" s="324">
        <x:v>1</x:v>
      </x:c>
      <x:c r="K32" s="298"/>
      <x:c r="L32" s="447"/>
      <x:c r="M32" s="39"/>
      <x:c r="N32" s="81">
        <x:f t="shared" si="0"/>
        <x:v>1</x:v>
      </x:c>
      <x:c r="O32" s="40">
        <x:f>E32*N32</x:f>
        <x:v>3200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>
        <x:v>18</x:v>
      </x:c>
      <x:c r="I33" s="66"/>
      <x:c r="J33" s="325"/>
      <x:c r="K33" s="299"/>
      <x:c r="L33" s="448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66"/>
      <x:c r="J34" s="325"/>
      <x:c r="K34" s="299"/>
      <x:c r="L34" s="448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13</x:v>
      </x:c>
      <x:c r="I35" s="66"/>
      <x:c r="J35" s="325"/>
      <x:c r="K35" s="299"/>
      <x:c r="L35" s="448">
        <x:v>4</x:v>
      </x:c>
      <x:c r="M35" s="66"/>
      <x:c r="N35" s="81">
        <x:f t="shared" si="0"/>
        <x:v>4</x:v>
      </x:c>
      <x:c r="O35" s="40">
        <x:f t="shared" si="1"/>
        <x:v>30800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>
        <x:v>7</x:v>
      </x:c>
      <x:c r="I36" s="66"/>
      <x:c r="J36" s="325"/>
      <x:c r="K36" s="299"/>
      <x:c r="L36" s="448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39"/>
      <x:c r="J37" s="324"/>
      <x:c r="K37" s="298"/>
      <x:c r="L37" s="447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29"/>
      <x:c r="J38" s="324"/>
      <x:c r="K38" s="298"/>
      <x:c r="L38" s="447"/>
      <x:c r="M38" s="29"/>
      <x:c r="N38" s="82">
        <x:f t="shared" si="0"/>
        <x:v>0</x:v>
      </x:c>
      <x:c r="O38" s="3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>
        <x:v>4</x:v>
      </x:c>
      <x:c r="I39" s="39"/>
      <x:c r="J39" s="324"/>
      <x:c r="K39" s="298"/>
      <x:c r="L39" s="447">
        <x:v>2</x:v>
      </x:c>
      <x:c r="M39" s="39"/>
      <x:c r="N39" s="81">
        <x:f t="shared" si="0"/>
        <x:v>2</x:v>
      </x:c>
      <x:c r="O39" s="40">
        <x:f t="shared" si="1"/>
        <x:v>14720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>
        <x:v>1</x:v>
      </x:c>
      <x:c r="I40" s="27"/>
      <x:c r="J40" s="324"/>
      <x:c r="K40" s="298"/>
      <x:c r="L40" s="447">
        <x:v>2</x:v>
      </x:c>
      <x:c r="M40" s="29"/>
      <x:c r="N40" s="82">
        <x:f t="shared" si="0"/>
        <x:v>2</x:v>
      </x:c>
      <x:c r="O40" s="30">
        <x:f t="shared" si="1"/>
        <x:v>14720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21"/>
      <x:c r="J41" s="323"/>
      <x:c r="K41" s="297"/>
      <x:c r="L41" s="446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29"/>
      <x:c r="J42" s="326"/>
      <x:c r="K42" s="300"/>
      <x:c r="L42" s="449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>
        <x:v>2</x:v>
      </x:c>
      <x:c r="I43" s="21"/>
      <x:c r="J43" s="323"/>
      <x:c r="K43" s="297"/>
      <x:c r="L43" s="446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>
        <x:v>4</x:v>
      </x:c>
      <x:c r="I44" s="39"/>
      <x:c r="J44" s="324"/>
      <x:c r="K44" s="298"/>
      <x:c r="L44" s="447"/>
      <x:c r="M44" s="39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>
        <x:v>2</x:v>
      </x:c>
      <x:c r="I45" s="39"/>
      <x:c r="J45" s="324"/>
      <x:c r="K45" s="298"/>
      <x:c r="L45" s="447">
        <x:v>1</x:v>
      </x:c>
      <x:c r="M45" s="39"/>
      <x:c r="N45" s="81">
        <x:f t="shared" si="0"/>
        <x:v>1</x:v>
      </x:c>
      <x:c r="O45" s="40">
        <x:f t="shared" si="1"/>
        <x:v>6700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>
        <x:v>4</x:v>
      </x:c>
      <x:c r="I46" s="39"/>
      <x:c r="J46" s="324"/>
      <x:c r="K46" s="298"/>
      <x:c r="L46" s="447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1</x:v>
      </x:c>
      <x:c r="I47" s="39"/>
      <x:c r="J47" s="324"/>
      <x:c r="K47" s="298"/>
      <x:c r="L47" s="447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>
        <x:v>1</x:v>
      </x:c>
      <x:c r="I48" s="39"/>
      <x:c r="J48" s="324"/>
      <x:c r="K48" s="298"/>
      <x:c r="L48" s="447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>
        <x:v>1</x:v>
      </x:c>
      <x:c r="I49" s="39"/>
      <x:c r="J49" s="324"/>
      <x:c r="K49" s="298"/>
      <x:c r="L49" s="447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/>
      <x:c r="I50" s="39"/>
      <x:c r="J50" s="324"/>
      <x:c r="K50" s="298"/>
      <x:c r="L50" s="447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>
        <x:v>1</x:v>
      </x:c>
      <x:c r="I51" s="39"/>
      <x:c r="J51" s="324"/>
      <x:c r="K51" s="298"/>
      <x:c r="L51" s="447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v>54000</x:v>
      </x:c>
      <x:c r="H52" s="317">
        <x:v>1</x:v>
      </x:c>
      <x:c r="I52" s="39"/>
      <x:c r="J52" s="324"/>
      <x:c r="K52" s="298"/>
      <x:c r="L52" s="447"/>
      <x:c r="M52" s="39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>
        <x:v>2</x:v>
      </x:c>
      <x:c r="I53" s="37"/>
      <x:c r="J53" s="324">
        <x:v>1</x:v>
      </x:c>
      <x:c r="K53" s="298"/>
      <x:c r="L53" s="447"/>
      <x:c r="M53" s="39"/>
      <x:c r="N53" s="81">
        <x:f>I53+J53+K53+L53+M53</x:f>
        <x:v>1</x:v>
      </x:c>
      <x:c r="O53" s="40">
        <x:f>E53*N53</x:f>
        <x:v>5300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>
        <x:v>1</x:v>
      </x:c>
      <x:c r="I54" s="115"/>
      <x:c r="J54" s="324"/>
      <x:c r="K54" s="298"/>
      <x:c r="L54" s="447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>
        <x:v>1</x:v>
      </x:c>
      <x:c r="I55" s="115"/>
      <x:c r="J55" s="324"/>
      <x:c r="K55" s="298"/>
      <x:c r="L55" s="447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17">
        <x:v>2</x:v>
      </x:c>
      <x:c r="I56" s="39"/>
      <x:c r="J56" s="324"/>
      <x:c r="K56" s="298"/>
      <x:c r="L56" s="447"/>
      <x:c r="M56" s="39"/>
      <x:c r="N56" s="81">
        <x:f t="shared" si="0"/>
        <x:v>0</x:v>
      </x:c>
      <x:c r="O56" s="40">
        <x:f t="shared" si="1"/>
        <x:v>0</x:v>
      </x:c>
    </x:row>
    <x:row r="57" spans="1:15" ht="17.25">
      <x:c r="A57" s="488"/>
      <x:c r="B57" s="284" t="s">
        <x:v>80</x:v>
      </x:c>
      <x:c r="C57" s="284" t="s">
        <x:v>45</x:v>
      </x:c>
      <x:c r="D57" s="284" t="s">
        <x:v>140</x:v>
      </x:c>
      <x:c r="E57" s="285">
        <x:v>6700</x:v>
      </x:c>
      <x:c r="F57" s="24">
        <x:v>12</x:v>
      </x:c>
      <x:c r="G57" s="25">
        <x:v>80400</x:v>
      </x:c>
      <x:c r="H57" s="319"/>
      <x:c r="I57" s="29"/>
      <x:c r="J57" s="326"/>
      <x:c r="K57" s="300"/>
      <x:c r="L57" s="449">
        <x:v>1</x:v>
      </x:c>
      <x:c r="M57" s="29"/>
      <x:c r="N57" s="82">
        <x:f t="shared" si="0"/>
        <x:v>1</x:v>
      </x:c>
      <x:c r="O57" s="42">
        <x:f t="shared" si="1"/>
        <x:v>6700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>
        <x:v>1</x:v>
      </x:c>
      <x:c r="I58" s="21"/>
      <x:c r="J58" s="323">
        <x:v>1</x:v>
      </x:c>
      <x:c r="K58" s="297"/>
      <x:c r="L58" s="446"/>
      <x:c r="M58" s="21"/>
      <x:c r="N58" s="80">
        <x:f t="shared" si="0"/>
        <x:v>1</x:v>
      </x:c>
      <x:c r="O58" s="86">
        <x:f t="shared" si="1"/>
        <x:v>6900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>
        <x:v>1</x:v>
      </x:c>
      <x:c r="I59" s="39"/>
      <x:c r="J59" s="324">
        <x:v>1</x:v>
      </x:c>
      <x:c r="K59" s="298"/>
      <x:c r="L59" s="447"/>
      <x:c r="M59" s="39"/>
      <x:c r="N59" s="81">
        <x:f t="shared" si="0"/>
        <x:v>1</x:v>
      </x:c>
      <x:c r="O59" s="40">
        <x:f t="shared" si="1"/>
        <x:v>6900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>
        <x:v>4</x:v>
      </x:c>
      <x:c r="I60" s="39"/>
      <x:c r="J60" s="324"/>
      <x:c r="K60" s="298"/>
      <x:c r="L60" s="447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>
        <x:v>2</x:v>
      </x:c>
      <x:c r="I61" s="39"/>
      <x:c r="J61" s="324"/>
      <x:c r="K61" s="298"/>
      <x:c r="L61" s="447">
        <x:v>2</x:v>
      </x:c>
      <x:c r="M61" s="39"/>
      <x:c r="N61" s="81">
        <x:f t="shared" si="0"/>
        <x:v>2</x:v>
      </x:c>
      <x:c r="O61" s="40">
        <x:f t="shared" si="1"/>
        <x:v>30000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39"/>
      <x:c r="J62" s="324"/>
      <x:c r="K62" s="298"/>
      <x:c r="L62" s="447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4</x:v>
      </x:c>
      <x:c r="I63" s="39"/>
      <x:c r="J63" s="324"/>
      <x:c r="K63" s="298"/>
      <x:c r="L63" s="447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39"/>
      <x:c r="J64" s="324"/>
      <x:c r="K64" s="298"/>
      <x:c r="L64" s="447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>
        <x:v>2</x:v>
      </x:c>
      <x:c r="I65" s="37"/>
      <x:c r="J65" s="324"/>
      <x:c r="K65" s="298"/>
      <x:c r="L65" s="447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>
        <x:v>1</x:v>
      </x:c>
      <x:c r="I66" s="39"/>
      <x:c r="J66" s="324"/>
      <x:c r="K66" s="298"/>
      <x:c r="L66" s="447"/>
      <x:c r="M66" s="39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>
        <x:v>1</x:v>
      </x:c>
      <x:c r="I67" s="39"/>
      <x:c r="J67" s="324"/>
      <x:c r="K67" s="298"/>
      <x:c r="L67" s="447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>
        <x:v>1</x:v>
      </x:c>
      <x:c r="I68" s="29"/>
      <x:c r="J68" s="326"/>
      <x:c r="K68" s="300"/>
      <x:c r="L68" s="449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15</x:v>
      </x:c>
      <x:c r="I69" s="21"/>
      <x:c r="J69" s="323"/>
      <x:c r="K69" s="297"/>
      <x:c r="L69" s="446">
        <x:v>10</x:v>
      </x:c>
      <x:c r="M69" s="21"/>
      <x:c r="N69" s="80">
        <x:f t="shared" si="0"/>
        <x:v>10</x:v>
      </x:c>
      <x:c r="O69" s="22">
        <x:f t="shared" si="1"/>
        <x:v>110000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02"/>
      <x:c r="J70" s="424"/>
      <x:c r="K70" s="425"/>
      <x:c r="L70" s="450"/>
      <x:c r="M70" s="402"/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/>
      <x:c r="I71" s="53"/>
      <x:c r="J71" s="327"/>
      <x:c r="K71" s="301"/>
      <x:c r="L71" s="451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>
        <x:v>1</x:v>
      </x:c>
      <x:c r="I72" s="21"/>
      <x:c r="J72" s="323"/>
      <x:c r="K72" s="297"/>
      <x:c r="L72" s="446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>
        <x:v>1.5</x:v>
      </x:c>
      <x:c r="I73" s="39"/>
      <x:c r="J73" s="324"/>
      <x:c r="K73" s="298"/>
      <x:c r="L73" s="447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/>
      <x:c r="I74" s="39"/>
      <x:c r="J74" s="324"/>
      <x:c r="K74" s="298"/>
      <x:c r="L74" s="447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>
        <x:v>1</x:v>
      </x:c>
      <x:c r="I75" s="53"/>
      <x:c r="J75" s="328"/>
      <x:c r="K75" s="301"/>
      <x:c r="L75" s="451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N76" si="5">SUM(F5:F75)</x:f>
        <x:v>76689</x:v>
      </x:c>
      <x:c r="G76" s="54">
        <x:f t="shared" si="5"/>
        <x:v>3692570</x:v>
      </x:c>
      <x:c r="H76" s="54">
        <x:f t="shared" si="5"/>
        <x:v>16335.5</x:v>
      </x:c>
      <x:c r="I76" s="54">
        <x:f t="shared" si="5"/>
        <x:v>0</x:v>
      </x:c>
      <x:c r="J76" s="54">
        <x:f t="shared" si="5"/>
        <x:v>404</x:v>
      </x:c>
      <x:c r="K76" s="54">
        <x:f t="shared" si="5"/>
        <x:v>0</x:v>
      </x:c>
      <x:c r="L76" s="54">
        <x:f t="shared" si="5"/>
        <x:v>4022</x:v>
      </x:c>
      <x:c r="M76" s="54">
        <x:f t="shared" si="5"/>
        <x:v>0</x:v>
      </x:c>
      <x:c r="N76" s="108">
        <x:f t="shared" si="5"/>
        <x:v>4426</x:v>
      </x:c>
      <x:c r="O76" s="108">
        <x:f>SUM(O5:O75)</x:f>
        <x:v>415440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76"/>
  <x:sheetViews>
    <x:sheetView topLeftCell="A1" zoomScale="55" zoomScaleNormal="55" zoomScaleSheetLayoutView="75" workbookViewId="0">
      <x:selection activeCell="L5" activeCellId="0" sqref="L5:L75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163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19"/>
      <x:c r="J5" s="323"/>
      <x:c r="K5" s="287"/>
      <x:c r="L5" s="458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950</x:v>
      </x:c>
      <x:c r="I6" s="127"/>
      <x:c r="J6" s="324"/>
      <x:c r="K6" s="288"/>
      <x:c r="L6" s="459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>
        <x:v>1100</x:v>
      </x:c>
      <x:c r="I7" s="127"/>
      <x:c r="J7" s="324"/>
      <x:c r="K7" s="288"/>
      <x:c r="L7" s="459"/>
      <x:c r="M7" s="39"/>
      <x:c r="N7" s="81">
        <x:f t="shared" si="0"/>
        <x:v>0</x:v>
      </x:c>
      <x:c r="O7" s="40">
        <x:f t="shared" si="1"/>
        <x:v>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129"/>
      <x:c r="J8" s="325"/>
      <x:c r="K8" s="289"/>
      <x:c r="L8" s="460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1200</x:v>
      </x:c>
      <x:c r="I9" s="127"/>
      <x:c r="J9" s="324"/>
      <x:c r="K9" s="288"/>
      <x:c r="L9" s="459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1050</x:v>
      </x:c>
      <x:c r="I10" s="127"/>
      <x:c r="J10" s="324"/>
      <x:c r="K10" s="288"/>
      <x:c r="L10" s="459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>
        <x:v>1200</x:v>
      </x:c>
      <x:c r="I11" s="129"/>
      <x:c r="J11" s="325"/>
      <x:c r="K11" s="289"/>
      <x:c r="L11" s="460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>
        <x:v>1050</x:v>
      </x:c>
      <x:c r="I12" s="127"/>
      <x:c r="J12" s="324"/>
      <x:c r="K12" s="288"/>
      <x:c r="L12" s="459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127"/>
      <x:c r="J13" s="324"/>
      <x:c r="K13" s="288"/>
      <x:c r="L13" s="459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127"/>
      <x:c r="J14" s="324"/>
      <x:c r="K14" s="288"/>
      <x:c r="L14" s="459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>
        <x:v>0</x:v>
      </x:c>
      <x:c r="I15" s="127"/>
      <x:c r="J15" s="324"/>
      <x:c r="K15" s="288"/>
      <x:c r="L15" s="459">
        <x:v>1000</x:v>
      </x:c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>
        <x:v>1000</x:v>
      </x:c>
      <x:c r="I16" s="127"/>
      <x:c r="J16" s="324"/>
      <x:c r="K16" s="288"/>
      <x:c r="L16" s="459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>
        <x:v>200</x:v>
      </x:c>
      <x:c r="I17" s="129"/>
      <x:c r="J17" s="325"/>
      <x:c r="K17" s="289"/>
      <x:c r="L17" s="460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>
        <x:v>500</x:v>
      </x:c>
      <x:c r="I18" s="127"/>
      <x:c r="J18" s="324"/>
      <x:c r="K18" s="288"/>
      <x:c r="L18" s="459"/>
      <x:c r="M18" s="39"/>
      <x:c r="N18" s="81">
        <x:f t="shared" si="0"/>
        <x:v>0</x:v>
      </x:c>
      <x:c r="O18" s="40">
        <x:f t="shared" si="1"/>
        <x:v>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>
        <x:v>500</x:v>
      </x:c>
      <x:c r="I19" s="127"/>
      <x:c r="J19" s="324"/>
      <x:c r="K19" s="288"/>
      <x:c r="L19" s="459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>
        <x:v>200</x:v>
      </x:c>
      <x:c r="I20" s="129"/>
      <x:c r="J20" s="325"/>
      <x:c r="K20" s="289"/>
      <x:c r="L20" s="460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>
        <x:v>200</x:v>
      </x:c>
      <x:c r="I21" s="127"/>
      <x:c r="J21" s="324"/>
      <x:c r="K21" s="288"/>
      <x:c r="L21" s="459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125</x:v>
      </x:c>
      <x:c r="I22" s="127"/>
      <x:c r="J22" s="324"/>
      <x:c r="K22" s="288"/>
      <x:c r="L22" s="459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800</x:v>
      </x:c>
      <x:c r="I23" s="129"/>
      <x:c r="J23" s="325"/>
      <x:c r="K23" s="289"/>
      <x:c r="L23" s="460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127"/>
      <x:c r="J24" s="324"/>
      <x:c r="K24" s="288"/>
      <x:c r="L24" s="459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>
        <x:v>1000</x:v>
      </x:c>
      <x:c r="I25" s="127"/>
      <x:c r="J25" s="324"/>
      <x:c r="K25" s="288"/>
      <x:c r="L25" s="459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127"/>
      <x:c r="J26" s="324"/>
      <x:c r="K26" s="288"/>
      <x:c r="L26" s="459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127"/>
      <x:c r="J27" s="324"/>
      <x:c r="K27" s="288"/>
      <x:c r="L27" s="459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>
        <x:v>2</x:v>
      </x:c>
      <x:c r="I28" s="129"/>
      <x:c r="J28" s="325"/>
      <x:c r="K28" s="289"/>
      <x:c r="L28" s="460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>
        <x:v>3</x:v>
      </x:c>
      <x:c r="I29" s="127"/>
      <x:c r="J29" s="324"/>
      <x:c r="K29" s="288"/>
      <x:c r="L29" s="459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>
        <x:v>3</x:v>
      </x:c>
      <x:c r="I30" s="127"/>
      <x:c r="J30" s="324"/>
      <x:c r="K30" s="288"/>
      <x:c r="L30" s="459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127"/>
      <x:c r="J31" s="324"/>
      <x:c r="K31" s="288"/>
      <x:c r="L31" s="459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/>
      <x:c r="I32" s="127"/>
      <x:c r="J32" s="324">
        <x:v>1</x:v>
      </x:c>
      <x:c r="K32" s="288"/>
      <x:c r="L32" s="459"/>
      <x:c r="M32" s="39"/>
      <x:c r="N32" s="81">
        <x:f t="shared" si="0"/>
        <x:v>1</x:v>
      </x:c>
      <x:c r="O32" s="40">
        <x:f t="shared" si="1"/>
        <x:v>3200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>
        <x:v>6</x:v>
      </x:c>
      <x:c r="I33" s="129"/>
      <x:c r="J33" s="325"/>
      <x:c r="K33" s="289"/>
      <x:c r="L33" s="460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129"/>
      <x:c r="J34" s="325"/>
      <x:c r="K34" s="289"/>
      <x:c r="L34" s="460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5</x:v>
      </x:c>
      <x:c r="I35" s="129"/>
      <x:c r="J35" s="325">
        <x:v>5</x:v>
      </x:c>
      <x:c r="K35" s="289"/>
      <x:c r="L35" s="460">
        <x:v>3</x:v>
      </x:c>
      <x:c r="M35" s="66"/>
      <x:c r="N35" s="81">
        <x:f t="shared" si="0"/>
        <x:v>8</x:v>
      </x:c>
      <x:c r="O35" s="40">
        <x:f t="shared" si="1"/>
        <x:v>61600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>
        <x:v>2</x:v>
      </x:c>
      <x:c r="I36" s="129"/>
      <x:c r="J36" s="325">
        <x:v>2</x:v>
      </x:c>
      <x:c r="K36" s="289"/>
      <x:c r="L36" s="460"/>
      <x:c r="M36" s="66"/>
      <x:c r="N36" s="81">
        <x:f t="shared" si="0"/>
        <x:v>2</x:v>
      </x:c>
      <x:c r="O36" s="40">
        <x:f t="shared" si="1"/>
        <x:v>2700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127"/>
      <x:c r="J37" s="324"/>
      <x:c r="K37" s="288"/>
      <x:c r="L37" s="459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127"/>
      <x:c r="J38" s="324"/>
      <x:c r="K38" s="288"/>
      <x:c r="L38" s="459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>
        <x:v>1</x:v>
      </x:c>
      <x:c r="I39" s="127"/>
      <x:c r="J39" s="324"/>
      <x:c r="K39" s="288"/>
      <x:c r="L39" s="459"/>
      <x:c r="M39" s="39"/>
      <x:c r="N39" s="81">
        <x:f t="shared" si="0"/>
        <x:v>0</x:v>
      </x:c>
      <x:c r="O39" s="40">
        <x:f t="shared" si="1"/>
        <x:v>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>
        <x:v>1</x:v>
      </x:c>
      <x:c r="I40" s="127"/>
      <x:c r="J40" s="324"/>
      <x:c r="K40" s="288"/>
      <x:c r="L40" s="459">
        <x:v>1</x:v>
      </x:c>
      <x:c r="M40" s="29"/>
      <x:c r="N40" s="82">
        <x:f t="shared" si="0"/>
        <x:v>1</x:v>
      </x:c>
      <x:c r="O40" s="40">
        <x:f t="shared" si="1"/>
        <x:v>7360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44"/>
      <x:c r="J41" s="323"/>
      <x:c r="K41" s="287"/>
      <x:c r="L41" s="458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128"/>
      <x:c r="J42" s="326"/>
      <x:c r="K42" s="290"/>
      <x:c r="L42" s="461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>
        <x:v>0</x:v>
      </x:c>
      <x:c r="I43" s="44"/>
      <x:c r="J43" s="323"/>
      <x:c r="K43" s="287"/>
      <x:c r="L43" s="458"/>
      <x:c r="M43" s="21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>
        <x:v>1</x:v>
      </x:c>
      <x:c r="I44" s="127"/>
      <x:c r="J44" s="324"/>
      <x:c r="K44" s="288"/>
      <x:c r="L44" s="459">
        <x:v>1</x:v>
      </x:c>
      <x:c r="M44" s="39"/>
      <x:c r="N44" s="81">
        <x:f t="shared" si="0"/>
        <x:v>1</x:v>
      </x:c>
      <x:c r="O44" s="40">
        <x:f t="shared" si="1"/>
        <x:v>6200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>
        <x:v>1</x:v>
      </x:c>
      <x:c r="I45" s="127"/>
      <x:c r="J45" s="324"/>
      <x:c r="K45" s="288"/>
      <x:c r="L45" s="459"/>
      <x:c r="M45" s="39"/>
      <x:c r="N45" s="81">
        <x:f t="shared" si="0"/>
        <x:v>0</x:v>
      </x:c>
      <x:c r="O45" s="40">
        <x:f t="shared" si="1"/>
        <x:v>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>
        <x:v>1</x:v>
      </x:c>
      <x:c r="I46" s="127"/>
      <x:c r="J46" s="324"/>
      <x:c r="K46" s="288"/>
      <x:c r="L46" s="459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0</x:v>
      </x:c>
      <x:c r="I47" s="127"/>
      <x:c r="J47" s="324"/>
      <x:c r="K47" s="288"/>
      <x:c r="L47" s="459">
        <x:v>1</x:v>
      </x:c>
      <x:c r="M47" s="39"/>
      <x:c r="N47" s="81">
        <x:f t="shared" si="0"/>
        <x:v>1</x:v>
      </x:c>
      <x:c r="O47" s="40">
        <x:f t="shared" si="1"/>
        <x:v>5300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>
        <x:v>1</x:v>
      </x:c>
      <x:c r="I48" s="127"/>
      <x:c r="J48" s="324"/>
      <x:c r="K48" s="288"/>
      <x:c r="L48" s="459"/>
      <x:c r="M48" s="39"/>
      <x:c r="N48" s="81">
        <x:f t="shared" si="0"/>
        <x:v>0</x:v>
      </x:c>
      <x:c r="O48" s="40">
        <x:f t="shared" si="1"/>
        <x:v>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>
        <x:v>0</x:v>
      </x:c>
      <x:c r="I49" s="127"/>
      <x:c r="J49" s="324"/>
      <x:c r="K49" s="288"/>
      <x:c r="L49" s="459"/>
      <x:c r="M49" s="39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>
        <x:v>0</x:v>
      </x:c>
      <x:c r="I50" s="127"/>
      <x:c r="J50" s="324"/>
      <x:c r="K50" s="288"/>
      <x:c r="L50" s="459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/>
      <x:c r="I51" s="127"/>
      <x:c r="J51" s="324"/>
      <x:c r="K51" s="288"/>
      <x:c r="L51" s="459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v>54000</x:v>
      </x:c>
      <x:c r="H52" s="317">
        <x:v>1</x:v>
      </x:c>
      <x:c r="I52" s="127"/>
      <x:c r="J52" s="324"/>
      <x:c r="K52" s="288"/>
      <x:c r="L52" s="459"/>
      <x:c r="M52" s="39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>
        <x:v>3</x:v>
      </x:c>
      <x:c r="I53" s="37"/>
      <x:c r="J53" s="324"/>
      <x:c r="K53" s="288"/>
      <x:c r="L53" s="459"/>
      <x:c r="M53" s="39"/>
      <x:c r="N53" s="81">
        <x:f>I53+J53+K53+L53+M53</x:f>
        <x:v>0</x:v>
      </x:c>
      <x:c r="O53" s="40">
        <x:f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/>
      <x:c r="I54" s="37"/>
      <x:c r="J54" s="324"/>
      <x:c r="K54" s="288"/>
      <x:c r="L54" s="459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>
        <x:v>1</x:v>
      </x:c>
      <x:c r="I55" s="37"/>
      <x:c r="J55" s="324"/>
      <x:c r="K55" s="288"/>
      <x:c r="L55" s="459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32" t="s">
        <x:v>114</x:v>
      </x:c>
      <x:c r="C56" s="32" t="s">
        <x:v>55</x:v>
      </x:c>
      <x:c r="D56" s="32" t="s">
        <x:v>140</x:v>
      </x:c>
      <x:c r="E56" s="55">
        <x:v>4500</x:v>
      </x:c>
      <x:c r="F56" s="34">
        <x:v>12</x:v>
      </x:c>
      <x:c r="G56" s="35">
        <x:v>54000</x:v>
      </x:c>
      <x:c r="H56" s="317">
        <x:v>1</x:v>
      </x:c>
      <x:c r="I56" s="127"/>
      <x:c r="J56" s="324"/>
      <x:c r="K56" s="288"/>
      <x:c r="L56" s="459"/>
      <x:c r="M56" s="39"/>
      <x:c r="N56" s="81">
        <x:f t="shared" si="0"/>
        <x:v>0</x:v>
      </x:c>
      <x:c r="O56" s="40">
        <x:f t="shared" si="1"/>
        <x:v>0</x:v>
      </x:c>
    </x:row>
    <x:row r="57" spans="1:15" ht="17.25">
      <x:c r="A57" s="488"/>
      <x:c r="B57" s="23" t="s">
        <x:v>80</x:v>
      </x:c>
      <x:c r="C57" s="23" t="s">
        <x:v>45</x:v>
      </x:c>
      <x:c r="D57" s="23" t="s">
        <x:v>140</x:v>
      </x:c>
      <x:c r="E57" s="76">
        <x:v>6700</x:v>
      </x:c>
      <x:c r="F57" s="24">
        <x:v>12</x:v>
      </x:c>
      <x:c r="G57" s="25">
        <x:v>80400</x:v>
      </x:c>
      <x:c r="H57" s="319">
        <x:v>1</x:v>
      </x:c>
      <x:c r="I57" s="128"/>
      <x:c r="J57" s="326"/>
      <x:c r="K57" s="290"/>
      <x:c r="L57" s="461"/>
      <x:c r="M57" s="29"/>
      <x:c r="N57" s="82">
        <x:f t="shared" si="0"/>
        <x:v>0</x:v>
      </x:c>
      <x:c r="O57" s="42">
        <x:f t="shared" si="1"/>
        <x:v>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>
        <x:v>1</x:v>
      </x:c>
      <x:c r="I58" s="44"/>
      <x:c r="J58" s="323"/>
      <x:c r="K58" s="287"/>
      <x:c r="L58" s="458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>
        <x:v>1</x:v>
      </x:c>
      <x:c r="I59" s="127"/>
      <x:c r="J59" s="324"/>
      <x:c r="K59" s="288"/>
      <x:c r="L59" s="459"/>
      <x:c r="M59" s="39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>
        <x:v>1</x:v>
      </x:c>
      <x:c r="I60" s="127"/>
      <x:c r="J60" s="324"/>
      <x:c r="K60" s="288"/>
      <x:c r="L60" s="459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>
        <x:v>1</x:v>
      </x:c>
      <x:c r="I61" s="127"/>
      <x:c r="J61" s="324">
        <x:v>1</x:v>
      </x:c>
      <x:c r="K61" s="288"/>
      <x:c r="L61" s="459">
        <x:v>1</x:v>
      </x:c>
      <x:c r="M61" s="39"/>
      <x:c r="N61" s="81">
        <x:f t="shared" si="0"/>
        <x:v>2</x:v>
      </x:c>
      <x:c r="O61" s="40">
        <x:f t="shared" si="1"/>
        <x:v>30000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127"/>
      <x:c r="J62" s="324"/>
      <x:c r="K62" s="288"/>
      <x:c r="L62" s="459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1</x:v>
      </x:c>
      <x:c r="I63" s="127"/>
      <x:c r="J63" s="324"/>
      <x:c r="K63" s="288"/>
      <x:c r="L63" s="459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127"/>
      <x:c r="J64" s="324"/>
      <x:c r="K64" s="288"/>
      <x:c r="L64" s="459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>
        <x:v>1</x:v>
      </x:c>
      <x:c r="I65" s="37"/>
      <x:c r="J65" s="324"/>
      <x:c r="K65" s="288"/>
      <x:c r="L65" s="459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>
        <x:v>1</x:v>
      </x:c>
      <x:c r="I66" s="127"/>
      <x:c r="J66" s="324">
        <x:v>1</x:v>
      </x:c>
      <x:c r="K66" s="288"/>
      <x:c r="L66" s="459"/>
      <x:c r="M66" s="39"/>
      <x:c r="N66" s="81">
        <x:f t="shared" si="0"/>
        <x:v>1</x:v>
      </x:c>
      <x:c r="O66" s="40">
        <x:f t="shared" si="1"/>
        <x:v>14100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/>
      <x:c r="I67" s="127"/>
      <x:c r="J67" s="324"/>
      <x:c r="K67" s="288"/>
      <x:c r="L67" s="459"/>
      <x:c r="M67" s="39"/>
      <x:c r="N67" s="81">
        <x:f t="shared" si="0"/>
        <x:v>0</x:v>
      </x:c>
      <x:c r="O67" s="40">
        <x:f t="shared" si="1"/>
        <x:v>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/>
      <x:c r="I68" s="128"/>
      <x:c r="J68" s="326"/>
      <x:c r="K68" s="290"/>
      <x:c r="L68" s="461"/>
      <x:c r="M68" s="29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7</x:v>
      </x:c>
      <x:c r="I69" s="44"/>
      <x:c r="J69" s="323">
        <x:v>8</x:v>
      </x:c>
      <x:c r="K69" s="287"/>
      <x:c r="L69" s="458">
        <x:v>7</x:v>
      </x:c>
      <x:c r="M69" s="21"/>
      <x:c r="N69" s="80">
        <x:f t="shared" si="0"/>
        <x:v>15</x:v>
      </x:c>
      <x:c r="O69" s="22">
        <x:f t="shared" si="1"/>
        <x:v>165000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00"/>
      <x:c r="J70" s="424"/>
      <x:c r="K70" s="426"/>
      <x:c r="L70" s="462"/>
      <x:c r="M70" s="402"/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/>
      <x:c r="I71" s="68"/>
      <x:c r="J71" s="327"/>
      <x:c r="K71" s="291"/>
      <x:c r="L71" s="463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>
        <x:v>0.5</x:v>
      </x:c>
      <x:c r="I72" s="44"/>
      <x:c r="J72" s="323"/>
      <x:c r="K72" s="287"/>
      <x:c r="L72" s="458"/>
      <x:c r="M72" s="21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/>
      <x:c r="I73" s="127"/>
      <x:c r="J73" s="324">
        <x:v>1</x:v>
      </x:c>
      <x:c r="K73" s="288"/>
      <x:c r="L73" s="459"/>
      <x:c r="M73" s="39"/>
      <x:c r="N73" s="81">
        <x:f t="shared" si="0"/>
        <x:v>1</x:v>
      </x:c>
      <x:c r="O73" s="40">
        <x:f t="shared" si="1"/>
        <x:v>4000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/>
      <x:c r="I74" s="127"/>
      <x:c r="J74" s="324">
        <x:v>1</x:v>
      </x:c>
      <x:c r="K74" s="288"/>
      <x:c r="L74" s="459"/>
      <x:c r="M74" s="39"/>
      <x:c r="N74" s="81">
        <x:f t="shared" si="0"/>
        <x:v>1</x:v>
      </x:c>
      <x:c r="O74" s="40">
        <x:f t="shared" si="1"/>
        <x:v>4000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>
        <x:v>2</x:v>
      </x:c>
      <x:c r="I75" s="68"/>
      <x:c r="J75" s="328"/>
      <x:c r="K75" s="291"/>
      <x:c r="L75" s="463"/>
      <x:c r="M75" s="53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 t="shared" ref="E76:N76" si="5">SUM(E5:E75)</x:f>
        <x:v>348992.21499999997</x:v>
      </x:c>
      <x:c r="F76" s="54">
        <x:f t="shared" si="5"/>
        <x:v>76689</x:v>
      </x:c>
      <x:c r="G76" s="54">
        <x:f t="shared" si="5"/>
        <x:v>3692570</x:v>
      </x:c>
      <x:c r="H76" s="54">
        <x:f t="shared" si="5"/>
        <x:v>11125.5</x:v>
      </x:c>
      <x:c r="I76" s="54">
        <x:f t="shared" si="5"/>
        <x:v>0</x:v>
      </x:c>
      <x:c r="J76" s="54">
        <x:f t="shared" si="5"/>
        <x:v>20</x:v>
      </x:c>
      <x:c r="K76" s="54">
        <x:f t="shared" si="5"/>
        <x:v>0</x:v>
      </x:c>
      <x:c r="L76" s="54">
        <x:f t="shared" si="5"/>
        <x:v>1014</x:v>
      </x:c>
      <x:c r="M76" s="54">
        <x:f t="shared" si="5"/>
        <x:v>0</x:v>
      </x:c>
      <x:c r="N76" s="109">
        <x:f t="shared" si="5"/>
        <x:v>1034</x:v>
      </x:c>
      <x:c r="O76" s="108">
        <x:f>SUM(O5:O75)</x:f>
        <x:v>321460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76"/>
  <x:sheetViews>
    <x:sheetView topLeftCell="A1" zoomScale="40" zoomScaleNormal="40" zoomScaleSheetLayoutView="75" workbookViewId="0">
      <x:selection activeCell="L5" activeCellId="0" sqref="L5:L75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15" width="11.625" style="2" customWidth="1"/>
  </x:cols>
  <x:sheetData>
    <x:row r="1" spans="1:15">
      <x:c r="A1" s="485" t="s">
        <x:v>157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19"/>
      <x:c r="J5" s="323"/>
      <x:c r="K5" s="292"/>
      <x:c r="L5" s="452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500</x:v>
      </x:c>
      <x:c r="I6" s="127"/>
      <x:c r="J6" s="324">
        <x:v>1000</x:v>
      </x:c>
      <x:c r="K6" s="293"/>
      <x:c r="L6" s="453"/>
      <x:c r="M6" s="39"/>
      <x:c r="N6" s="81">
        <x:f t="shared" ref="N6:N75" si="0">I6+J6+K6+L6+M6</x:f>
        <x:v>1000</x:v>
      </x:c>
      <x:c r="O6" s="40">
        <x:f t="shared" ref="O6:O75" si="1">E6*N6</x:f>
        <x:v>43000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>
        <x:v>450</x:v>
      </x:c>
      <x:c r="I7" s="127"/>
      <x:c r="J7" s="324">
        <x:v>1000</x:v>
      </x:c>
      <x:c r="K7" s="293"/>
      <x:c r="L7" s="453"/>
      <x:c r="M7" s="39"/>
      <x:c r="N7" s="81">
        <x:f t="shared" si="0"/>
        <x:v>1000</x:v>
      </x:c>
      <x:c r="O7" s="40">
        <x:f t="shared" si="1"/>
        <x:v>20000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129"/>
      <x:c r="J8" s="325"/>
      <x:c r="K8" s="294"/>
      <x:c r="L8" s="454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1600</x:v>
      </x:c>
      <x:c r="I9" s="127"/>
      <x:c r="J9" s="324"/>
      <x:c r="K9" s="293"/>
      <x:c r="L9" s="453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500</x:v>
      </x:c>
      <x:c r="I10" s="127"/>
      <x:c r="J10" s="324"/>
      <x:c r="K10" s="293"/>
      <x:c r="L10" s="453"/>
      <x:c r="M10" s="39"/>
      <x:c r="N10" s="81">
        <x:f t="shared" si="0"/>
        <x:v>0</x:v>
      </x:c>
      <x:c r="O10" s="40">
        <x:f t="shared" si="1"/>
        <x:v>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>
        <x:v>1050</x:v>
      </x:c>
      <x:c r="I11" s="129"/>
      <x:c r="J11" s="325"/>
      <x:c r="K11" s="294"/>
      <x:c r="L11" s="454">
        <x:v>1000</x:v>
      </x:c>
      <x:c r="M11" s="66"/>
      <x:c r="N11" s="81">
        <x:f t="shared" si="0"/>
        <x:v>1000</x:v>
      </x:c>
      <x:c r="O11" s="40">
        <x:f t="shared" si="1"/>
        <x:v>18500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>
        <x:v>1850</x:v>
      </x:c>
      <x:c r="I12" s="127"/>
      <x:c r="J12" s="324"/>
      <x:c r="K12" s="293"/>
      <x:c r="L12" s="453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127"/>
      <x:c r="J13" s="324"/>
      <x:c r="K13" s="293"/>
      <x:c r="L13" s="453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127"/>
      <x:c r="J14" s="324"/>
      <x:c r="K14" s="293"/>
      <x:c r="L14" s="453"/>
      <x:c r="M14" s="39"/>
      <x:c r="N14" s="81">
        <x:f t="shared" si="0"/>
        <x:v>0</x:v>
      </x:c>
      <x:c r="O14" s="40">
        <x:f t="shared" si="1"/>
        <x:v>0</x:v>
      </x:c>
    </x:row>
    <x:row r="15" spans="1:15" ht="17.2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>
        <x:v>2000</x:v>
      </x:c>
      <x:c r="I15" s="127"/>
      <x:c r="J15" s="324"/>
      <x:c r="K15" s="293"/>
      <x:c r="L15" s="453">
        <x:v>1000</x:v>
      </x:c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>
        <x:v>1000</x:v>
      </x:c>
      <x:c r="I16" s="127"/>
      <x:c r="J16" s="324"/>
      <x:c r="K16" s="293"/>
      <x:c r="L16" s="453">
        <x:v>500</x:v>
      </x:c>
      <x:c r="M16" s="39"/>
      <x:c r="N16" s="81">
        <x:f t="shared" si="0"/>
        <x:v>500</x:v>
      </x:c>
      <x:c r="O16" s="40">
        <x:f t="shared" si="1"/>
        <x:v>3450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>
        <x:v>200</x:v>
      </x:c>
      <x:c r="I17" s="129"/>
      <x:c r="J17" s="325"/>
      <x:c r="K17" s="294"/>
      <x:c r="L17" s="454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/>
      <x:c r="I18" s="127"/>
      <x:c r="J18" s="324">
        <x:v>500</x:v>
      </x:c>
      <x:c r="K18" s="293"/>
      <x:c r="L18" s="453"/>
      <x:c r="M18" s="39"/>
      <x:c r="N18" s="81">
        <x:f t="shared" si="0"/>
        <x:v>500</x:v>
      </x:c>
      <x:c r="O18" s="40">
        <x:f t="shared" si="1"/>
        <x:v>3600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/>
      <x:c r="I19" s="127"/>
      <x:c r="J19" s="324"/>
      <x:c r="K19" s="293"/>
      <x:c r="L19" s="453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/>
      <x:c r="I20" s="129"/>
      <x:c r="J20" s="325"/>
      <x:c r="K20" s="294"/>
      <x:c r="L20" s="454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>
        <x:v>200</x:v>
      </x:c>
      <x:c r="I21" s="127"/>
      <x:c r="J21" s="324"/>
      <x:c r="K21" s="293"/>
      <x:c r="L21" s="453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200</x:v>
      </x:c>
      <x:c r="I22" s="127"/>
      <x:c r="J22" s="324"/>
      <x:c r="K22" s="293"/>
      <x:c r="L22" s="453">
        <x:v>200</x:v>
      </x:c>
      <x:c r="M22" s="39"/>
      <x:c r="N22" s="81">
        <x:f t="shared" si="0"/>
        <x:v>200</x:v>
      </x:c>
      <x:c r="O22" s="40">
        <x:f t="shared" si="1"/>
        <x:v>22500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3600</x:v>
      </x:c>
      <x:c r="I23" s="129"/>
      <x:c r="J23" s="325"/>
      <x:c r="K23" s="294"/>
      <x:c r="L23" s="454">
        <x:v>8000</x:v>
      </x:c>
      <x:c r="M23" s="66"/>
      <x:c r="N23" s="81">
        <x:f t="shared" si="0"/>
        <x:v>8000</x:v>
      </x:c>
      <x:c r="O23" s="40">
        <x:f t="shared" si="1"/>
        <x:v>29000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127"/>
      <x:c r="J24" s="324"/>
      <x:c r="K24" s="293"/>
      <x:c r="L24" s="453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/>
      <x:c r="I25" s="127"/>
      <x:c r="J25" s="324"/>
      <x:c r="K25" s="293"/>
      <x:c r="L25" s="453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127"/>
      <x:c r="J26" s="324"/>
      <x:c r="K26" s="293"/>
      <x:c r="L26" s="453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127"/>
      <x:c r="J27" s="324"/>
      <x:c r="K27" s="293"/>
      <x:c r="L27" s="453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>
        <x:v>12</x:v>
      </x:c>
      <x:c r="I28" s="129"/>
      <x:c r="J28" s="325"/>
      <x:c r="K28" s="294"/>
      <x:c r="L28" s="454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>
        <x:v>9</x:v>
      </x:c>
      <x:c r="I29" s="127"/>
      <x:c r="J29" s="324"/>
      <x:c r="K29" s="293"/>
      <x:c r="L29" s="453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>
        <x:v>10</x:v>
      </x:c>
      <x:c r="I30" s="127"/>
      <x:c r="J30" s="324"/>
      <x:c r="K30" s="293"/>
      <x:c r="L30" s="453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127"/>
      <x:c r="J31" s="324"/>
      <x:c r="K31" s="293"/>
      <x:c r="L31" s="453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>
        <x:v>2</x:v>
      </x:c>
      <x:c r="I32" s="127"/>
      <x:c r="J32" s="324"/>
      <x:c r="K32" s="293"/>
      <x:c r="L32" s="453">
        <x:v>1</x:v>
      </x:c>
      <x:c r="M32" s="39"/>
      <x:c r="N32" s="81">
        <x:f t="shared" si="0"/>
        <x:v>1</x:v>
      </x:c>
      <x:c r="O32" s="40">
        <x:f t="shared" si="1"/>
        <x:v>3200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>
        <x:v>18</x:v>
      </x:c>
      <x:c r="I33" s="129"/>
      <x:c r="J33" s="325"/>
      <x:c r="K33" s="294"/>
      <x:c r="L33" s="454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129"/>
      <x:c r="J34" s="325"/>
      <x:c r="K34" s="294"/>
      <x:c r="L34" s="454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12</x:v>
      </x:c>
      <x:c r="I35" s="129"/>
      <x:c r="J35" s="325"/>
      <x:c r="K35" s="294"/>
      <x:c r="L35" s="454"/>
      <x:c r="M35" s="66"/>
      <x:c r="N35" s="81">
        <x:f t="shared" si="0"/>
        <x:v>0</x:v>
      </x:c>
      <x:c r="O35" s="40">
        <x:f t="shared" si="1"/>
        <x:v>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>
        <x:v>9</x:v>
      </x:c>
      <x:c r="I36" s="129"/>
      <x:c r="J36" s="325"/>
      <x:c r="K36" s="294"/>
      <x:c r="L36" s="454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127"/>
      <x:c r="J37" s="324"/>
      <x:c r="K37" s="293"/>
      <x:c r="L37" s="453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127"/>
      <x:c r="J38" s="324"/>
      <x:c r="K38" s="293"/>
      <x:c r="L38" s="453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>
        <x:v>3</x:v>
      </x:c>
      <x:c r="I39" s="127"/>
      <x:c r="J39" s="324">
        <x:v>1</x:v>
      </x:c>
      <x:c r="K39" s="293"/>
      <x:c r="L39" s="453">
        <x:v>2</x:v>
      </x:c>
      <x:c r="M39" s="39"/>
      <x:c r="N39" s="81">
        <x:f t="shared" si="0"/>
        <x:v>3</x:v>
      </x:c>
      <x:c r="O39" s="40">
        <x:f t="shared" si="1"/>
        <x:v>22080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>
        <x:v>1</x:v>
      </x:c>
      <x:c r="I40" s="127"/>
      <x:c r="J40" s="324">
        <x:v>1</x:v>
      </x:c>
      <x:c r="K40" s="293"/>
      <x:c r="L40" s="453">
        <x:v>1</x:v>
      </x:c>
      <x:c r="M40" s="29"/>
      <x:c r="N40" s="81">
        <x:f t="shared" si="0"/>
        <x:v>2</x:v>
      </x:c>
      <x:c r="O40" s="30">
        <x:f t="shared" si="1"/>
        <x:v>14720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44"/>
      <x:c r="J41" s="323"/>
      <x:c r="K41" s="292"/>
      <x:c r="L41" s="452"/>
      <x:c r="M41" s="21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128"/>
      <x:c r="J42" s="326"/>
      <x:c r="K42" s="295"/>
      <x:c r="L42" s="455"/>
      <x:c r="M42" s="29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/>
      <x:c r="I43" s="44"/>
      <x:c r="J43" s="323">
        <x:v>1</x:v>
      </x:c>
      <x:c r="K43" s="292"/>
      <x:c r="L43" s="452"/>
      <x:c r="M43" s="21"/>
      <x:c r="N43" s="84">
        <x:f t="shared" si="0"/>
        <x:v>1</x:v>
      </x:c>
      <x:c r="O43" s="22">
        <x:f t="shared" si="1"/>
        <x:v>7700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>
        <x:v>4</x:v>
      </x:c>
      <x:c r="I44" s="127"/>
      <x:c r="J44" s="324"/>
      <x:c r="K44" s="293"/>
      <x:c r="L44" s="453">
        <x:v>1</x:v>
      </x:c>
      <x:c r="M44" s="39"/>
      <x:c r="N44" s="81">
        <x:f t="shared" si="0"/>
        <x:v>1</x:v>
      </x:c>
      <x:c r="O44" s="40">
        <x:f t="shared" si="1"/>
        <x:v>6200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>
        <x:v>2</x:v>
      </x:c>
      <x:c r="I45" s="127"/>
      <x:c r="J45" s="324"/>
      <x:c r="K45" s="293"/>
      <x:c r="L45" s="453">
        <x:v>2</x:v>
      </x:c>
      <x:c r="M45" s="39"/>
      <x:c r="N45" s="81">
        <x:f t="shared" si="0"/>
        <x:v>2</x:v>
      </x:c>
      <x:c r="O45" s="40">
        <x:f t="shared" si="1"/>
        <x:v>13400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>
        <x:v>2</x:v>
      </x:c>
      <x:c r="I46" s="127"/>
      <x:c r="J46" s="324"/>
      <x:c r="K46" s="293"/>
      <x:c r="L46" s="453"/>
      <x:c r="M46" s="39"/>
      <x:c r="N46" s="81">
        <x:f t="shared" si="0"/>
        <x:v>0</x:v>
      </x:c>
      <x:c r="O46" s="40">
        <x:f t="shared" si="1"/>
        <x:v>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1</x:v>
      </x:c>
      <x:c r="I47" s="127"/>
      <x:c r="J47" s="324"/>
      <x:c r="K47" s="293"/>
      <x:c r="L47" s="453"/>
      <x:c r="M47" s="39"/>
      <x:c r="N47" s="81">
        <x:f t="shared" si="0"/>
        <x:v>0</x:v>
      </x:c>
      <x:c r="O47" s="40">
        <x:f t="shared" si="1"/>
        <x:v>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>
        <x:v>1</x:v>
      </x:c>
      <x:c r="I48" s="127"/>
      <x:c r="J48" s="324">
        <x:v>1</x:v>
      </x:c>
      <x:c r="K48" s="293"/>
      <x:c r="L48" s="453">
        <x:v>1</x:v>
      </x:c>
      <x:c r="M48" s="39"/>
      <x:c r="N48" s="81">
        <x:f t="shared" si="0"/>
        <x:v>2</x:v>
      </x:c>
      <x:c r="O48" s="40">
        <x:f t="shared" si="1"/>
        <x:v>13200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>
        <x:v>2</x:v>
      </x:c>
      <x:c r="I49" s="127"/>
      <x:c r="J49" s="324"/>
      <x:c r="K49" s="293"/>
      <x:c r="L49" s="453">
        <x:v>1</x:v>
      </x:c>
      <x:c r="M49" s="39"/>
      <x:c r="N49" s="81">
        <x:f t="shared" si="0"/>
        <x:v>1</x:v>
      </x:c>
      <x:c r="O49" s="40">
        <x:f t="shared" si="1"/>
        <x:v>14500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>
        <x:v>0</x:v>
      </x:c>
      <x:c r="I50" s="127"/>
      <x:c r="J50" s="324"/>
      <x:c r="K50" s="293"/>
      <x:c r="L50" s="453"/>
      <x:c r="M50" s="39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>
        <x:v>1</x:v>
      </x:c>
      <x:c r="I51" s="127"/>
      <x:c r="J51" s="324"/>
      <x:c r="K51" s="293"/>
      <x:c r="L51" s="453"/>
      <x:c r="M51" s="39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v>54000</x:v>
      </x:c>
      <x:c r="H52" s="317">
        <x:v>0</x:v>
      </x:c>
      <x:c r="I52" s="127"/>
      <x:c r="J52" s="324">
        <x:v>1</x:v>
      </x:c>
      <x:c r="K52" s="293"/>
      <x:c r="L52" s="453"/>
      <x:c r="M52" s="39"/>
      <x:c r="N52" s="81">
        <x:f>I52+J52+K52+L52+M52</x:f>
        <x:v>1</x:v>
      </x:c>
      <x:c r="O52" s="40">
        <x:f>E52*N52</x:f>
        <x:v>9000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>
        <x:v>4</x:v>
      </x:c>
      <x:c r="I53" s="37"/>
      <x:c r="J53" s="324"/>
      <x:c r="K53" s="293"/>
      <x:c r="L53" s="453"/>
      <x:c r="M53" s="39"/>
      <x:c r="N53" s="81">
        <x:f>I53+J53+K53+L53+M53</x:f>
        <x:v>0</x:v>
      </x:c>
      <x:c r="O53" s="40">
        <x:f>E53*N53</x:f>
        <x:v>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>
        <x:v>2</x:v>
      </x:c>
      <x:c r="I54" s="37"/>
      <x:c r="J54" s="324"/>
      <x:c r="K54" s="293"/>
      <x:c r="L54" s="453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/>
      <x:c r="I55" s="37"/>
      <x:c r="J55" s="324">
        <x:v>1</x:v>
      </x:c>
      <x:c r="K55" s="293"/>
      <x:c r="L55" s="453"/>
      <x:c r="M55" s="39"/>
      <x:c r="N55" s="81">
        <x:f t="shared" si="3"/>
        <x:v>1</x:v>
      </x:c>
      <x:c r="O55" s="40">
        <x:f t="shared" si="4"/>
        <x:v>8400</x:v>
      </x:c>
    </x:row>
    <x:row r="56" spans="1:15">
      <x:c r="A56" s="488"/>
      <x:c r="B56" s="57" t="s">
        <x:v>114</x:v>
      </x:c>
      <x:c r="C56" s="57" t="s">
        <x:v>55</x:v>
      </x:c>
      <x:c r="D56" s="57" t="s">
        <x:v>140</x:v>
      </x:c>
      <x:c r="E56" s="74">
        <x:v>4500</x:v>
      </x:c>
      <x:c r="F56" s="34">
        <x:v>12</x:v>
      </x:c>
      <x:c r="G56" s="35">
        <x:v>54000</x:v>
      </x:c>
      <x:c r="H56" s="317">
        <x:v>1</x:v>
      </x:c>
      <x:c r="I56" s="127"/>
      <x:c r="J56" s="324">
        <x:v>1</x:v>
      </x:c>
      <x:c r="K56" s="293"/>
      <x:c r="L56" s="453">
        <x:v>1</x:v>
      </x:c>
      <x:c r="M56" s="39"/>
      <x:c r="N56" s="81">
        <x:f t="shared" si="0"/>
        <x:v>2</x:v>
      </x:c>
      <x:c r="O56" s="40">
        <x:f t="shared" si="1"/>
        <x:v>9000</x:v>
      </x:c>
    </x:row>
    <x:row r="57" spans="1:15" ht="17.25">
      <x:c r="A57" s="488"/>
      <x:c r="B57" s="23" t="s">
        <x:v>80</x:v>
      </x:c>
      <x:c r="C57" s="23" t="s">
        <x:v>45</x:v>
      </x:c>
      <x:c r="D57" s="23" t="s">
        <x:v>140</x:v>
      </x:c>
      <x:c r="E57" s="76">
        <x:v>6700</x:v>
      </x:c>
      <x:c r="F57" s="24">
        <x:v>12</x:v>
      </x:c>
      <x:c r="G57" s="25">
        <x:v>80400</x:v>
      </x:c>
      <x:c r="H57" s="319">
        <x:v>1</x:v>
      </x:c>
      <x:c r="I57" s="128"/>
      <x:c r="J57" s="326">
        <x:v>1</x:v>
      </x:c>
      <x:c r="K57" s="295"/>
      <x:c r="L57" s="455"/>
      <x:c r="M57" s="29"/>
      <x:c r="N57" s="82">
        <x:f t="shared" si="0"/>
        <x:v>1</x:v>
      </x:c>
      <x:c r="O57" s="42">
        <x:f t="shared" si="1"/>
        <x:v>6700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>
        <x:v>1</x:v>
      </x:c>
      <x:c r="I58" s="44"/>
      <x:c r="J58" s="323"/>
      <x:c r="K58" s="292"/>
      <x:c r="L58" s="452"/>
      <x:c r="M58" s="21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>
        <x:v>0</x:v>
      </x:c>
      <x:c r="I59" s="127"/>
      <x:c r="J59" s="324">
        <x:v>1</x:v>
      </x:c>
      <x:c r="K59" s="293"/>
      <x:c r="L59" s="453"/>
      <x:c r="M59" s="39"/>
      <x:c r="N59" s="81">
        <x:f t="shared" si="0"/>
        <x:v>1</x:v>
      </x:c>
      <x:c r="O59" s="40">
        <x:f t="shared" si="1"/>
        <x:v>6900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>
        <x:v>1</x:v>
      </x:c>
      <x:c r="I60" s="127"/>
      <x:c r="J60" s="324"/>
      <x:c r="K60" s="293"/>
      <x:c r="L60" s="453"/>
      <x:c r="M60" s="39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>
        <x:v>2</x:v>
      </x:c>
      <x:c r="I61" s="127"/>
      <x:c r="J61" s="324"/>
      <x:c r="K61" s="293"/>
      <x:c r="L61" s="453">
        <x:v>2</x:v>
      </x:c>
      <x:c r="M61" s="39"/>
      <x:c r="N61" s="81">
        <x:f t="shared" si="0"/>
        <x:v>2</x:v>
      </x:c>
      <x:c r="O61" s="40">
        <x:f t="shared" si="1"/>
        <x:v>30000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127"/>
      <x:c r="J62" s="324"/>
      <x:c r="K62" s="293"/>
      <x:c r="L62" s="453"/>
      <x:c r="M62" s="39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5</x:v>
      </x:c>
      <x:c r="I63" s="127"/>
      <x:c r="J63" s="324"/>
      <x:c r="K63" s="293"/>
      <x:c r="L63" s="453"/>
      <x:c r="M63" s="39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127"/>
      <x:c r="J64" s="324"/>
      <x:c r="K64" s="293"/>
      <x:c r="L64" s="453"/>
      <x:c r="M64" s="39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/>
      <x:c r="I65" s="37"/>
      <x:c r="J65" s="324">
        <x:v>2</x:v>
      </x:c>
      <x:c r="K65" s="293"/>
      <x:c r="L65" s="453">
        <x:v>2</x:v>
      </x:c>
      <x:c r="M65" s="39"/>
      <x:c r="N65" s="81">
        <x:f t="shared" si="0"/>
        <x:v>4</x:v>
      </x:c>
      <x:c r="O65" s="40">
        <x:f t="shared" si="1"/>
        <x:v>28000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/>
      <x:c r="I66" s="127"/>
      <x:c r="J66" s="324">
        <x:v>1</x:v>
      </x:c>
      <x:c r="K66" s="293"/>
      <x:c r="L66" s="453">
        <x:v>1</x:v>
      </x:c>
      <x:c r="M66" s="39"/>
      <x:c r="N66" s="81">
        <x:f t="shared" si="0"/>
        <x:v>2</x:v>
      </x:c>
      <x:c r="O66" s="40">
        <x:f t="shared" si="1"/>
        <x:v>28200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/>
      <x:c r="I67" s="127"/>
      <x:c r="J67" s="324"/>
      <x:c r="K67" s="293"/>
      <x:c r="L67" s="453">
        <x:v>1</x:v>
      </x:c>
      <x:c r="M67" s="39"/>
      <x:c r="N67" s="81">
        <x:f t="shared" si="0"/>
        <x:v>1</x:v>
      </x:c>
      <x:c r="O67" s="40">
        <x:f t="shared" si="1"/>
        <x:v>15100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>
        <x:v>1</x:v>
      </x:c>
      <x:c r="I68" s="128"/>
      <x:c r="J68" s="326">
        <x:v>1</x:v>
      </x:c>
      <x:c r="K68" s="295"/>
      <x:c r="L68" s="455"/>
      <x:c r="M68" s="29"/>
      <x:c r="N68" s="83">
        <x:f t="shared" si="0"/>
        <x:v>1</x:v>
      </x:c>
      <x:c r="O68" s="30">
        <x:f t="shared" si="1"/>
        <x:v>15300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18</x:v>
      </x:c>
      <x:c r="I69" s="44"/>
      <x:c r="J69" s="323"/>
      <x:c r="K69" s="292"/>
      <x:c r="L69" s="452">
        <x:v>16</x:v>
      </x:c>
      <x:c r="M69" s="21"/>
      <x:c r="N69" s="80">
        <x:f t="shared" si="0"/>
        <x:v>16</x:v>
      </x:c>
      <x:c r="O69" s="22">
        <x:f t="shared" si="1"/>
        <x:v>176000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00"/>
      <x:c r="J70" s="424"/>
      <x:c r="K70" s="427"/>
      <x:c r="L70" s="456"/>
      <x:c r="M70" s="402"/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>
        <x:v>1</x:v>
      </x:c>
      <x:c r="I71" s="68"/>
      <x:c r="J71" s="327">
        <x:v>0</x:v>
      </x:c>
      <x:c r="K71" s="296"/>
      <x:c r="L71" s="457"/>
      <x:c r="M71" s="53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>
        <x:v>2</x:v>
      </x:c>
      <x:c r="I72" s="44"/>
      <x:c r="J72" s="323"/>
      <x:c r="K72" s="292"/>
      <x:c r="L72" s="452">
        <x:v>1</x:v>
      </x:c>
      <x:c r="M72" s="21"/>
      <x:c r="N72" s="84">
        <x:f t="shared" si="0"/>
        <x:v>1</x:v>
      </x:c>
      <x:c r="O72" s="86">
        <x:f t="shared" si="1"/>
        <x:v>4000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>
        <x:v>1</x:v>
      </x:c>
      <x:c r="I73" s="127"/>
      <x:c r="J73" s="324"/>
      <x:c r="K73" s="293"/>
      <x:c r="L73" s="453"/>
      <x:c r="M73" s="39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>
        <x:v>2</x:v>
      </x:c>
      <x:c r="I74" s="127"/>
      <x:c r="J74" s="324"/>
      <x:c r="K74" s="293"/>
      <x:c r="L74" s="453"/>
      <x:c r="M74" s="39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/>
      <x:c r="I75" s="68"/>
      <x:c r="J75" s="328">
        <x:v>1</x:v>
      </x:c>
      <x:c r="K75" s="296"/>
      <x:c r="L75" s="457"/>
      <x:c r="M75" s="53"/>
      <x:c r="N75" s="83">
        <x:f t="shared" si="0"/>
        <x:v>1</x:v>
      </x:c>
      <x:c r="O75" s="42">
        <x:f t="shared" si="1"/>
        <x:v>4300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N76" si="5">SUM(F5:F75)</x:f>
        <x:v>76689</x:v>
      </x:c>
      <x:c r="G76" s="54">
        <x:f t="shared" si="5"/>
        <x:v>3692570</x:v>
      </x:c>
      <x:c r="H76" s="54">
        <x:f t="shared" si="5"/>
        <x:v>13281</x:v>
      </x:c>
      <x:c r="I76" s="54">
        <x:f t="shared" si="5"/>
        <x:v>0</x:v>
      </x:c>
      <x:c r="J76" s="54">
        <x:f t="shared" si="5"/>
        <x:v>2514</x:v>
      </x:c>
      <x:c r="K76" s="54">
        <x:f t="shared" si="5"/>
        <x:v>0</x:v>
      </x:c>
      <x:c r="L76" s="54">
        <x:f t="shared" si="5"/>
        <x:v>10733</x:v>
      </x:c>
      <x:c r="M76" s="54">
        <x:f t="shared" si="5"/>
        <x:v>0</x:v>
      </x:c>
      <x:c r="N76" s="108">
        <x:f t="shared" si="5"/>
        <x:v>13247</x:v>
      </x:c>
      <x:c r="O76" s="108">
        <x:f>SUM(O5:O75)</x:f>
        <x:v>593950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tabColor rgb="ffffe699"/>
  </x:sheetPr>
  <x:dimension ref="A1:O76"/>
  <x:sheetViews>
    <x:sheetView topLeftCell="F31" zoomScale="70" zoomScaleNormal="70" zoomScaleSheetLayoutView="75" workbookViewId="0">
      <x:selection activeCell="L36" activeCellId="0" sqref="L36:L36"/>
    </x:sheetView>
  </x:sheetViews>
  <x:sheetFormatPr defaultColWidth="9.140625" defaultRowHeight="16.5"/>
  <x:cols>
    <x:col min="1" max="1" width="20.5" style="2" bestFit="1" customWidth="1"/>
    <x:col min="2" max="2" width="30.125" style="2" bestFit="1" customWidth="1"/>
    <x:col min="3" max="3" width="14.875" style="2" customWidth="1"/>
    <x:col min="4" max="4" width="6" style="2" customWidth="1"/>
    <x:col min="5" max="6" width="11.625" style="2" customWidth="1"/>
    <x:col min="7" max="7" width="13.25" style="2" customWidth="1"/>
    <x:col min="8" max="8" width="11.625" style="90" customWidth="1"/>
    <x:col min="9" max="15" width="11.625" style="2" customWidth="1"/>
  </x:cols>
  <x:sheetData>
    <x:row r="1" spans="1:15">
      <x:c r="A1" s="485" t="s">
        <x:v>164</x:v>
      </x:c>
      <x:c r="B1" s="485"/>
      <x:c r="C1" s="485"/>
      <x:c r="D1" s="485"/>
      <x:c r="E1" s="485"/>
      <x:c r="F1" s="485"/>
      <x:c r="G1" s="485"/>
      <x:c r="H1" s="485"/>
      <x:c r="I1" s="485"/>
      <x:c r="J1" s="485"/>
      <x:c r="K1" s="485"/>
      <x:c r="L1" s="485"/>
      <x:c r="M1" s="485"/>
      <x:c r="N1" s="485"/>
      <x:c r="O1" s="485"/>
    </x:row>
    <x:row r="2" spans="1:15">
      <x:c r="A2" s="485"/>
      <x:c r="B2" s="485"/>
      <x:c r="C2" s="485"/>
      <x:c r="D2" s="485"/>
      <x:c r="E2" s="485"/>
      <x:c r="F2" s="485"/>
      <x:c r="G2" s="485"/>
      <x:c r="H2" s="485"/>
      <x:c r="I2" s="485"/>
      <x:c r="J2" s="485"/>
      <x:c r="K2" s="485"/>
      <x:c r="L2" s="485"/>
      <x:c r="M2" s="485"/>
      <x:c r="N2" s="485"/>
      <x:c r="O2" s="485"/>
    </x:row>
    <x:row r="3" spans="1:15" ht="17.25">
      <x:c r="A3" s="3"/>
      <x:c r="B3" s="3"/>
      <x:c r="C3" s="3"/>
      <x:c r="D3" s="3"/>
      <x:c r="E3" s="3"/>
      <x:c r="F3" s="3"/>
      <x:c r="G3" s="3"/>
      <x:c r="H3" s="88"/>
      <x:c r="I3" s="3"/>
      <x:c r="J3" s="3"/>
      <x:c r="K3" s="3"/>
      <x:c r="L3" s="3"/>
      <x:c r="M3" s="3"/>
      <x:c r="N3" s="3"/>
      <x:c r="O3" s="3"/>
    </x:row>
    <x:row r="4" spans="1:15" ht="17.25">
      <x:c r="A4" s="4" t="s">
        <x:v>135</x:v>
      </x:c>
      <x:c r="B4" s="5" t="s">
        <x:v>139</x:v>
      </x:c>
      <x:c r="C4" s="5" t="s">
        <x:v>143</x:v>
      </x:c>
      <x:c r="D4" s="5" t="s">
        <x:v>132</x:v>
      </x:c>
      <x:c r="E4" s="6" t="s">
        <x:v>97</x:v>
      </x:c>
      <x:c r="F4" s="7" t="s">
        <x:v>83</x:v>
      </x:c>
      <x:c r="G4" s="7" t="s">
        <x:v>111</x:v>
      </x:c>
      <x:c r="H4" s="89" t="s">
        <x:v>82</x:v>
      </x:c>
      <x:c r="I4" s="9" t="s">
        <x:v>72</x:v>
      </x:c>
      <x:c r="J4" s="10" t="s">
        <x:v>95</x:v>
      </x:c>
      <x:c r="K4" s="10" t="s">
        <x:v>70</x:v>
      </x:c>
      <x:c r="L4" s="11" t="s">
        <x:v>96</x:v>
      </x:c>
      <x:c r="M4" s="10" t="s">
        <x:v>87</x:v>
      </x:c>
      <x:c r="N4" s="12" t="s">
        <x:v>79</x:v>
      </x:c>
      <x:c r="O4" s="13" t="s">
        <x:v>91</x:v>
      </x:c>
    </x:row>
    <x:row r="5" spans="1:15" customHeight="1">
      <x:c r="A5" s="487" t="s">
        <x:v>65</x:v>
      </x:c>
      <x:c r="B5" s="58" t="s">
        <x:v>51</x:v>
      </x:c>
      <x:c r="C5" s="14" t="s">
        <x:v>49</x:v>
      </x:c>
      <x:c r="D5" s="14" t="s">
        <x:v>140</x:v>
      </x:c>
      <x:c r="E5" s="15">
        <x:v>37</x:v>
      </x:c>
      <x:c r="F5" s="16">
        <x:v>1000</x:v>
      </x:c>
      <x:c r="G5" s="17">
        <x:v>37000</x:v>
      </x:c>
      <x:c r="H5" s="316"/>
      <x:c r="I5" s="131"/>
      <x:c r="J5" s="323"/>
      <x:c r="K5" s="297"/>
      <x:c r="L5" s="446"/>
      <x:c r="M5" s="21"/>
      <x:c r="N5" s="80">
        <x:f>I5+J5+K5+L5+M5</x:f>
        <x:v>0</x:v>
      </x:c>
      <x:c r="O5" s="22">
        <x:f>E5*N5</x:f>
        <x:v>0</x:v>
      </x:c>
    </x:row>
    <x:row r="6" spans="1:15" customHeight="1">
      <x:c r="A6" s="488"/>
      <x:c r="B6" s="32" t="s">
        <x:v>50</x:v>
      </x:c>
      <x:c r="C6" s="32" t="s">
        <x:v>49</x:v>
      </x:c>
      <x:c r="D6" s="32" t="s">
        <x:v>140</x:v>
      </x:c>
      <x:c r="E6" s="33">
        <x:v>43</x:v>
      </x:c>
      <x:c r="F6" s="34">
        <x:v>1000</x:v>
      </x:c>
      <x:c r="G6" s="35">
        <x:v>43000</x:v>
      </x:c>
      <x:c r="H6" s="317">
        <x:v>1150</x:v>
      </x:c>
      <x:c r="I6" s="132"/>
      <x:c r="J6" s="324"/>
      <x:c r="K6" s="298"/>
      <x:c r="L6" s="447"/>
      <x:c r="M6" s="39"/>
      <x:c r="N6" s="81">
        <x:f t="shared" ref="N6:N75" si="0">I6+J6+K6+L6+M6</x:f>
        <x:v>0</x:v>
      </x:c>
      <x:c r="O6" s="40">
        <x:f t="shared" ref="O6:O75" si="1">E6*N6</x:f>
        <x:v>0</x:v>
      </x:c>
    </x:row>
    <x:row r="7" spans="1:15" customHeight="1">
      <x:c r="A7" s="488"/>
      <x:c r="B7" s="57" t="s">
        <x:v>9</x:v>
      </x:c>
      <x:c r="C7" s="57" t="s">
        <x:v>49</x:v>
      </x:c>
      <x:c r="D7" s="57" t="s">
        <x:v>140</x:v>
      </x:c>
      <x:c r="E7" s="34">
        <x:v>20</x:v>
      </x:c>
      <x:c r="F7" s="34">
        <x:v>1000</x:v>
      </x:c>
      <x:c r="G7" s="35">
        <x:v>20000</x:v>
      </x:c>
      <x:c r="H7" s="317">
        <x:v>800</x:v>
      </x:c>
      <x:c r="I7" s="132"/>
      <x:c r="J7" s="324"/>
      <x:c r="K7" s="298"/>
      <x:c r="L7" s="447">
        <x:v>1000</x:v>
      </x:c>
      <x:c r="M7" s="39"/>
      <x:c r="N7" s="81">
        <x:f t="shared" si="0"/>
        <x:v>1000</x:v>
      </x:c>
      <x:c r="O7" s="40">
        <x:f t="shared" si="1"/>
        <x:v>20000</x:v>
      </x:c>
    </x:row>
    <x:row r="8" spans="1:15" customHeight="1">
      <x:c r="A8" s="488"/>
      <x:c r="B8" s="59" t="s">
        <x:v>13</x:v>
      </x:c>
      <x:c r="C8" s="60" t="s">
        <x:v>49</x:v>
      </x:c>
      <x:c r="D8" s="60" t="s">
        <x:v>140</x:v>
      </x:c>
      <x:c r="E8" s="61">
        <x:v>42</x:v>
      </x:c>
      <x:c r="F8" s="62">
        <x:v>1000</x:v>
      </x:c>
      <x:c r="G8" s="63">
        <x:v>42000</x:v>
      </x:c>
      <x:c r="H8" s="318"/>
      <x:c r="I8" s="132"/>
      <x:c r="J8" s="325"/>
      <x:c r="K8" s="299"/>
      <x:c r="L8" s="448"/>
      <x:c r="M8" s="66"/>
      <x:c r="N8" s="81">
        <x:f t="shared" si="0"/>
        <x:v>0</x:v>
      </x:c>
      <x:c r="O8" s="40">
        <x:f t="shared" si="1"/>
        <x:v>0</x:v>
      </x:c>
    </x:row>
    <x:row r="9" spans="1:15" customHeight="1">
      <x:c r="A9" s="488"/>
      <x:c r="B9" s="57" t="s">
        <x:v>46</x:v>
      </x:c>
      <x:c r="C9" s="32" t="s">
        <x:v>49</x:v>
      </x:c>
      <x:c r="D9" s="32" t="s">
        <x:v>140</x:v>
      </x:c>
      <x:c r="E9" s="55">
        <x:v>53</x:v>
      </x:c>
      <x:c r="F9" s="34">
        <x:v>1000</x:v>
      </x:c>
      <x:c r="G9" s="35">
        <x:v>53000</x:v>
      </x:c>
      <x:c r="H9" s="318">
        <x:v>1250</x:v>
      </x:c>
      <x:c r="I9" s="132"/>
      <x:c r="J9" s="324"/>
      <x:c r="K9" s="298"/>
      <x:c r="L9" s="447"/>
      <x:c r="M9" s="39"/>
      <x:c r="N9" s="81">
        <x:f t="shared" si="0"/>
        <x:v>0</x:v>
      </x:c>
      <x:c r="O9" s="40">
        <x:f t="shared" si="1"/>
        <x:v>0</x:v>
      </x:c>
    </x:row>
    <x:row r="10" spans="1:15" customHeight="1">
      <x:c r="A10" s="488"/>
      <x:c r="B10" s="57" t="s">
        <x:v>47</x:v>
      </x:c>
      <x:c r="C10" s="57" t="s">
        <x:v>49</x:v>
      </x:c>
      <x:c r="D10" s="57" t="s">
        <x:v>140</x:v>
      </x:c>
      <x:c r="E10" s="74">
        <x:v>65</x:v>
      </x:c>
      <x:c r="F10" s="34">
        <x:v>1000</x:v>
      </x:c>
      <x:c r="G10" s="35">
        <x:v>65000</x:v>
      </x:c>
      <x:c r="H10" s="317">
        <x:v>150</x:v>
      </x:c>
      <x:c r="I10" s="132"/>
      <x:c r="J10" s="324"/>
      <x:c r="K10" s="298"/>
      <x:c r="L10" s="447">
        <x:v>1000</x:v>
      </x:c>
      <x:c r="M10" s="39"/>
      <x:c r="N10" s="81">
        <x:f t="shared" si="0"/>
        <x:v>1000</x:v>
      </x:c>
      <x:c r="O10" s="40">
        <x:f t="shared" si="1"/>
        <x:v>65000</x:v>
      </x:c>
    </x:row>
    <x:row r="11" spans="1:15" customHeight="1">
      <x:c r="A11" s="488"/>
      <x:c r="B11" s="59" t="s">
        <x:v>15</x:v>
      </x:c>
      <x:c r="C11" s="60" t="s">
        <x:v>49</x:v>
      </x:c>
      <x:c r="D11" s="60" t="s">
        <x:v>140</x:v>
      </x:c>
      <x:c r="E11" s="73">
        <x:v>18.5</x:v>
      </x:c>
      <x:c r="F11" s="62">
        <x:v>1000</x:v>
      </x:c>
      <x:c r="G11" s="63">
        <x:v>18500</x:v>
      </x:c>
      <x:c r="H11" s="318">
        <x:v>1150</x:v>
      </x:c>
      <x:c r="I11" s="132"/>
      <x:c r="J11" s="325"/>
      <x:c r="K11" s="299"/>
      <x:c r="L11" s="448"/>
      <x:c r="M11" s="66"/>
      <x:c r="N11" s="81">
        <x:f t="shared" si="0"/>
        <x:v>0</x:v>
      </x:c>
      <x:c r="O11" s="40">
        <x:f t="shared" si="1"/>
        <x:v>0</x:v>
      </x:c>
    </x:row>
    <x:row r="12" spans="1:15" customHeight="1">
      <x:c r="A12" s="488"/>
      <x:c r="B12" s="57" t="s">
        <x:v>11</x:v>
      </x:c>
      <x:c r="C12" s="32" t="s">
        <x:v>49</x:v>
      </x:c>
      <x:c r="D12" s="32" t="s">
        <x:v>140</x:v>
      </x:c>
      <x:c r="E12" s="55">
        <x:v>20</x:v>
      </x:c>
      <x:c r="F12" s="34">
        <x:v>1000</x:v>
      </x:c>
      <x:c r="G12" s="35">
        <x:v>20000</x:v>
      </x:c>
      <x:c r="H12" s="317">
        <x:v>750</x:v>
      </x:c>
      <x:c r="I12" s="132"/>
      <x:c r="J12" s="324"/>
      <x:c r="K12" s="298"/>
      <x:c r="L12" s="447"/>
      <x:c r="M12" s="39"/>
      <x:c r="N12" s="81">
        <x:f t="shared" si="0"/>
        <x:v>0</x:v>
      </x:c>
      <x:c r="O12" s="40">
        <x:f t="shared" si="1"/>
        <x:v>0</x:v>
      </x:c>
    </x:row>
    <x:row r="13" spans="1:15" customHeight="1">
      <x:c r="A13" s="488"/>
      <x:c r="B13" s="57" t="s">
        <x:v>8</x:v>
      </x:c>
      <x:c r="C13" s="32" t="s">
        <x:v>49</x:v>
      </x:c>
      <x:c r="D13" s="32" t="s">
        <x:v>140</x:v>
      </x:c>
      <x:c r="E13" s="55">
        <x:v>19</x:v>
      </x:c>
      <x:c r="F13" s="34">
        <x:v>1000</x:v>
      </x:c>
      <x:c r="G13" s="35">
        <x:v>19000</x:v>
      </x:c>
      <x:c r="H13" s="317"/>
      <x:c r="I13" s="132"/>
      <x:c r="J13" s="324"/>
      <x:c r="K13" s="298"/>
      <x:c r="L13" s="447"/>
      <x:c r="M13" s="39"/>
      <x:c r="N13" s="81">
        <x:f t="shared" si="0"/>
        <x:v>0</x:v>
      </x:c>
      <x:c r="O13" s="40">
        <x:f t="shared" si="1"/>
        <x:v>0</x:v>
      </x:c>
    </x:row>
    <x:row r="14" spans="1:15" customHeight="1">
      <x:c r="A14" s="488"/>
      <x:c r="B14" s="57" t="s">
        <x:v>18</x:v>
      </x:c>
      <x:c r="C14" s="32" t="s">
        <x:v>49</x:v>
      </x:c>
      <x:c r="D14" s="32" t="s">
        <x:v>140</x:v>
      </x:c>
      <x:c r="E14" s="55">
        <x:v>17.5</x:v>
      </x:c>
      <x:c r="F14" s="34">
        <x:v>1000</x:v>
      </x:c>
      <x:c r="G14" s="35">
        <x:v>17500</x:v>
      </x:c>
      <x:c r="H14" s="317"/>
      <x:c r="I14" s="132"/>
      <x:c r="J14" s="324"/>
      <x:c r="K14" s="298"/>
      <x:c r="L14" s="447"/>
      <x:c r="M14" s="39"/>
      <x:c r="N14" s="81">
        <x:f t="shared" si="0"/>
        <x:v>0</x:v>
      </x:c>
      <x:c r="O14" s="40">
        <x:f t="shared" si="1"/>
        <x:v>0</x:v>
      </x:c>
    </x:row>
    <x:row r="15" spans="1:15" customHeight="1">
      <x:c r="A15" s="488"/>
      <x:c r="B15" s="57" t="s">
        <x:v>22</x:v>
      </x:c>
      <x:c r="C15" s="32" t="s">
        <x:v>49</x:v>
      </x:c>
      <x:c r="D15" s="32" t="s">
        <x:v>140</x:v>
      </x:c>
      <x:c r="E15" s="55">
        <x:v>18</x:v>
      </x:c>
      <x:c r="F15" s="34">
        <x:v>1000</x:v>
      </x:c>
      <x:c r="G15" s="35">
        <x:v>18000</x:v>
      </x:c>
      <x:c r="H15" s="317">
        <x:v>1000</x:v>
      </x:c>
      <x:c r="I15" s="132"/>
      <x:c r="J15" s="324"/>
      <x:c r="K15" s="298"/>
      <x:c r="L15" s="447">
        <x:v>1000</x:v>
      </x:c>
      <x:c r="M15" s="39"/>
      <x:c r="N15" s="81">
        <x:f t="shared" si="0"/>
        <x:v>1000</x:v>
      </x:c>
      <x:c r="O15" s="40">
        <x:f t="shared" si="1"/>
        <x:v>18000</x:v>
      </x:c>
    </x:row>
    <x:row r="16" spans="1:15" customHeight="1">
      <x:c r="A16" s="488"/>
      <x:c r="B16" s="57" t="s">
        <x:v>146</x:v>
      </x:c>
      <x:c r="C16" s="57" t="s">
        <x:v>3</x:v>
      </x:c>
      <x:c r="D16" s="57" t="s">
        <x:v>140</x:v>
      </x:c>
      <x:c r="E16" s="74">
        <x:v>6.9000000000000004</x:v>
      </x:c>
      <x:c r="F16" s="34">
        <x:v>10000</x:v>
      </x:c>
      <x:c r="G16" s="35">
        <x:v>69000</x:v>
      </x:c>
      <x:c r="H16" s="317"/>
      <x:c r="I16" s="132"/>
      <x:c r="J16" s="324"/>
      <x:c r="K16" s="298"/>
      <x:c r="L16" s="447"/>
      <x:c r="M16" s="39"/>
      <x:c r="N16" s="81">
        <x:f t="shared" si="0"/>
        <x:v>0</x:v>
      </x:c>
      <x:c r="O16" s="40">
        <x:f t="shared" si="1"/>
        <x:v>0</x:v>
      </x:c>
    </x:row>
    <x:row r="17" spans="1:15" customHeight="1">
      <x:c r="A17" s="488"/>
      <x:c r="B17" s="57" t="s">
        <x:v>19</x:v>
      </x:c>
      <x:c r="C17" s="60" t="s">
        <x:v>52</x:v>
      </x:c>
      <x:c r="D17" s="60" t="s">
        <x:v>140</x:v>
      </x:c>
      <x:c r="E17" s="73">
        <x:v>22.1875</x:v>
      </x:c>
      <x:c r="F17" s="62">
        <x:v>3200</x:v>
      </x:c>
      <x:c r="G17" s="63">
        <x:v>71000</x:v>
      </x:c>
      <x:c r="H17" s="318"/>
      <x:c r="I17" s="132"/>
      <x:c r="J17" s="325"/>
      <x:c r="K17" s="299"/>
      <x:c r="L17" s="448"/>
      <x:c r="M17" s="66"/>
      <x:c r="N17" s="81">
        <x:f t="shared" si="0"/>
        <x:v>0</x:v>
      </x:c>
      <x:c r="O17" s="40">
        <x:f t="shared" si="1"/>
        <x:v>0</x:v>
      </x:c>
    </x:row>
    <x:row r="18" spans="1:15" customHeight="1">
      <x:c r="A18" s="488"/>
      <x:c r="B18" s="57" t="s">
        <x:v>147</x:v>
      </x:c>
      <x:c r="C18" s="32" t="s">
        <x:v>3</x:v>
      </x:c>
      <x:c r="D18" s="32" t="s">
        <x:v>140</x:v>
      </x:c>
      <x:c r="E18" s="55">
        <x:v>7.2000000000000002</x:v>
      </x:c>
      <x:c r="F18" s="34">
        <x:v>10000</x:v>
      </x:c>
      <x:c r="G18" s="35">
        <x:v>72000</x:v>
      </x:c>
      <x:c r="H18" s="317">
        <x:v>1000</x:v>
      </x:c>
      <x:c r="I18" s="132"/>
      <x:c r="J18" s="324"/>
      <x:c r="K18" s="298"/>
      <x:c r="L18" s="447">
        <x:v>500</x:v>
      </x:c>
      <x:c r="M18" s="39"/>
      <x:c r="N18" s="81">
        <x:f t="shared" si="0"/>
        <x:v>500</x:v>
      </x:c>
      <x:c r="O18" s="40">
        <x:f t="shared" si="1"/>
        <x:v>3600</x:v>
      </x:c>
    </x:row>
    <x:row r="19" spans="1:15" customHeight="1">
      <x:c r="A19" s="488"/>
      <x:c r="B19" s="57" t="s">
        <x:v>7</x:v>
      </x:c>
      <x:c r="C19" s="32" t="s">
        <x:v>60</x:v>
      </x:c>
      <x:c r="D19" s="32" t="s">
        <x:v>140</x:v>
      </x:c>
      <x:c r="E19" s="55">
        <x:v>18</x:v>
      </x:c>
      <x:c r="F19" s="34">
        <x:v>5000</x:v>
      </x:c>
      <x:c r="G19" s="35">
        <x:v>90000</x:v>
      </x:c>
      <x:c r="H19" s="317"/>
      <x:c r="I19" s="132"/>
      <x:c r="J19" s="324"/>
      <x:c r="K19" s="298"/>
      <x:c r="L19" s="447"/>
      <x:c r="M19" s="39"/>
      <x:c r="N19" s="81">
        <x:f t="shared" si="0"/>
        <x:v>0</x:v>
      </x:c>
      <x:c r="O19" s="40">
        <x:f t="shared" si="1"/>
        <x:v>0</x:v>
      </x:c>
    </x:row>
    <x:row r="20" spans="1:15" customHeight="1">
      <x:c r="A20" s="488"/>
      <x:c r="B20" s="59" t="s">
        <x:v>20</x:v>
      </x:c>
      <x:c r="C20" s="60" t="s">
        <x:v>61</x:v>
      </x:c>
      <x:c r="D20" s="60" t="s">
        <x:v>140</x:v>
      </x:c>
      <x:c r="E20" s="73">
        <x:v>26.699999999999999</x:v>
      </x:c>
      <x:c r="F20" s="62">
        <x:v>4000</x:v>
      </x:c>
      <x:c r="G20" s="63">
        <x:v>106800</x:v>
      </x:c>
      <x:c r="H20" s="318"/>
      <x:c r="I20" s="132"/>
      <x:c r="J20" s="325"/>
      <x:c r="K20" s="299"/>
      <x:c r="L20" s="448"/>
      <x:c r="M20" s="66"/>
      <x:c r="N20" s="81">
        <x:f t="shared" si="0"/>
        <x:v>0</x:v>
      </x:c>
      <x:c r="O20" s="40">
        <x:f t="shared" si="1"/>
        <x:v>0</x:v>
      </x:c>
    </x:row>
    <x:row r="21" spans="1:15" customHeight="1">
      <x:c r="A21" s="488"/>
      <x:c r="B21" s="57" t="s">
        <x:v>23</x:v>
      </x:c>
      <x:c r="C21" s="32" t="s">
        <x:v>52</x:v>
      </x:c>
      <x:c r="D21" s="32" t="s">
        <x:v>140</x:v>
      </x:c>
      <x:c r="E21" s="55">
        <x:v>22.8125</x:v>
      </x:c>
      <x:c r="F21" s="34">
        <x:v>3200</x:v>
      </x:c>
      <x:c r="G21" s="35">
        <x:v>73000</x:v>
      </x:c>
      <x:c r="H21" s="317">
        <x:v>200</x:v>
      </x:c>
      <x:c r="I21" s="132"/>
      <x:c r="J21" s="324"/>
      <x:c r="K21" s="298"/>
      <x:c r="L21" s="447"/>
      <x:c r="M21" s="39"/>
      <x:c r="N21" s="81">
        <x:f t="shared" si="0"/>
        <x:v>0</x:v>
      </x:c>
      <x:c r="O21" s="40">
        <x:f t="shared" si="1"/>
        <x:v>0</x:v>
      </x:c>
    </x:row>
    <x:row r="22" spans="1:15" customHeight="1">
      <x:c r="A22" s="488"/>
      <x:c r="B22" s="57" t="s">
        <x:v>10</x:v>
      </x:c>
      <x:c r="C22" s="57" t="s">
        <x:v>62</x:v>
      </x:c>
      <x:c r="D22" s="57" t="s">
        <x:v>140</x:v>
      </x:c>
      <x:c r="E22" s="74">
        <x:v>112.5</x:v>
      </x:c>
      <x:c r="F22" s="34">
        <x:v>200</x:v>
      </x:c>
      <x:c r="G22" s="35">
        <x:v>22500</x:v>
      </x:c>
      <x:c r="H22" s="317">
        <x:v>125</x:v>
      </x:c>
      <x:c r="I22" s="132"/>
      <x:c r="J22" s="324"/>
      <x:c r="K22" s="298"/>
      <x:c r="L22" s="447"/>
      <x:c r="M22" s="39"/>
      <x:c r="N22" s="81">
        <x:f t="shared" si="0"/>
        <x:v>0</x:v>
      </x:c>
      <x:c r="O22" s="40">
        <x:f t="shared" si="1"/>
        <x:v>0</x:v>
      </x:c>
    </x:row>
    <x:row r="23" spans="1:15" customHeight="1">
      <x:c r="A23" s="488"/>
      <x:c r="B23" s="57" t="s">
        <x:v>76</x:v>
      </x:c>
      <x:c r="C23" s="60" t="s">
        <x:v>48</x:v>
      </x:c>
      <x:c r="D23" s="60" t="s">
        <x:v>140</x:v>
      </x:c>
      <x:c r="E23" s="77">
        <x:v>3.625</x:v>
      </x:c>
      <x:c r="F23" s="62">
        <x:v>8000</x:v>
      </x:c>
      <x:c r="G23" s="63">
        <x:v>29000</x:v>
      </x:c>
      <x:c r="H23" s="318">
        <x:v>4800</x:v>
      </x:c>
      <x:c r="I23" s="132"/>
      <x:c r="J23" s="325"/>
      <x:c r="K23" s="299"/>
      <x:c r="L23" s="448"/>
      <x:c r="M23" s="66"/>
      <x:c r="N23" s="81">
        <x:f t="shared" si="0"/>
        <x:v>0</x:v>
      </x:c>
      <x:c r="O23" s="40">
        <x:f t="shared" si="1"/>
        <x:v>0</x:v>
      </x:c>
    </x:row>
    <x:row r="24" spans="1:15" customHeight="1">
      <x:c r="A24" s="488"/>
      <x:c r="B24" s="57" t="s">
        <x:v>75</x:v>
      </x:c>
      <x:c r="C24" s="32" t="s">
        <x:v>142</x:v>
      </x:c>
      <x:c r="D24" s="32" t="s">
        <x:v>144</x:v>
      </x:c>
      <x:c r="E24" s="55">
        <x:v>12000</x:v>
      </x:c>
      <x:c r="F24" s="34">
        <x:v>1</x:v>
      </x:c>
      <x:c r="G24" s="35">
        <x:v>12000</x:v>
      </x:c>
      <x:c r="H24" s="317"/>
      <x:c r="I24" s="132"/>
      <x:c r="J24" s="324"/>
      <x:c r="K24" s="298"/>
      <x:c r="L24" s="447"/>
      <x:c r="M24" s="39"/>
      <x:c r="N24" s="81">
        <x:f t="shared" si="0"/>
        <x:v>0</x:v>
      </x:c>
      <x:c r="O24" s="40">
        <x:f t="shared" si="1"/>
        <x:v>0</x:v>
      </x:c>
    </x:row>
    <x:row r="25" spans="1:15" customHeight="1">
      <x:c r="A25" s="488"/>
      <x:c r="B25" s="32" t="s">
        <x:v>2</x:v>
      </x:c>
      <x:c r="C25" s="32" t="s">
        <x:v>3</x:v>
      </x:c>
      <x:c r="D25" s="32" t="s">
        <x:v>140</x:v>
      </x:c>
      <x:c r="E25" s="55">
        <x:v>6.4000000000000004</x:v>
      </x:c>
      <x:c r="F25" s="34">
        <x:v>10000</x:v>
      </x:c>
      <x:c r="G25" s="35">
        <x:v>64000</x:v>
      </x:c>
      <x:c r="H25" s="317"/>
      <x:c r="I25" s="132"/>
      <x:c r="J25" s="324"/>
      <x:c r="K25" s="298"/>
      <x:c r="L25" s="447"/>
      <x:c r="M25" s="39"/>
      <x:c r="N25" s="81">
        <x:f t="shared" si="0"/>
        <x:v>0</x:v>
      </x:c>
      <x:c r="O25" s="40">
        <x:f t="shared" si="1"/>
        <x:v>0</x:v>
      </x:c>
    </x:row>
    <x:row r="26" spans="1:15" customHeight="1">
      <x:c r="A26" s="488"/>
      <x:c r="B26" s="32" t="s">
        <x:v>21</x:v>
      </x:c>
      <x:c r="C26" s="32" t="s">
        <x:v>3</x:v>
      </x:c>
      <x:c r="D26" s="32" t="s">
        <x:v>140</x:v>
      </x:c>
      <x:c r="E26" s="55">
        <x:v>6.7999999999999998</x:v>
      </x:c>
      <x:c r="F26" s="34">
        <x:v>10000</x:v>
      </x:c>
      <x:c r="G26" s="35">
        <x:v>68000</x:v>
      </x:c>
      <x:c r="H26" s="317"/>
      <x:c r="I26" s="132"/>
      <x:c r="J26" s="324"/>
      <x:c r="K26" s="298"/>
      <x:c r="L26" s="447"/>
      <x:c r="M26" s="39"/>
      <x:c r="N26" s="81">
        <x:f t="shared" si="0"/>
        <x:v>0</x:v>
      </x:c>
      <x:c r="O26" s="40">
        <x:f t="shared" si="1"/>
        <x:v>0</x:v>
      </x:c>
    </x:row>
    <x:row r="27" spans="1:15" customHeight="1">
      <x:c r="A27" s="488"/>
      <x:c r="B27" s="32" t="s">
        <x:v>24</x:v>
      </x:c>
      <x:c r="C27" s="32" t="s">
        <x:v>59</x:v>
      </x:c>
      <x:c r="D27" s="32" t="s">
        <x:v>140</x:v>
      </x:c>
      <x:c r="E27" s="55">
        <x:v>25</x:v>
      </x:c>
      <x:c r="F27" s="34">
        <x:v>200</x:v>
      </x:c>
      <x:c r="G27" s="35">
        <x:v>5000</x:v>
      </x:c>
      <x:c r="H27" s="317"/>
      <x:c r="I27" s="132"/>
      <x:c r="J27" s="324"/>
      <x:c r="K27" s="298"/>
      <x:c r="L27" s="447"/>
      <x:c r="M27" s="39"/>
      <x:c r="N27" s="81">
        <x:f t="shared" si="0"/>
        <x:v>0</x:v>
      </x:c>
      <x:c r="O27" s="40">
        <x:f t="shared" si="1"/>
        <x:v>0</x:v>
      </x:c>
    </x:row>
    <x:row r="28" spans="1:15" customHeight="1">
      <x:c r="A28" s="488"/>
      <x:c r="B28" s="57" t="s">
        <x:v>69</x:v>
      </x:c>
      <x:c r="C28" s="60" t="s">
        <x:v>45</x:v>
      </x:c>
      <x:c r="D28" s="60" t="s">
        <x:v>140</x:v>
      </x:c>
      <x:c r="E28" s="73">
        <x:v>2100</x:v>
      </x:c>
      <x:c r="F28" s="62">
        <x:v>12</x:v>
      </x:c>
      <x:c r="G28" s="63">
        <x:v>25200</x:v>
      </x:c>
      <x:c r="H28" s="318"/>
      <x:c r="I28" s="132"/>
      <x:c r="J28" s="325"/>
      <x:c r="K28" s="299"/>
      <x:c r="L28" s="448"/>
      <x:c r="M28" s="66"/>
      <x:c r="N28" s="81">
        <x:f t="shared" si="0"/>
        <x:v>0</x:v>
      </x:c>
      <x:c r="O28" s="40">
        <x:f t="shared" si="1"/>
        <x:v>0</x:v>
      </x:c>
    </x:row>
    <x:row r="29" spans="1:15" customHeight="1">
      <x:c r="A29" s="488"/>
      <x:c r="B29" s="57" t="s">
        <x:v>64</x:v>
      </x:c>
      <x:c r="C29" s="57" t="s">
        <x:v>45</x:v>
      </x:c>
      <x:c r="D29" s="57" t="s">
        <x:v>140</x:v>
      </x:c>
      <x:c r="E29" s="74">
        <x:v>2100</x:v>
      </x:c>
      <x:c r="F29" s="34">
        <x:v>12</x:v>
      </x:c>
      <x:c r="G29" s="35">
        <x:v>25200</x:v>
      </x:c>
      <x:c r="H29" s="317"/>
      <x:c r="I29" s="132"/>
      <x:c r="J29" s="324"/>
      <x:c r="K29" s="298"/>
      <x:c r="L29" s="447"/>
      <x:c r="M29" s="39"/>
      <x:c r="N29" s="81">
        <x:f t="shared" si="0"/>
        <x:v>0</x:v>
      </x:c>
      <x:c r="O29" s="40">
        <x:f t="shared" si="1"/>
        <x:v>0</x:v>
      </x:c>
    </x:row>
    <x:row r="30" spans="1:15" customHeight="1">
      <x:c r="A30" s="488"/>
      <x:c r="B30" s="57" t="s">
        <x:v>67</x:v>
      </x:c>
      <x:c r="C30" s="32" t="s">
        <x:v>45</x:v>
      </x:c>
      <x:c r="D30" s="32" t="s">
        <x:v>140</x:v>
      </x:c>
      <x:c r="E30" s="55">
        <x:v>2100</x:v>
      </x:c>
      <x:c r="F30" s="34">
        <x:v>12</x:v>
      </x:c>
      <x:c r="G30" s="35">
        <x:v>25200</x:v>
      </x:c>
      <x:c r="H30" s="317"/>
      <x:c r="I30" s="132"/>
      <x:c r="J30" s="324"/>
      <x:c r="K30" s="298"/>
      <x:c r="L30" s="447"/>
      <x:c r="M30" s="39"/>
      <x:c r="N30" s="81">
        <x:f t="shared" si="0"/>
        <x:v>0</x:v>
      </x:c>
      <x:c r="O30" s="40">
        <x:f t="shared" si="1"/>
        <x:v>0</x:v>
      </x:c>
    </x:row>
    <x:row r="31" spans="1:15" customHeight="1">
      <x:c r="A31" s="488"/>
      <x:c r="B31" s="57" t="s">
        <x:v>74</x:v>
      </x:c>
      <x:c r="C31" s="57" t="s">
        <x:v>56</x:v>
      </x:c>
      <x:c r="D31" s="57" t="s">
        <x:v>140</x:v>
      </x:c>
      <x:c r="E31" s="74">
        <x:v>2800</x:v>
      </x:c>
      <x:c r="F31" s="34">
        <x:v>6</x:v>
      </x:c>
      <x:c r="G31" s="35">
        <x:v>16800</x:v>
      </x:c>
      <x:c r="H31" s="317"/>
      <x:c r="I31" s="132"/>
      <x:c r="J31" s="324"/>
      <x:c r="K31" s="298"/>
      <x:c r="L31" s="447"/>
      <x:c r="M31" s="39"/>
      <x:c r="N31" s="81">
        <x:f t="shared" si="0"/>
        <x:v>0</x:v>
      </x:c>
      <x:c r="O31" s="40">
        <x:f t="shared" si="1"/>
        <x:v>0</x:v>
      </x:c>
    </x:row>
    <x:row r="32" spans="1:15" customHeight="1">
      <x:c r="A32" s="488"/>
      <x:c r="B32" s="57" t="s">
        <x:v>35</x:v>
      </x:c>
      <x:c r="C32" s="57" t="s">
        <x:v>56</x:v>
      </x:c>
      <x:c r="D32" s="57" t="s">
        <x:v>140</x:v>
      </x:c>
      <x:c r="E32" s="74">
        <x:v>3200</x:v>
      </x:c>
      <x:c r="F32" s="34">
        <x:v>6</x:v>
      </x:c>
      <x:c r="G32" s="35">
        <x:v>19200</x:v>
      </x:c>
      <x:c r="H32" s="317"/>
      <x:c r="I32" s="132"/>
      <x:c r="J32" s="324">
        <x:v>1</x:v>
      </x:c>
      <x:c r="K32" s="298"/>
      <x:c r="L32" s="447"/>
      <x:c r="M32" s="39"/>
      <x:c r="N32" s="81">
        <x:f t="shared" si="0"/>
        <x:v>1</x:v>
      </x:c>
      <x:c r="O32" s="40">
        <x:f>E32*N32</x:f>
        <x:v>3200</x:v>
      </x:c>
    </x:row>
    <x:row r="33" spans="1:15" customHeight="1">
      <x:c r="A33" s="488"/>
      <x:c r="B33" s="23" t="s">
        <x:v>141</x:v>
      </x:c>
      <x:c r="C33" s="69" t="s">
        <x:v>53</x:v>
      </x:c>
      <x:c r="D33" s="69" t="s">
        <x:v>140</x:v>
      </x:c>
      <x:c r="E33" s="75">
        <x:v>410</x:v>
      </x:c>
      <x:c r="F33" s="70">
        <x:v>20</x:v>
      </x:c>
      <x:c r="G33" s="71">
        <x:v>8200</x:v>
      </x:c>
      <x:c r="H33" s="318"/>
      <x:c r="I33" s="132"/>
      <x:c r="J33" s="325"/>
      <x:c r="K33" s="299"/>
      <x:c r="L33" s="448"/>
      <x:c r="M33" s="66"/>
      <x:c r="N33" s="81">
        <x:f t="shared" si="0"/>
        <x:v>0</x:v>
      </x:c>
      <x:c r="O33" s="40">
        <x:f t="shared" si="1"/>
        <x:v>0</x:v>
      </x:c>
    </x:row>
    <x:row r="34" spans="1:15" customHeight="1">
      <x:c r="A34" s="488"/>
      <x:c r="B34" s="32" t="s">
        <x:v>14</x:v>
      </x:c>
      <x:c r="C34" s="32" t="s">
        <x:v>45</x:v>
      </x:c>
      <x:c r="D34" s="32" t="s">
        <x:v>140</x:v>
      </x:c>
      <x:c r="E34" s="55">
        <x:v>7200</x:v>
      </x:c>
      <x:c r="F34" s="34">
        <x:v>12</x:v>
      </x:c>
      <x:c r="G34" s="72">
        <x:v>86400</x:v>
      </x:c>
      <x:c r="H34" s="318"/>
      <x:c r="I34" s="132"/>
      <x:c r="J34" s="325"/>
      <x:c r="K34" s="299"/>
      <x:c r="L34" s="448"/>
      <x:c r="M34" s="66"/>
      <x:c r="N34" s="81">
        <x:f t="shared" si="0"/>
        <x:v>0</x:v>
      </x:c>
      <x:c r="O34" s="40">
        <x:f t="shared" si="1"/>
        <x:v>0</x:v>
      </x:c>
    </x:row>
    <x:row r="35" spans="1:15" customHeight="1">
      <x:c r="A35" s="488"/>
      <x:c r="B35" s="57" t="s">
        <x:v>166</x:v>
      </x:c>
      <x:c r="C35" s="32" t="s">
        <x:v>45</x:v>
      </x:c>
      <x:c r="D35" s="32" t="s">
        <x:v>140</x:v>
      </x:c>
      <x:c r="E35" s="55">
        <x:v>7700</x:v>
      </x:c>
      <x:c r="F35" s="34">
        <x:v>12</x:v>
      </x:c>
      <x:c r="G35" s="72">
        <x:v>92400</x:v>
      </x:c>
      <x:c r="H35" s="318">
        <x:v>4</x:v>
      </x:c>
      <x:c r="I35" s="132"/>
      <x:c r="J35" s="325">
        <x:v>4</x:v>
      </x:c>
      <x:c r="K35" s="299"/>
      <x:c r="L35" s="448">
        <x:v>5</x:v>
      </x:c>
      <x:c r="M35" s="66"/>
      <x:c r="N35" s="81">
        <x:f t="shared" si="0"/>
        <x:v>9</x:v>
      </x:c>
      <x:c r="O35" s="40">
        <x:f t="shared" si="1"/>
        <x:v>69300</x:v>
      </x:c>
    </x:row>
    <x:row r="36" spans="1:15" customHeight="1">
      <x:c r="A36" s="488"/>
      <x:c r="B36" s="32" t="s">
        <x:v>54</x:v>
      </x:c>
      <x:c r="C36" s="32" t="s">
        <x:v>45</x:v>
      </x:c>
      <x:c r="D36" s="32" t="s">
        <x:v>140</x:v>
      </x:c>
      <x:c r="E36" s="55">
        <x:v>1350</x:v>
      </x:c>
      <x:c r="F36" s="34">
        <x:v>12</x:v>
      </x:c>
      <x:c r="G36" s="35">
        <x:v>16200</x:v>
      </x:c>
      <x:c r="H36" s="318">
        <x:v>3</x:v>
      </x:c>
      <x:c r="I36" s="132"/>
      <x:c r="J36" s="325"/>
      <x:c r="K36" s="299"/>
      <x:c r="L36" s="448"/>
      <x:c r="M36" s="66"/>
      <x:c r="N36" s="81">
        <x:f t="shared" si="0"/>
        <x:v>0</x:v>
      </x:c>
      <x:c r="O36" s="40">
        <x:f t="shared" si="1"/>
        <x:v>0</x:v>
      </x:c>
    </x:row>
    <x:row r="37" spans="1:15" customHeight="1">
      <x:c r="A37" s="488"/>
      <x:c r="B37" s="32" t="s">
        <x:v>154</x:v>
      </x:c>
      <x:c r="C37" s="32" t="s">
        <x:v>58</x:v>
      </x:c>
      <x:c r="D37" s="32" t="s">
        <x:v>140</x:v>
      </x:c>
      <x:c r="E37" s="55">
        <x:v>6870</x:v>
      </x:c>
      <x:c r="F37" s="34">
        <x:v>8</x:v>
      </x:c>
      <x:c r="G37" s="35">
        <x:v>54960</x:v>
      </x:c>
      <x:c r="H37" s="317"/>
      <x:c r="I37" s="132"/>
      <x:c r="J37" s="324"/>
      <x:c r="K37" s="298"/>
      <x:c r="L37" s="447"/>
      <x:c r="M37" s="39"/>
      <x:c r="N37" s="81">
        <x:f t="shared" si="0"/>
        <x:v>0</x:v>
      </x:c>
      <x:c r="O37" s="40">
        <x:f t="shared" si="1"/>
        <x:v>0</x:v>
      </x:c>
    </x:row>
    <x:row r="38" spans="1:15" customHeight="1">
      <x:c r="A38" s="488"/>
      <x:c r="B38" s="23" t="s">
        <x:v>153</x:v>
      </x:c>
      <x:c r="C38" s="23" t="s">
        <x:v>58</x:v>
      </x:c>
      <x:c r="D38" s="23" t="s">
        <x:v>140</x:v>
      </x:c>
      <x:c r="E38" s="76">
        <x:v>6870</x:v>
      </x:c>
      <x:c r="F38" s="24">
        <x:v>8</x:v>
      </x:c>
      <x:c r="G38" s="25">
        <x:v>54960</x:v>
      </x:c>
      <x:c r="H38" s="317"/>
      <x:c r="I38" s="133"/>
      <x:c r="J38" s="324"/>
      <x:c r="K38" s="298"/>
      <x:c r="L38" s="447"/>
      <x:c r="M38" s="29"/>
      <x:c r="N38" s="81">
        <x:f t="shared" si="0"/>
        <x:v>0</x:v>
      </x:c>
      <x:c r="O38" s="40">
        <x:f t="shared" si="1"/>
        <x:v>0</x:v>
      </x:c>
    </x:row>
    <x:row r="39" spans="1:15" ht="17.25" customHeight="1">
      <x:c r="A39" s="488"/>
      <x:c r="B39" s="32" t="s">
        <x:v>150</x:v>
      </x:c>
      <x:c r="C39" s="113" t="s">
        <x:v>58</x:v>
      </x:c>
      <x:c r="D39" s="113" t="s">
        <x:v>140</x:v>
      </x:c>
      <x:c r="E39" s="114">
        <x:v>7360</x:v>
      </x:c>
      <x:c r="F39" s="46">
        <x:v>8</x:v>
      </x:c>
      <x:c r="G39" s="35">
        <x:v>58880</x:v>
      </x:c>
      <x:c r="H39" s="317">
        <x:v>3</x:v>
      </x:c>
      <x:c r="I39" s="132"/>
      <x:c r="J39" s="324"/>
      <x:c r="K39" s="298"/>
      <x:c r="L39" s="447"/>
      <x:c r="M39" s="39"/>
      <x:c r="N39" s="81">
        <x:f t="shared" si="0"/>
        <x:v>0</x:v>
      </x:c>
      <x:c r="O39" s="40">
        <x:f t="shared" si="1"/>
        <x:v>0</x:v>
      </x:c>
    </x:row>
    <x:row r="40" spans="1:15" ht="18" customHeight="1">
      <x:c r="A40" s="489"/>
      <x:c r="B40" s="23" t="s">
        <x:v>152</x:v>
      </x:c>
      <x:c r="C40" s="41" t="s">
        <x:v>58</x:v>
      </x:c>
      <x:c r="D40" s="41" t="s">
        <x:v>140</x:v>
      </x:c>
      <x:c r="E40" s="105">
        <x:v>7360</x:v>
      </x:c>
      <x:c r="F40" s="48">
        <x:v>8</x:v>
      </x:c>
      <x:c r="G40" s="35">
        <x:v>58880</x:v>
      </x:c>
      <x:c r="H40" s="317">
        <x:v>1</x:v>
      </x:c>
      <x:c r="I40" s="133"/>
      <x:c r="J40" s="324"/>
      <x:c r="K40" s="298"/>
      <x:c r="L40" s="447"/>
      <x:c r="M40" s="29"/>
      <x:c r="N40" s="82">
        <x:f t="shared" si="0"/>
        <x:v>0</x:v>
      </x:c>
      <x:c r="O40" s="30">
        <x:f t="shared" si="1"/>
        <x:v>0</x:v>
      </x:c>
    </x:row>
    <x:row r="41" spans="1:15">
      <x:c r="A41" s="482" t="s">
        <x:v>71</x:v>
      </x:c>
      <x:c r="B41" s="14" t="s">
        <x:v>63</x:v>
      </x:c>
      <x:c r="C41" s="14" t="s">
        <x:v>5</x:v>
      </x:c>
      <x:c r="D41" s="14" t="s">
        <x:v>140</x:v>
      </x:c>
      <x:c r="E41" s="56">
        <x:v>6.4000000000000004</x:v>
      </x:c>
      <x:c r="F41" s="16">
        <x:v>500</x:v>
      </x:c>
      <x:c r="G41" s="17">
        <x:v>3200</x:v>
      </x:c>
      <x:c r="H41" s="316"/>
      <x:c r="I41" s="131"/>
      <x:c r="J41" s="323"/>
      <x:c r="K41" s="297"/>
      <x:c r="L41" s="446"/>
      <x:c r="M41" s="123"/>
      <x:c r="N41" s="80">
        <x:f t="shared" si="0"/>
        <x:v>0</x:v>
      </x:c>
      <x:c r="O41" s="22">
        <x:f t="shared" si="1"/>
        <x:v>0</x:v>
      </x:c>
    </x:row>
    <x:row r="42" spans="1:15" ht="17.25">
      <x:c r="A42" s="486"/>
      <x:c r="B42" s="23" t="s">
        <x:v>27</x:v>
      </x:c>
      <x:c r="C42" s="23" t="s">
        <x:v>6</x:v>
      </x:c>
      <x:c r="D42" s="23" t="s">
        <x:v>140</x:v>
      </x:c>
      <x:c r="E42" s="76">
        <x:v>4.6900000000000004</x:v>
      </x:c>
      <x:c r="F42" s="24">
        <x:v>1000</x:v>
      </x:c>
      <x:c r="G42" s="25">
        <x:v>4690</x:v>
      </x:c>
      <x:c r="H42" s="319"/>
      <x:c r="I42" s="133"/>
      <x:c r="J42" s="326"/>
      <x:c r="K42" s="300"/>
      <x:c r="L42" s="449"/>
      <x:c r="M42" s="124"/>
      <x:c r="N42" s="83">
        <x:f t="shared" si="0"/>
        <x:v>0</x:v>
      </x:c>
      <x:c r="O42" s="42">
        <x:f t="shared" si="1"/>
        <x:v>0</x:v>
      </x:c>
    </x:row>
    <x:row r="43" spans="1:15">
      <x:c r="A43" s="487" t="s">
        <x:v>136</x:v>
      </x:c>
      <x:c r="B43" s="14" t="s">
        <x:v>78</x:v>
      </x:c>
      <x:c r="C43" s="14" t="s">
        <x:v>57</x:v>
      </x:c>
      <x:c r="D43" s="14" t="s">
        <x:v>140</x:v>
      </x:c>
      <x:c r="E43" s="56">
        <x:v>7700</x:v>
      </x:c>
      <x:c r="F43" s="16">
        <x:v>12</x:v>
      </x:c>
      <x:c r="G43" s="17">
        <x:v>92400</x:v>
      </x:c>
      <x:c r="H43" s="316">
        <x:v>2</x:v>
      </x:c>
      <x:c r="I43" s="131"/>
      <x:c r="J43" s="323"/>
      <x:c r="K43" s="297"/>
      <x:c r="L43" s="446"/>
      <x:c r="M43" s="123"/>
      <x:c r="N43" s="84">
        <x:f t="shared" si="0"/>
        <x:v>0</x:v>
      </x:c>
      <x:c r="O43" s="22">
        <x:f t="shared" si="1"/>
        <x:v>0</x:v>
      </x:c>
    </x:row>
    <x:row r="44" spans="1:15">
      <x:c r="A44" s="488"/>
      <x:c r="B44" s="32" t="s">
        <x:v>86</x:v>
      </x:c>
      <x:c r="C44" s="32" t="s">
        <x:v>57</x:v>
      </x:c>
      <x:c r="D44" s="32" t="s">
        <x:v>140</x:v>
      </x:c>
      <x:c r="E44" s="55">
        <x:v>6200</x:v>
      </x:c>
      <x:c r="F44" s="34">
        <x:v>12</x:v>
      </x:c>
      <x:c r="G44" s="35">
        <x:v>74400</x:v>
      </x:c>
      <x:c r="H44" s="317">
        <x:v>2</x:v>
      </x:c>
      <x:c r="I44" s="132"/>
      <x:c r="J44" s="324"/>
      <x:c r="K44" s="298"/>
      <x:c r="L44" s="447"/>
      <x:c r="M44" s="125"/>
      <x:c r="N44" s="81">
        <x:f t="shared" si="0"/>
        <x:v>0</x:v>
      </x:c>
      <x:c r="O44" s="40">
        <x:f t="shared" si="1"/>
        <x:v>0</x:v>
      </x:c>
    </x:row>
    <x:row r="45" spans="1:15">
      <x:c r="A45" s="488"/>
      <x:c r="B45" s="32" t="s">
        <x:v>88</x:v>
      </x:c>
      <x:c r="C45" s="32" t="s">
        <x:v>57</x:v>
      </x:c>
      <x:c r="D45" s="32" t="s">
        <x:v>140</x:v>
      </x:c>
      <x:c r="E45" s="55">
        <x:v>6700</x:v>
      </x:c>
      <x:c r="F45" s="34">
        <x:v>12</x:v>
      </x:c>
      <x:c r="G45" s="35">
        <x:v>80400</x:v>
      </x:c>
      <x:c r="H45" s="317">
        <x:v>2</x:v>
      </x:c>
      <x:c r="I45" s="132"/>
      <x:c r="J45" s="324"/>
      <x:c r="K45" s="298"/>
      <x:c r="L45" s="447">
        <x:v>1</x:v>
      </x:c>
      <x:c r="M45" s="125"/>
      <x:c r="N45" s="81">
        <x:f t="shared" si="0"/>
        <x:v>1</x:v>
      </x:c>
      <x:c r="O45" s="40">
        <x:f t="shared" si="1"/>
        <x:v>6700</x:v>
      </x:c>
    </x:row>
    <x:row r="46" spans="1:15">
      <x:c r="A46" s="488"/>
      <x:c r="B46" s="32" t="s">
        <x:v>92</x:v>
      </x:c>
      <x:c r="C46" s="32" t="s">
        <x:v>45</x:v>
      </x:c>
      <x:c r="D46" s="32" t="s">
        <x:v>140</x:v>
      </x:c>
      <x:c r="E46" s="55">
        <x:v>7250</x:v>
      </x:c>
      <x:c r="F46" s="34">
        <x:v>12</x:v>
      </x:c>
      <x:c r="G46" s="35">
        <x:v>87000</x:v>
      </x:c>
      <x:c r="H46" s="317">
        <x:v>1</x:v>
      </x:c>
      <x:c r="I46" s="132"/>
      <x:c r="J46" s="324"/>
      <x:c r="K46" s="298"/>
      <x:c r="L46" s="447">
        <x:v>1</x:v>
      </x:c>
      <x:c r="M46" s="125"/>
      <x:c r="N46" s="81">
        <x:f t="shared" si="0"/>
        <x:v>1</x:v>
      </x:c>
      <x:c r="O46" s="40">
        <x:f t="shared" si="1"/>
        <x:v>7250</x:v>
      </x:c>
    </x:row>
    <x:row r="47" spans="1:15">
      <x:c r="A47" s="488"/>
      <x:c r="B47" s="32" t="s">
        <x:v>93</x:v>
      </x:c>
      <x:c r="C47" s="32" t="s">
        <x:v>55</x:v>
      </x:c>
      <x:c r="D47" s="32" t="s">
        <x:v>140</x:v>
      </x:c>
      <x:c r="E47" s="55">
        <x:v>5300</x:v>
      </x:c>
      <x:c r="F47" s="34">
        <x:v>12</x:v>
      </x:c>
      <x:c r="G47" s="35">
        <x:v>63600</x:v>
      </x:c>
      <x:c r="H47" s="317">
        <x:v>1</x:v>
      </x:c>
      <x:c r="I47" s="132"/>
      <x:c r="J47" s="324"/>
      <x:c r="K47" s="298"/>
      <x:c r="L47" s="447">
        <x:v>1</x:v>
      </x:c>
      <x:c r="M47" s="125"/>
      <x:c r="N47" s="81">
        <x:f t="shared" si="0"/>
        <x:v>1</x:v>
      </x:c>
      <x:c r="O47" s="40">
        <x:f t="shared" si="1"/>
        <x:v>5300</x:v>
      </x:c>
    </x:row>
    <x:row r="48" spans="1:15">
      <x:c r="A48" s="488"/>
      <x:c r="B48" s="32" t="s">
        <x:v>30</x:v>
      </x:c>
      <x:c r="C48" s="32" t="s">
        <x:v>55</x:v>
      </x:c>
      <x:c r="D48" s="32" t="s">
        <x:v>140</x:v>
      </x:c>
      <x:c r="E48" s="55">
        <x:v>6600</x:v>
      </x:c>
      <x:c r="F48" s="34">
        <x:v>12</x:v>
      </x:c>
      <x:c r="G48" s="35">
        <x:v>79200</x:v>
      </x:c>
      <x:c r="H48" s="317">
        <x:v>1</x:v>
      </x:c>
      <x:c r="I48" s="132"/>
      <x:c r="J48" s="324"/>
      <x:c r="K48" s="298"/>
      <x:c r="L48" s="447">
        <x:v>1</x:v>
      </x:c>
      <x:c r="M48" s="125"/>
      <x:c r="N48" s="81">
        <x:f t="shared" si="0"/>
        <x:v>1</x:v>
      </x:c>
      <x:c r="O48" s="40">
        <x:f t="shared" si="1"/>
        <x:v>6600</x:v>
      </x:c>
    </x:row>
    <x:row r="49" spans="1:15">
      <x:c r="A49" s="488"/>
      <x:c r="B49" s="32" t="s">
        <x:v>84</x:v>
      </x:c>
      <x:c r="C49" s="32" t="s">
        <x:v>28</x:v>
      </x:c>
      <x:c r="D49" s="32" t="s">
        <x:v>140</x:v>
      </x:c>
      <x:c r="E49" s="55">
        <x:v>14500</x:v>
      </x:c>
      <x:c r="F49" s="34">
        <x:v>6</x:v>
      </x:c>
      <x:c r="G49" s="35">
        <x:v>87000</x:v>
      </x:c>
      <x:c r="H49" s="317"/>
      <x:c r="I49" s="132"/>
      <x:c r="J49" s="324"/>
      <x:c r="K49" s="298"/>
      <x:c r="L49" s="447"/>
      <x:c r="M49" s="125"/>
      <x:c r="N49" s="81">
        <x:f t="shared" si="0"/>
        <x:v>0</x:v>
      </x:c>
      <x:c r="O49" s="40">
        <x:f t="shared" si="1"/>
        <x:v>0</x:v>
      </x:c>
    </x:row>
    <x:row r="50" spans="1:15">
      <x:c r="A50" s="488"/>
      <x:c r="B50" s="32" t="s">
        <x:v>98</x:v>
      </x:c>
      <x:c r="C50" s="32" t="s">
        <x:v>28</x:v>
      </x:c>
      <x:c r="D50" s="32" t="s">
        <x:v>140</x:v>
      </x:c>
      <x:c r="E50" s="55">
        <x:v>11000</x:v>
      </x:c>
      <x:c r="F50" s="34">
        <x:v>6</x:v>
      </x:c>
      <x:c r="G50" s="35">
        <x:v>66000</x:v>
      </x:c>
      <x:c r="H50" s="317"/>
      <x:c r="I50" s="132"/>
      <x:c r="J50" s="324"/>
      <x:c r="K50" s="298"/>
      <x:c r="L50" s="447"/>
      <x:c r="M50" s="125"/>
      <x:c r="N50" s="81">
        <x:f t="shared" si="0"/>
        <x:v>0</x:v>
      </x:c>
      <x:c r="O50" s="40">
        <x:f t="shared" si="1"/>
        <x:v>0</x:v>
      </x:c>
    </x:row>
    <x:row r="51" spans="1:15">
      <x:c r="A51" s="488"/>
      <x:c r="B51" s="57" t="s">
        <x:v>108</x:v>
      </x:c>
      <x:c r="C51" s="32" t="s">
        <x:v>28</x:v>
      </x:c>
      <x:c r="D51" s="32" t="s">
        <x:v>140</x:v>
      </x:c>
      <x:c r="E51" s="55">
        <x:v>7000</x:v>
      </x:c>
      <x:c r="F51" s="34">
        <x:v>6</x:v>
      </x:c>
      <x:c r="G51" s="35">
        <x:v>42000</x:v>
      </x:c>
      <x:c r="H51" s="317"/>
      <x:c r="I51" s="132"/>
      <x:c r="J51" s="324"/>
      <x:c r="K51" s="298"/>
      <x:c r="L51" s="447"/>
      <x:c r="M51" s="125"/>
      <x:c r="N51" s="81">
        <x:f>I51+J51+K51+L51+M51</x:f>
        <x:v>0</x:v>
      </x:c>
      <x:c r="O51" s="40">
        <x:f>E51*N51</x:f>
        <x:v>0</x:v>
      </x:c>
    </x:row>
    <x:row r="52" spans="1:15">
      <x:c r="A52" s="488"/>
      <x:c r="B52" s="32" t="s">
        <x:v>36</x:v>
      </x:c>
      <x:c r="C52" s="32" t="s">
        <x:v>28</x:v>
      </x:c>
      <x:c r="D52" s="32" t="s">
        <x:v>140</x:v>
      </x:c>
      <x:c r="E52" s="55">
        <x:v>9000</x:v>
      </x:c>
      <x:c r="F52" s="34">
        <x:v>6</x:v>
      </x:c>
      <x:c r="G52" s="35">
        <x:v>54000</x:v>
      </x:c>
      <x:c r="H52" s="317"/>
      <x:c r="I52" s="132"/>
      <x:c r="J52" s="324"/>
      <x:c r="K52" s="298"/>
      <x:c r="L52" s="447"/>
      <x:c r="M52" s="125"/>
      <x:c r="N52" s="81">
        <x:f>I52+J52+K52+L52+M52</x:f>
        <x:v>0</x:v>
      </x:c>
      <x:c r="O52" s="40">
        <x:f>E52*N52</x:f>
        <x:v>0</x:v>
      </x:c>
    </x:row>
    <x:row r="53" spans="1:15">
      <x:c r="A53" s="488"/>
      <x:c r="B53" s="57" t="s">
        <x:v>162</x:v>
      </x:c>
      <x:c r="C53" s="57" t="s">
        <x:v>128</x:v>
      </x:c>
      <x:c r="D53" s="57" t="s">
        <x:v>140</x:v>
      </x:c>
      <x:c r="E53" s="74">
        <x:v>5300</x:v>
      </x:c>
      <x:c r="F53" s="34">
        <x:v>12</x:v>
      </x:c>
      <x:c r="G53" s="35">
        <x:f>F53*E53</x:f>
        <x:v>63600</x:v>
      </x:c>
      <x:c r="H53" s="317">
        <x:v>1</x:v>
      </x:c>
      <x:c r="I53" s="37"/>
      <x:c r="J53" s="324"/>
      <x:c r="K53" s="298"/>
      <x:c r="L53" s="447">
        <x:v>1</x:v>
      </x:c>
      <x:c r="M53" s="39"/>
      <x:c r="N53" s="81">
        <x:f>I53+J53+K53+L53+M53</x:f>
        <x:v>1</x:v>
      </x:c>
      <x:c r="O53" s="40">
        <x:f>E53*N53</x:f>
        <x:v>5300</x:v>
      </x:c>
    </x:row>
    <x:row r="54" spans="1:15">
      <x:c r="A54" s="488"/>
      <x:c r="B54" s="195" t="s">
        <x:v>165</x:v>
      </x:c>
      <x:c r="C54" s="195" t="s">
        <x:v>55</x:v>
      </x:c>
      <x:c r="D54" s="195" t="s">
        <x:v>140</x:v>
      </x:c>
      <x:c r="E54" s="256">
        <x:v>7900</x:v>
      </x:c>
      <x:c r="F54" s="181">
        <x:v>12</x:v>
      </x:c>
      <x:c r="G54" s="182">
        <x:f t="shared" ref="G54:G55" si="2">F54*E54</x:f>
        <x:v>94800</x:v>
      </x:c>
      <x:c r="H54" s="317"/>
      <x:c r="I54" s="37"/>
      <x:c r="J54" s="324"/>
      <x:c r="K54" s="298"/>
      <x:c r="L54" s="447"/>
      <x:c r="M54" s="39"/>
      <x:c r="N54" s="81">
        <x:f t="shared" ref="N54:N55" si="3">I54+J54+K54+L54+M54</x:f>
        <x:v>0</x:v>
      </x:c>
      <x:c r="O54" s="40">
        <x:f t="shared" ref="O54:O55" si="4">E54*N54</x:f>
        <x:v>0</x:v>
      </x:c>
    </x:row>
    <x:row r="55" spans="1:15">
      <x:c r="A55" s="488"/>
      <x:c r="B55" s="195" t="s">
        <x:v>151</x:v>
      </x:c>
      <x:c r="C55" s="195" t="s">
        <x:v>55</x:v>
      </x:c>
      <x:c r="D55" s="195" t="s">
        <x:v>140</x:v>
      </x:c>
      <x:c r="E55" s="256">
        <x:v>8400</x:v>
      </x:c>
      <x:c r="F55" s="181">
        <x:v>12</x:v>
      </x:c>
      <x:c r="G55" s="182">
        <x:f t="shared" si="2"/>
        <x:v>100800</x:v>
      </x:c>
      <x:c r="H55" s="317">
        <x:v>1</x:v>
      </x:c>
      <x:c r="I55" s="37"/>
      <x:c r="J55" s="324"/>
      <x:c r="K55" s="298"/>
      <x:c r="L55" s="447"/>
      <x:c r="M55" s="39"/>
      <x:c r="N55" s="81">
        <x:f t="shared" si="3"/>
        <x:v>0</x:v>
      </x:c>
      <x:c r="O55" s="40">
        <x:f t="shared" si="4"/>
        <x:v>0</x:v>
      </x:c>
    </x:row>
    <x:row r="56" spans="1:15">
      <x:c r="A56" s="488"/>
      <x:c r="B56" s="32" t="s">
        <x:v>114</x:v>
      </x:c>
      <x:c r="C56" s="32" t="s">
        <x:v>55</x:v>
      </x:c>
      <x:c r="D56" s="32" t="s">
        <x:v>140</x:v>
      </x:c>
      <x:c r="E56" s="55">
        <x:v>4500</x:v>
      </x:c>
      <x:c r="F56" s="34">
        <x:v>12</x:v>
      </x:c>
      <x:c r="G56" s="35">
        <x:v>54000</x:v>
      </x:c>
      <x:c r="H56" s="317">
        <x:v>2</x:v>
      </x:c>
      <x:c r="I56" s="132"/>
      <x:c r="J56" s="324"/>
      <x:c r="K56" s="298"/>
      <x:c r="L56" s="447"/>
      <x:c r="M56" s="125"/>
      <x:c r="N56" s="81">
        <x:f t="shared" si="0"/>
        <x:v>0</x:v>
      </x:c>
      <x:c r="O56" s="40">
        <x:f t="shared" si="1"/>
        <x:v>0</x:v>
      </x:c>
    </x:row>
    <x:row r="57" spans="1:15" ht="17.25">
      <x:c r="A57" s="488"/>
      <x:c r="B57" s="23" t="s">
        <x:v>80</x:v>
      </x:c>
      <x:c r="C57" s="23" t="s">
        <x:v>45</x:v>
      </x:c>
      <x:c r="D57" s="23" t="s">
        <x:v>140</x:v>
      </x:c>
      <x:c r="E57" s="76">
        <x:v>6700</x:v>
      </x:c>
      <x:c r="F57" s="24">
        <x:v>12</x:v>
      </x:c>
      <x:c r="G57" s="25">
        <x:v>80400</x:v>
      </x:c>
      <x:c r="H57" s="319">
        <x:v>1</x:v>
      </x:c>
      <x:c r="I57" s="132"/>
      <x:c r="J57" s="326"/>
      <x:c r="K57" s="300"/>
      <x:c r="L57" s="449">
        <x:v>2</x:v>
      </x:c>
      <x:c r="M57" s="124"/>
      <x:c r="N57" s="82">
        <x:f t="shared" si="0"/>
        <x:v>2</x:v>
      </x:c>
      <x:c r="O57" s="42">
        <x:f t="shared" si="1"/>
        <x:v>13400</x:v>
      </x:c>
    </x:row>
    <x:row r="58" spans="1:15">
      <x:c r="A58" s="482" t="s">
        <x:v>73</x:v>
      </x:c>
      <x:c r="B58" s="14" t="s">
        <x:v>26</x:v>
      </x:c>
      <x:c r="C58" s="14" t="s">
        <x:v>28</x:v>
      </x:c>
      <x:c r="D58" s="14" t="s">
        <x:v>140</x:v>
      </x:c>
      <x:c r="E58" s="56">
        <x:v>6900</x:v>
      </x:c>
      <x:c r="F58" s="16">
        <x:v>6</x:v>
      </x:c>
      <x:c r="G58" s="17">
        <x:v>41400</x:v>
      </x:c>
      <x:c r="H58" s="316">
        <x:v>1</x:v>
      </x:c>
      <x:c r="I58" s="134"/>
      <x:c r="J58" s="323"/>
      <x:c r="K58" s="297"/>
      <x:c r="L58" s="446"/>
      <x:c r="M58" s="123"/>
      <x:c r="N58" s="80">
        <x:f t="shared" si="0"/>
        <x:v>0</x:v>
      </x:c>
      <x:c r="O58" s="86">
        <x:f t="shared" si="1"/>
        <x:v>0</x:v>
      </x:c>
    </x:row>
    <x:row r="59" spans="1:15">
      <x:c r="A59" s="483"/>
      <x:c r="B59" s="32" t="s">
        <x:v>29</x:v>
      </x:c>
      <x:c r="C59" s="32" t="s">
        <x:v>28</x:v>
      </x:c>
      <x:c r="D59" s="32" t="s">
        <x:v>140</x:v>
      </x:c>
      <x:c r="E59" s="55">
        <x:v>6900</x:v>
      </x:c>
      <x:c r="F59" s="34">
        <x:v>6</x:v>
      </x:c>
      <x:c r="G59" s="35">
        <x:v>41400</x:v>
      </x:c>
      <x:c r="H59" s="317">
        <x:v>1</x:v>
      </x:c>
      <x:c r="I59" s="132"/>
      <x:c r="J59" s="324"/>
      <x:c r="K59" s="298"/>
      <x:c r="L59" s="447"/>
      <x:c r="M59" s="125"/>
      <x:c r="N59" s="81">
        <x:f t="shared" si="0"/>
        <x:v>0</x:v>
      </x:c>
      <x:c r="O59" s="40">
        <x:f t="shared" si="1"/>
        <x:v>0</x:v>
      </x:c>
    </x:row>
    <x:row r="60" spans="1:15">
      <x:c r="A60" s="483"/>
      <x:c r="B60" s="32" t="s">
        <x:v>33</x:v>
      </x:c>
      <x:c r="C60" s="32" t="s">
        <x:v>28</x:v>
      </x:c>
      <x:c r="D60" s="32" t="s">
        <x:v>140</x:v>
      </x:c>
      <x:c r="E60" s="55">
        <x:v>6800</x:v>
      </x:c>
      <x:c r="F60" s="34">
        <x:v>6</x:v>
      </x:c>
      <x:c r="G60" s="35">
        <x:v>40800</x:v>
      </x:c>
      <x:c r="H60" s="317">
        <x:v>1</x:v>
      </x:c>
      <x:c r="I60" s="132"/>
      <x:c r="J60" s="324"/>
      <x:c r="K60" s="298"/>
      <x:c r="L60" s="447"/>
      <x:c r="M60" s="125"/>
      <x:c r="N60" s="81">
        <x:f t="shared" si="0"/>
        <x:v>0</x:v>
      </x:c>
      <x:c r="O60" s="40">
        <x:f t="shared" si="1"/>
        <x:v>0</x:v>
      </x:c>
    </x:row>
    <x:row r="61" spans="1:15">
      <x:c r="A61" s="483"/>
      <x:c r="B61" s="32" t="s">
        <x:v>34</x:v>
      </x:c>
      <x:c r="C61" s="32" t="s">
        <x:v>32</x:v>
      </x:c>
      <x:c r="D61" s="32" t="s">
        <x:v>140</x:v>
      </x:c>
      <x:c r="E61" s="55">
        <x:v>15000</x:v>
      </x:c>
      <x:c r="F61" s="34">
        <x:v>4</x:v>
      </x:c>
      <x:c r="G61" s="35">
        <x:v>60000</x:v>
      </x:c>
      <x:c r="H61" s="317">
        <x:v>3</x:v>
      </x:c>
      <x:c r="I61" s="132"/>
      <x:c r="J61" s="324"/>
      <x:c r="K61" s="298"/>
      <x:c r="L61" s="447"/>
      <x:c r="M61" s="125"/>
      <x:c r="N61" s="81">
        <x:f t="shared" si="0"/>
        <x:v>0</x:v>
      </x:c>
      <x:c r="O61" s="40">
        <x:f t="shared" si="1"/>
        <x:v>0</x:v>
      </x:c>
    </x:row>
    <x:row r="62" spans="1:15">
      <x:c r="A62" s="483"/>
      <x:c r="B62" s="32" t="s">
        <x:v>81</x:v>
      </x:c>
      <x:c r="C62" s="32" t="s">
        <x:v>31</x:v>
      </x:c>
      <x:c r="D62" s="32" t="s">
        <x:v>140</x:v>
      </x:c>
      <x:c r="E62" s="55">
        <x:v>5300</x:v>
      </x:c>
      <x:c r="F62" s="34">
        <x:v>6</x:v>
      </x:c>
      <x:c r="G62" s="35">
        <x:v>31800</x:v>
      </x:c>
      <x:c r="H62" s="317"/>
      <x:c r="I62" s="132"/>
      <x:c r="J62" s="324"/>
      <x:c r="K62" s="298"/>
      <x:c r="L62" s="447"/>
      <x:c r="M62" s="125"/>
      <x:c r="N62" s="81">
        <x:f t="shared" si="0"/>
        <x:v>0</x:v>
      </x:c>
      <x:c r="O62" s="40">
        <x:f t="shared" si="1"/>
        <x:v>0</x:v>
      </x:c>
    </x:row>
    <x:row r="63" spans="1:15">
      <x:c r="A63" s="483"/>
      <x:c r="B63" s="32" t="s">
        <x:v>89</x:v>
      </x:c>
      <x:c r="C63" s="32" t="s">
        <x:v>31</x:v>
      </x:c>
      <x:c r="D63" s="32" t="s">
        <x:v>140</x:v>
      </x:c>
      <x:c r="E63" s="55">
        <x:v>6600</x:v>
      </x:c>
      <x:c r="F63" s="34">
        <x:v>6</x:v>
      </x:c>
      <x:c r="G63" s="35">
        <x:v>39600</x:v>
      </x:c>
      <x:c r="H63" s="317">
        <x:v>1</x:v>
      </x:c>
      <x:c r="I63" s="132"/>
      <x:c r="J63" s="324"/>
      <x:c r="K63" s="298"/>
      <x:c r="L63" s="447"/>
      <x:c r="M63" s="125"/>
      <x:c r="N63" s="81">
        <x:f t="shared" si="0"/>
        <x:v>0</x:v>
      </x:c>
      <x:c r="O63" s="40">
        <x:f t="shared" si="1"/>
        <x:v>0</x:v>
      </x:c>
    </x:row>
    <x:row r="64" spans="1:15">
      <x:c r="A64" s="483"/>
      <x:c r="B64" s="32" t="s">
        <x:v>94</x:v>
      </x:c>
      <x:c r="C64" s="32" t="s">
        <x:v>25</x:v>
      </x:c>
      <x:c r="D64" s="32" t="s">
        <x:v>140</x:v>
      </x:c>
      <x:c r="E64" s="55">
        <x:v>5600</x:v>
      </x:c>
      <x:c r="F64" s="34">
        <x:v>10</x:v>
      </x:c>
      <x:c r="G64" s="35">
        <x:v>56000</x:v>
      </x:c>
      <x:c r="H64" s="317"/>
      <x:c r="I64" s="132"/>
      <x:c r="J64" s="324"/>
      <x:c r="K64" s="298"/>
      <x:c r="L64" s="447"/>
      <x:c r="M64" s="125"/>
      <x:c r="N64" s="81">
        <x:f t="shared" si="0"/>
        <x:v>0</x:v>
      </x:c>
      <x:c r="O64" s="40">
        <x:f t="shared" si="1"/>
        <x:v>0</x:v>
      </x:c>
    </x:row>
    <x:row r="65" spans="1:15">
      <x:c r="A65" s="483"/>
      <x:c r="B65" s="32" t="s">
        <x:v>148</x:v>
      </x:c>
      <x:c r="C65" s="32" t="s">
        <x:v>127</x:v>
      </x:c>
      <x:c r="D65" s="32" t="s">
        <x:v>140</x:v>
      </x:c>
      <x:c r="E65" s="55">
        <x:v>7000</x:v>
      </x:c>
      <x:c r="F65" s="34">
        <x:v>6</x:v>
      </x:c>
      <x:c r="G65" s="35">
        <x:f>F65*E65</x:f>
        <x:v>42000</x:v>
      </x:c>
      <x:c r="H65" s="317">
        <x:v>1</x:v>
      </x:c>
      <x:c r="I65" s="37"/>
      <x:c r="J65" s="324"/>
      <x:c r="K65" s="298"/>
      <x:c r="L65" s="447"/>
      <x:c r="M65" s="39"/>
      <x:c r="N65" s="81">
        <x:f t="shared" si="0"/>
        <x:v>0</x:v>
      </x:c>
      <x:c r="O65" s="40">
        <x:f t="shared" si="1"/>
        <x:v>0</x:v>
      </x:c>
    </x:row>
    <x:row r="66" spans="1:15">
      <x:c r="A66" s="483"/>
      <x:c r="B66" s="32" t="s">
        <x:v>42</x:v>
      </x:c>
      <x:c r="C66" s="32" t="s">
        <x:v>41</x:v>
      </x:c>
      <x:c r="D66" s="32" t="s">
        <x:v>140</x:v>
      </x:c>
      <x:c r="E66" s="55">
        <x:v>14100</x:v>
      </x:c>
      <x:c r="F66" s="34">
        <x:v>4</x:v>
      </x:c>
      <x:c r="G66" s="35">
        <x:v>56400</x:v>
      </x:c>
      <x:c r="H66" s="317">
        <x:v>1</x:v>
      </x:c>
      <x:c r="I66" s="132"/>
      <x:c r="J66" s="324"/>
      <x:c r="K66" s="298"/>
      <x:c r="L66" s="447"/>
      <x:c r="M66" s="125"/>
      <x:c r="N66" s="81">
        <x:f t="shared" si="0"/>
        <x:v>0</x:v>
      </x:c>
      <x:c r="O66" s="40">
        <x:f t="shared" si="1"/>
        <x:v>0</x:v>
      </x:c>
    </x:row>
    <x:row r="67" spans="1:15">
      <x:c r="A67" s="483"/>
      <x:c r="B67" s="32" t="s">
        <x:v>38</x:v>
      </x:c>
      <x:c r="C67" s="32" t="s">
        <x:v>41</x:v>
      </x:c>
      <x:c r="D67" s="32" t="s">
        <x:v>140</x:v>
      </x:c>
      <x:c r="E67" s="55">
        <x:v>15100</x:v>
      </x:c>
      <x:c r="F67" s="34">
        <x:v>4</x:v>
      </x:c>
      <x:c r="G67" s="35">
        <x:v>60400</x:v>
      </x:c>
      <x:c r="H67" s="317"/>
      <x:c r="I67" s="132"/>
      <x:c r="J67" s="324"/>
      <x:c r="K67" s="298"/>
      <x:c r="L67" s="447">
        <x:v>1</x:v>
      </x:c>
      <x:c r="M67" s="125"/>
      <x:c r="N67" s="81">
        <x:f t="shared" si="0"/>
        <x:v>1</x:v>
      </x:c>
      <x:c r="O67" s="40">
        <x:f t="shared" si="1"/>
        <x:v>15100</x:v>
      </x:c>
    </x:row>
    <x:row r="68" spans="1:15" ht="17.25">
      <x:c r="A68" s="484"/>
      <x:c r="B68" s="41" t="s">
        <x:v>39</x:v>
      </x:c>
      <x:c r="C68" s="41" t="s">
        <x:v>32</x:v>
      </x:c>
      <x:c r="D68" s="41" t="s">
        <x:v>140</x:v>
      </x:c>
      <x:c r="E68" s="76">
        <x:v>15300</x:v>
      </x:c>
      <x:c r="F68" s="24">
        <x:v>4</x:v>
      </x:c>
      <x:c r="G68" s="35">
        <x:v>61200</x:v>
      </x:c>
      <x:c r="H68" s="319">
        <x:v>1</x:v>
      </x:c>
      <x:c r="I68" s="132"/>
      <x:c r="J68" s="326"/>
      <x:c r="K68" s="300"/>
      <x:c r="L68" s="449"/>
      <x:c r="M68" s="124"/>
      <x:c r="N68" s="83">
        <x:f t="shared" si="0"/>
        <x:v>0</x:v>
      </x:c>
      <x:c r="O68" s="30">
        <x:f t="shared" si="1"/>
        <x:v>0</x:v>
      </x:c>
    </x:row>
    <x:row r="69" spans="1:15">
      <x:c r="A69" s="487" t="s">
        <x:v>66</x:v>
      </x:c>
      <x:c r="B69" s="14" t="s">
        <x:v>77</x:v>
      </x:c>
      <x:c r="C69" s="43" t="s">
        <x:v>37</x:v>
      </x:c>
      <x:c r="D69" s="14" t="s">
        <x:v>140</x:v>
      </x:c>
      <x:c r="E69" s="56">
        <x:v>11000</x:v>
      </x:c>
      <x:c r="F69" s="16">
        <x:v>10</x:v>
      </x:c>
      <x:c r="G69" s="45">
        <x:v>110000</x:v>
      </x:c>
      <x:c r="H69" s="316">
        <x:v>4</x:v>
      </x:c>
      <x:c r="I69" s="134"/>
      <x:c r="J69" s="323">
        <x:v>6</x:v>
      </x:c>
      <x:c r="K69" s="297"/>
      <x:c r="L69" s="446">
        <x:v>10</x:v>
      </x:c>
      <x:c r="M69" s="123"/>
      <x:c r="N69" s="80">
        <x:f t="shared" si="0"/>
        <x:v>16</x:v>
      </x:c>
      <x:c r="O69" s="22">
        <x:f t="shared" si="1"/>
        <x:v>176000</x:v>
      </x:c>
    </x:row>
    <x:row r="70" spans="1:15" ht="17.25">
      <x:c r="A70" s="488"/>
      <x:c r="B70" s="374" t="s">
        <x:v>129</x:v>
      </x:c>
      <x:c r="C70" s="179" t="s">
        <x:v>37</x:v>
      </x:c>
      <x:c r="D70" s="209" t="s">
        <x:v>140</x:v>
      </x:c>
      <x:c r="E70" s="262">
        <x:v>14000</x:v>
      </x:c>
      <x:c r="F70" s="210">
        <x:v>10</x:v>
      </x:c>
      <x:c r="G70" s="354">
        <x:v>140000</x:v>
      </x:c>
      <x:c r="H70" s="423"/>
      <x:c r="I70" s="428"/>
      <x:c r="J70" s="424"/>
      <x:c r="K70" s="425"/>
      <x:c r="L70" s="450"/>
      <x:c r="M70" s="429"/>
      <x:c r="N70" s="83">
        <x:f t="shared" si="0"/>
        <x:v>0</x:v>
      </x:c>
      <x:c r="O70" s="30">
        <x:f t="shared" si="1"/>
        <x:v>0</x:v>
      </x:c>
    </x:row>
    <x:row r="71" spans="1:15" ht="17.25">
      <x:c r="A71" s="489"/>
      <x:c r="B71" s="41" t="s">
        <x:v>90</x:v>
      </x:c>
      <x:c r="C71" s="41" t="s">
        <x:v>37</x:v>
      </x:c>
      <x:c r="D71" s="41" t="s">
        <x:v>140</x:v>
      </x:c>
      <x:c r="E71" s="47">
        <x:v>19000</x:v>
      </x:c>
      <x:c r="F71" s="48">
        <x:v>10</x:v>
      </x:c>
      <x:c r="G71" s="67">
        <x:v>190000</x:v>
      </x:c>
      <x:c r="H71" s="320">
        <x:v>1</x:v>
      </x:c>
      <x:c r="I71" s="135"/>
      <x:c r="J71" s="327"/>
      <x:c r="K71" s="301"/>
      <x:c r="L71" s="451"/>
      <x:c r="M71" s="126"/>
      <x:c r="N71" s="83">
        <x:f t="shared" si="0"/>
        <x:v>0</x:v>
      </x:c>
      <x:c r="O71" s="42">
        <x:f t="shared" si="1"/>
        <x:v>0</x:v>
      </x:c>
    </x:row>
    <x:row r="72" spans="1:15">
      <x:c r="A72" s="482" t="s">
        <x:v>40</x:v>
      </x:c>
      <x:c r="B72" s="14" t="s">
        <x:v>100</x:v>
      </x:c>
      <x:c r="C72" s="14" t="s">
        <x:v>44</x:v>
      </x:c>
      <x:c r="D72" s="14" t="s">
        <x:v>68</x:v>
      </x:c>
      <x:c r="E72" s="15">
        <x:v>4000</x:v>
      </x:c>
      <x:c r="F72" s="16">
        <x:v>1</x:v>
      </x:c>
      <x:c r="G72" s="45">
        <x:v>4000</x:v>
      </x:c>
      <x:c r="H72" s="316">
        <x:v>1</x:v>
      </x:c>
      <x:c r="I72" s="131"/>
      <x:c r="J72" s="323"/>
      <x:c r="K72" s="297"/>
      <x:c r="L72" s="446"/>
      <x:c r="M72" s="123"/>
      <x:c r="N72" s="84">
        <x:f t="shared" si="0"/>
        <x:v>0</x:v>
      </x:c>
      <x:c r="O72" s="86">
        <x:f t="shared" si="1"/>
        <x:v>0</x:v>
      </x:c>
    </x:row>
    <x:row r="73" spans="1:15">
      <x:c r="A73" s="483"/>
      <x:c r="B73" s="32" t="s">
        <x:v>110</x:v>
      </x:c>
      <x:c r="C73" s="32" t="s">
        <x:v>44</x:v>
      </x:c>
      <x:c r="D73" s="32" t="s">
        <x:v>68</x:v>
      </x:c>
      <x:c r="E73" s="33">
        <x:v>4000</x:v>
      </x:c>
      <x:c r="F73" s="34">
        <x:v>1</x:v>
      </x:c>
      <x:c r="G73" s="35">
        <x:v>4000</x:v>
      </x:c>
      <x:c r="H73" s="321">
        <x:v>1</x:v>
      </x:c>
      <x:c r="I73" s="132"/>
      <x:c r="J73" s="324"/>
      <x:c r="K73" s="298"/>
      <x:c r="L73" s="447"/>
      <x:c r="M73" s="125"/>
      <x:c r="N73" s="81">
        <x:f t="shared" si="0"/>
        <x:v>0</x:v>
      </x:c>
      <x:c r="O73" s="40">
        <x:f t="shared" si="1"/>
        <x:v>0</x:v>
      </x:c>
    </x:row>
    <x:row r="74" spans="1:15">
      <x:c r="A74" s="483"/>
      <x:c r="B74" s="32" t="s">
        <x:v>43</x:v>
      </x:c>
      <x:c r="C74" s="32" t="s">
        <x:v>44</x:v>
      </x:c>
      <x:c r="D74" s="32" t="s">
        <x:v>68</x:v>
      </x:c>
      <x:c r="E74" s="33">
        <x:v>4000</x:v>
      </x:c>
      <x:c r="F74" s="34">
        <x:v>1</x:v>
      </x:c>
      <x:c r="G74" s="35">
        <x:v>4000</x:v>
      </x:c>
      <x:c r="H74" s="321">
        <x:v>1</x:v>
      </x:c>
      <x:c r="I74" s="132"/>
      <x:c r="J74" s="324"/>
      <x:c r="K74" s="298"/>
      <x:c r="L74" s="447"/>
      <x:c r="M74" s="125"/>
      <x:c r="N74" s="81">
        <x:f t="shared" si="0"/>
        <x:v>0</x:v>
      </x:c>
      <x:c r="O74" s="40">
        <x:f t="shared" si="1"/>
        <x:v>0</x:v>
      </x:c>
    </x:row>
    <x:row r="75" spans="1:15" ht="17.25">
      <x:c r="A75" s="484"/>
      <x:c r="B75" s="41" t="s">
        <x:v>12</x:v>
      </x:c>
      <x:c r="C75" s="41" t="s">
        <x:v>44</x:v>
      </x:c>
      <x:c r="D75" s="41" t="s">
        <x:v>68</x:v>
      </x:c>
      <x:c r="E75" s="47">
        <x:v>4300</x:v>
      </x:c>
      <x:c r="F75" s="48">
        <x:v>1</x:v>
      </x:c>
      <x:c r="G75" s="49">
        <x:v>4300</x:v>
      </x:c>
      <x:c r="H75" s="322">
        <x:v>1.5</x:v>
      </x:c>
      <x:c r="I75" s="136"/>
      <x:c r="J75" s="328"/>
      <x:c r="K75" s="301"/>
      <x:c r="L75" s="451"/>
      <x:c r="M75" s="126"/>
      <x:c r="N75" s="83">
        <x:f t="shared" si="0"/>
        <x:v>0</x:v>
      </x:c>
      <x:c r="O75" s="42">
        <x:f t="shared" si="1"/>
        <x:v>0</x:v>
      </x:c>
    </x:row>
    <x:row r="76" spans="1:15" ht="17.25">
      <x:c r="A76" s="54"/>
      <x:c r="B76" s="54"/>
      <x:c r="C76" s="54"/>
      <x:c r="D76" s="54"/>
      <x:c r="E76" s="54">
        <x:f>SUM(E5:E75)</x:f>
        <x:v>348992.21499999997</x:v>
      </x:c>
      <x:c r="F76" s="54">
        <x:f t="shared" ref="F76:N76" si="5">SUM(F5:F75)</x:f>
        <x:v>76689</x:v>
      </x:c>
      <x:c r="G76" s="54">
        <x:f t="shared" si="5"/>
        <x:v>3692570</x:v>
      </x:c>
      <x:c r="H76" s="54">
        <x:f t="shared" si="5"/>
        <x:v>12419.5</x:v>
      </x:c>
      <x:c r="I76" s="54">
        <x:f t="shared" si="5"/>
        <x:v>0</x:v>
      </x:c>
      <x:c r="J76" s="54">
        <x:f t="shared" si="5"/>
        <x:v>11</x:v>
      </x:c>
      <x:c r="K76" s="54">
        <x:f t="shared" si="5"/>
        <x:v>0</x:v>
      </x:c>
      <x:c r="L76" s="54">
        <x:f t="shared" si="5"/>
        <x:v>3523</x:v>
      </x:c>
      <x:c r="M76" s="54">
        <x:f t="shared" si="5"/>
        <x:v>0</x:v>
      </x:c>
      <x:c r="N76" s="109">
        <x:f t="shared" si="5"/>
        <x:v>3534</x:v>
      </x:c>
      <x:c r="O76" s="108">
        <x:f>SUM(O5:O75)</x:f>
        <x:v>414750</x:v>
      </x:c>
    </x:row>
  </x:sheetData>
  <x:mergeCells count="7">
    <x:mergeCell ref="A72:A75"/>
    <x:mergeCell ref="A1:O2"/>
    <x:mergeCell ref="A41:A42"/>
    <x:mergeCell ref="A43:A57"/>
    <x:mergeCell ref="A58:A68"/>
    <x:mergeCell ref="A69:A71"/>
    <x:mergeCell ref="A5:A4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2</cp:revision>
  <cp:lastPrinted>2025-01-14T08:06:13.000</cp:lastPrinted>
  <dcterms:created xsi:type="dcterms:W3CDTF">2023-09-22T00:54:38.000</dcterms:created>
  <dcterms:modified xsi:type="dcterms:W3CDTF">2025-02-07T00:07:48.142</dcterms:modified>
  <cp:version>1000.0100.01</cp:version>
</cp:coreProperties>
</file>