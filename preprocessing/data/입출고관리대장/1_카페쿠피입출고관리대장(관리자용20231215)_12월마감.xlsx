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97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n\Desktop\KHUFFEE\KHUFFEE\data\입출고관리대장\"/>
    </mc:Choice>
  </mc:AlternateContent>
  <x:bookViews>
    <x:workbookView xWindow="0" yWindow="0" windowWidth="4294939900" windowHeight="17840" activeTab="10"/>
  </x:bookViews>
  <x:sheets>
    <x:sheet name="본사창고" sheetId="1" r:id="rId4"/>
    <x:sheet name="교육용,R&amp;D,삼의원(잇다카페)" sheetId="2" r:id="rId5"/>
    <x:sheet name="푸른솔" sheetId="3" r:id="rId6"/>
    <x:sheet name="의과대학" sheetId="4" r:id="rId7"/>
    <x:sheet name="중앙도서관" sheetId="5" r:id="rId8"/>
    <x:sheet name="학생회관" sheetId="6" r:id="rId9"/>
    <x:sheet name="멀티미디어관" sheetId="7" r:id="rId10"/>
    <x:sheet name="제2기숙사" sheetId="8" r:id="rId11"/>
    <x:sheet name="선승관" sheetId="9" r:id="rId12"/>
    <x:sheet name="예술디자인대" sheetId="10" r:id="rId13"/>
    <x:sheet name="공학관" sheetId="11" r:id="rId1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<x:sst xmlns:r="http://schemas.openxmlformats.org/officeDocument/2006/relationships" xmlns:c="http://schemas.openxmlformats.org/drawingml/2006/chart" xmlns:x="http://schemas.openxmlformats.org/spreadsheetml/2006/main" count="2236" uniqueCount="155">
  <x:si>
    <x:r>
      <x:t xml:space="preserve">21cm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종이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</x:si>
  <x:si>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18cm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개별포장커피스틱</x:t>
    </x:r>
  </x:si>
  <x:si>
    <x:r>
      <x:t xml:space="preserve">25cm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</x:si>
  <x:si>
    <x:r>
      <x:t xml:space="preserve">opp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비닐봉투</x:t>
    </x:r>
    <x:r>
      <x:rPr>
        <x:rFont val="Arial"/>
        <x:sz val="10"/>
        <x:color rgb="ff000000"/>
      </x:rPr>
      <x:t xml:space="preserve"> 18*25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</x:si>
  <x:si>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</x:si>
  <x:si>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t>성원애드피아</x:t>
  </x:si>
  <x:si>
    <x:t>손맛커피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</x:si>
  <x:si>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홍차라떼</x:t>
    </x:r>
  </x:si>
  <x:si>
    <x:t>세미기업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</x:si>
  <x:si>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커피머신세정제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</x:si>
  <x:si>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콤부차석류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</x:si>
  <x:si>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콤부차오리지날</x:t>
    </x:r>
  </x:si>
  <x:si>
    <x:t>비스토리코리아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</x:si>
  <x:si>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갈색무지냅킨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</x:si>
  <x:si>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콤부차진저레몬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</x:si>
  <x:si>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녹차라떼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</x:si>
  <x:si>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청귤베이스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</x:si>
  <x:si>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
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</x:si>
  <x:si>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
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</x:si>
  <x:si>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
</x:t>
    </x:r>
  </x:si>
  <x:si>
    <x:r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곡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</x:si>
  <x:si>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</x:si>
  <x:si>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</x:si>
  <x:si>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
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</x:si>
  <x:si>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</x:si>
  <x:si>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요거에스플레인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</x:si>
  <x:si>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다크초코파우더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</x:si>
  <x:si>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민트초코파우더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</x:si>
  <x:si>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슈가시럽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</x:si>
  <x:si>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고구마페이스트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</x:si>
  <x:si>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흑당베이스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</x:si>
  <x:si>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수박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</x:si>
  <x:si>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토피넛파우더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</x:si>
  <x:si>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적립쿠폰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</x:si>
  <x:si>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캐모마일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</x:si>
  <x:si>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입고단가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</x:si>
  <x:si>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손맛커피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</x:si>
  <x:si>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현재고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금액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</x:si>
  <x:si>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세미기업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</x:si>
  <x:si>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자몽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베이스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</x:si>
  <x:si>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</x:si>
  <x:si>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성원애드피아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</x:si>
  <x:si>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디카페인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</x:si>
  <x:si>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현재고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</x:si>
  <x:si>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비스토리코리아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</x:si>
  <x:si>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페퍼민트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</x:si>
  <x:si>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신규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원두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</x:si>
  <x:si>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발주금액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</x:si>
  <x:si>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입고단위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</x:si>
  <x:si>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입고단위단가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</x:si>
  <x:si>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전월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재고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</x:si>
  <x:si>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입고량
</x:t>
    </x:r>
  </x:si>
  <x:si>
    <x:t>1box=12ea</x:t>
  </x:si>
  <x:si>
    <x:t>1box=3200ea</x:t>
  </x:si>
  <x:si>
    <x:t>1box=1000ea</x:t>
  </x:si>
  <x:si>
    <x:t>1box=200ea</x:t>
  </x:si>
  <x:si>
    <x:t>1box=4000ea</x:t>
  </x:si>
  <x:si>
    <x:t>500g x 6ea</x:t>
  </x:si>
  <x:si>
    <x:t>1box=6ea</x:t>
  </x:si>
  <x:si>
    <x:t>1.89L x 4ea</x:t>
  </x:si>
  <x:si>
    <x:t>1box=10kg</x:t>
  </x:si>
  <x:si>
    <x:t>1box=10pack</x:t>
  </x:si>
  <x:si>
    <x:t>1box=20ea</x:t>
  </x:si>
  <x:si>
    <x:t>1pack=200ea</x:t>
  </x:si>
  <x:si>
    <x:t>1kg x 10ea</x:t>
  </x:si>
  <x:si>
    <x:t>1box=8000ea</x:t>
  </x:si>
  <x:si>
    <x:t>1box=5000ea</x:t>
  </x:si>
  <x:si>
    <x:t>1kg x 4ea</x:t>
  </x:si>
  <x:si>
    <x:t>1.8kg x 6ea</x:t>
  </x:si>
  <x:si>
    <x:t>1kg x 12ea</x:t>
  </x:si>
  <x:si>
    <x:t>1box=8ea</x:t>
  </x:si>
  <x:si>
    <x:t>1box = 12ea</x:t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</x:si>
  <x:si>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  <x:r>
      <x:rPr>
        <x:rFont val="Arial"/>
        <x:sz val="10"/>
        <x:color rgb="ff000000"/>
      </x:rPr>
      <x:t xml:space="preserve"> 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도인쇄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</x:si>
  <x:si>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(93Ø)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</x:si>
  <x:si>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립톤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복숭아파우더</x:t>
    </x:r>
    <x:r>
      <x:rPr>
        <x:rFont val="Arial"/>
        <x:sz val="10"/>
        <x:color rgb="ff000000"/>
      </x:rPr>
      <x:t>(907g)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</x:si>
  <x:si>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돔뚜껑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</x:si>
  <x:si>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잉글리쉬블랙퍼스트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</x:si>
  <x:si>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종이컵뚜껑</x:t>
    </x:r>
    <x:r>
      <x:rPr>
        <x:rFont val="Arial"/>
        <x:sz val="10"/>
        <x:color rgb="ff000000"/>
      </x:rPr>
      <x:t xml:space="preserve"> (12,16oz)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</x:si>
  <x:si>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평뚜껑</x:t>
    </x:r>
    <x:r>
      <x:rPr>
        <x:rFont val="Arial"/>
        <x:sz val="10"/>
        <x:color rgb="ff000000"/>
      </x:rPr>
      <x:t>(98Ø)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</x:si>
  <x:si>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</x:si>
  <x:si>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캐리어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무지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크라프트지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</x:si>
  <x:si>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 xml:space="preserve">발주합계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부가세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포함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</x:si>
  <x:si>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페트</x:t>
    </x:r>
    <x:r>
      <x:rPr>
        <x:rFont val="Arial"/>
        <x:sz val="10"/>
        <x:color rgb="ff000000"/>
      </x:rPr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컵</x:t>
    </x:r>
    <x:r>
      <x:rPr>
        <x:rFont val="Arial"/>
        <x:sz val="10"/>
        <x:color rgb="ff000000"/>
      </x:rPr>
      <x:t>(14oz)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</x:si>
  <x:si>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헤이즐럿시럽</x:t>
    </x:r>
    <x:r>
      <x:rPr>
        <x:rFont val="Arial"/>
        <x:sz val="10"/>
        <x:color rgb="ff000000"/>
      </x:rPr>
      <x:t>(700ml)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</x:si>
  <x:si>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메티에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바닐라시럽</x:t>
    </x:r>
    <x:r>
      <x:rPr>
        <x:rFont val="Arial"/>
        <x:sz val="10"/>
        <x:color rgb="ff000000"/>
      </x:rPr>
      <x:t>(700ml)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</x:si>
  <x:si>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투명</x:t>
    </x:r>
    <x:r>
      <x:rPr>
        <x:rFont val="Arial"/>
        <x:sz val="10"/>
        <x:color rgb="ff000000"/>
      </x:rPr>
      <x:t>)</x:t>
    </x:r>
  </x:si>
  <x:si>
    <x:r>
      <x:t xml:space="preserve">25cm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일자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블랙</x:t>
    </x:r>
    <x:r>
      <x:rPr>
        <x:rFont val="Arial"/>
        <x:sz val="10"/>
        <x:color rgb="ff000000"/>
      </x:rPr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</x:si>
  <x:si>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(16oz)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</x:si>
  <x:si>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(-12oz)</x:t>
    </x:r>
  </x:si>
  <x:si>
    <x:t>카페 쿠피 12월 발주 관리 대장 (교육용,R&amp;D,삼의원(잇다카페))</x:t>
  </x:si>
  <x:si>
    <x:t>pack</x:t>
  </x:si>
  <x:si>
    <x:r>
      <x:t>10/13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</x:si>
  <x:si>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2주차 발주</x:t>
  </x:si>
  <x:si>
    <x:t>월 발주량</x:t>
  </x:si>
  <x:si>
    <x:t>월 발주 금액</x:t>
  </x:si>
  <x:si>
    <x:t>입고단가</x:t>
  </x:si>
  <x:si>
    <x:t>1주차 발주</x:t>
  </x:si>
  <x:si>
    <x:t>3주차 발주</x:t>
  </x:si>
  <x:si>
    <x:t>4주차 발주</x:t>
  </x:si>
  <x:si>
    <x:t>5주차 발주</x:t>
  </x:si>
  <x:si>
    <x:t>전월 재고</x:t>
  </x:si>
  <x:si>
    <x:t>입고단위단가</x:t>
  </x:si>
  <x:si>
    <x:t>입고단위</x:t>
  </x:si>
  <x:si>
    <x:t>단위</x:t>
  </x:si>
  <x:si>
    <x:t>품목명</x:t>
  </x:si>
  <x:si>
    <x:t>규격</x:t>
  </x:si>
  <x:si>
    <x:t>협력사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</x:si>
  <x:si>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협력사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</x:si>
  <x:si>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휴럼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</x:si>
  <x:si>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비고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</x:si>
  <x:si>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발주량</x:t>
    </x:r>
  </x:si>
  <x:si>
    <x:t>휴럼</x:t>
  </x:si>
  <x:si>
    <x:t xml:space="preserve">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</x:si>
  <x:si>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삼다수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</x:si>
  <x:si>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</x:si>
  <x:si>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</x:si>
  <x:si>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r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</x:si>
  <x:si>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</x:si>
  <x:si>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r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주차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출고량
</x:t>
    </x:r>
  </x:si>
  <x:si>
    <x:t>카페 쿠피 12월 발주 관리 대장 (제2기숙사)</x:t>
  </x:si>
  <x:si>
    <x:t>카페 쿠피 12월 발주 관리 대장 (의과대학)</x:t>
  </x:si>
  <x:si>
    <x:t>카페 쿠피 12월 발주 관리 대장 (학생회관)</x:t>
  </x:si>
  <x:si>
    <x:t>카페 쿠피 12월 발주 관리 대장 (예술디자인대)</x:t>
  </x:si>
  <x:si>
    <x:t>카페 쿠피 12월 발주 관리 대장 (중앙도서관)</x:t>
  </x:si>
  <x:si>
    <x:t>카페 쿠피 12월 발주 관리 대장 (푸른솔)</x:t>
  </x:si>
  <x:si>
    <x:t>카페 쿠피 12월 발주 관리 대장 (선승관)</x:t>
  </x:si>
  <x:si>
    <x:t>카페 쿠피 12월 입출고 관리 대장 (본사창고)</x:t>
  </x:si>
  <x:si>
    <x:t>카페 쿠피 12월 발주 관리 대장 (멀티미디어관)</x:t>
  </x:si>
  <x:si>
    <x:t>카페 쿠피 12월 발주 관리 대장 (공학관)</x:t>
  </x:si>
  <x:si>
    <x:t>ea</x:t>
  </x:si>
  <x:si>
    <x:t>1ea</x:t>
  </x:si>
  <x:si>
    <x:t>kg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</x:si>
  <x:si>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종이컵</x:t>
    </x:r>
    <x:r>
      <x:rPr>
        <x:rFont val="Arial"/>
        <x:sz val="10"/>
        <x:color rgb="ff000000"/>
      </x:rPr>
      <x:t>-16oz</x:t>
    </x:r>
  </x:si>
  <x:si>
    <x:r>
      <x:t xml:space="preserve">21cm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버블티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스트로우</x:t>
    </x:r>
    <x:r>
      <x:rPr>
        <x:rFont val="Arial"/>
        <x:sz val="10"/>
        <x:color rgb="ff000000"/>
      </x:rPr>
      <x:t xml:space="preserve"> 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</x:si>
  <x:si>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유통기한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스티커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</x:si>
  <x:si>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쿠키앤크림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파우더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</x:si>
  <x:si>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초정탄산수</x:t>
    </x:r>
    <x:r>
      <x:rPr>
        <x:rFont val="Arial"/>
        <x:sz val="10"/>
        <x:color rgb="ff000000"/>
      </x:rPr>
      <x:t>(1.5L)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</x:si>
  <x:si>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레몬에이드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</x:si>
  <x:si>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아이스컵</x:t>
    </x:r>
    <x:r>
      <x:rPr>
        <x:rFont val="Arial"/>
        <x:sz val="10"/>
        <x:color rgb="ff000000"/>
      </x:rPr>
      <x:t>(24oz)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</x:si>
  <x:si>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딸기스무디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</x:si>
  <x:si>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t>성유엔터프라이즈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</x:si>
  <x:si>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카라멜소스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</x:si>
  <x:si>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망고스무디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</x:si>
  <x:si>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베버시티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청포도에이드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</x:si>
  <x:si>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베리믹스스무디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원액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</x:si>
  <x:si>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토라니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초코소스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</x:si>
  <x:si>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티칸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루이보스오렌지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</x:si>
  <x:si>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입고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금액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</x:si>
  <x:si>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0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 xml:space="preserve">금액
</x:t>
    </x:r>
  </x:si>
  <x:si>
    <x:r>
      <x:t>12/16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홀더</x:t>
    </x:r>
  </x:si>
  <x:si>
    <x:t>21cm 종이 스트로우</x:t>
  </x:si>
  <x:si>
    <x:t>1bundle=1000ea</x:t>
  </x:si>
  <x:si>
    <x:t>1bundle=500ea</x:t>
  </x:si>
  <x:si>
    <x:t>15cm 개별포장커피스틱</x:t>
  </x:si>
  <x:si>
    <x:t>1box=10000ea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</x:si>
</x:sst>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_-* #,##0.0_-;\-* #,##0.0_-;_-* &quot;-&quot;_-;_-@_-"/>
    <x:numFmt numFmtId="165" formatCode="_-* #,##0.000_-;\-* #,##0.000_-;_-* &quot;-&quot;_-;_-@_-"/>
    <x:numFmt numFmtId="166" formatCode="_-* #,##0.00_-;\-* #,##0.00_-;_-* &quot;-&quot;_-;_-@_-"/>
  </x:numFmts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x:font>
      <x:name val="Arial"/>
      <x:sz val="9"/>
      <x:color rgb="ff000000"/>
      <x:b val="1"/>
    </x:font>
    <x:font>
      <x:name val="돋움"/>
      <x:sz val="9"/>
      <x:color rgb="ff000000"/>
      <x:b val="1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x:font>
      <x:name val="맑은 고딕"/>
      <x:sz val="14"/>
      <x:color rgb="ff000000"/>
      <x:b val="1"/>
    </x:fo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d0cece"/>
        <x:bgColor indexed="64"/>
      </x:patternFill>
    </x:fill>
  </x:fills>
  <x:borders count="5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rgb="ff000000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41" fontId="0" fillId="0" borderId="0">
      <x:alignment horizontal="general" vertical="center"/>
    </x:xf>
  </x:cellStyleXfs>
  <x:cellXfs count="237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x:xf numFmtId="41" fontId="0" fillId="0" borderId="0" xfId="2" applyNumberFormat="1" applyFont="1" applyFill="1">
      <x:alignment horizontal="general" vertical="center"/>
    </x:xf>
    <x:xf numFmtId="41" fontId="0" fillId="0" borderId="1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41" fontId="9" fillId="0" borderId="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2" xfId="2" applyNumberFormat="1" applyFont="1" applyBorder="1">
      <x:alignment horizontal="general" vertical="center"/>
    </x:xf>
    <x:xf numFmtId="41" fontId="9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17" xfId="2" applyNumberFormat="1" applyFont="1" applyBorder="1">
      <x:alignment horizontal="general" vertical="center"/>
    </x:xf>
    <x:xf numFmtId="41" fontId="9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22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0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6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5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6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2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3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3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8" xfId="2" applyNumberFormat="1" applyFont="1" applyFill="1" applyBorder="1" applyAlignment="1" applyProtection="1">
      <x:alignment horizontal="left" vertical="center"/>
      <x:protection locked="0"/>
    </x:xf>
    <x:xf numFmtId="41" fontId="9" fillId="0" borderId="8" xfId="2" applyNumberFormat="1" applyFont="1" applyFill="1" applyBorder="1" applyAlignment="1" applyProtection="1">
      <x:alignment horizontal="left" vertical="center"/>
      <x:protection locked="0"/>
    </x:xf>
    <x:xf numFmtId="41" fontId="9" fillId="0" borderId="18" xfId="2" applyNumberFormat="1" applyFont="1" applyFill="1" applyBorder="1" applyAlignment="1" applyProtection="1">
      <x:alignment horizontal="left" vertical="center"/>
      <x:protection locked="0"/>
    </x:xf>
    <x:xf numFmtId="41" fontId="9" fillId="0" borderId="18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13" xfId="2" applyNumberFormat="1" applyFont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9" fillId="0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18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8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37" xfId="2" applyNumberFormat="1" applyFont="1" applyBorder="1">
      <x:alignment horizontal="general" vertical="center"/>
    </x:xf>
    <x:xf numFmtId="41" fontId="0" fillId="0" borderId="29" xfId="2" applyNumberFormat="1" applyFont="1" applyBorder="1">
      <x:alignment horizontal="general" vertical="center"/>
    </x:xf>
    <x:xf numFmtId="41" fontId="0" fillId="0" borderId="38" xfId="2" applyNumberFormat="1" applyFont="1" applyBorder="1">
      <x:alignment horizontal="general" vertical="center"/>
    </x:xf>
    <x:xf numFmtId="41" fontId="11" fillId="0" borderId="39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4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4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4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45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5" borderId="4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11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4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4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3" borderId="1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19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19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8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8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4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4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2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2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5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5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6" fontId="0" fillId="0" borderId="0" xfId="0" applyNumberFormat="1">
      <x:alignment horizontal="general" vertical="center"/>
    </x:xf>
    <x:xf numFmtId="166" fontId="11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2" borderId="2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2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3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3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3" borderId="26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3" borderId="26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164" fontId="11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2" borderId="15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5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2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2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4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0" borderId="17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7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40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40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41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41" xfId="2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7" borderId="43" xfId="2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7" borderId="43" xfId="2" applyNumberFormat="1" applyFont="1" applyFill="1" applyBorder="1" applyAlignment="1" applyProtection="1">
          <x:alignment horizontal="right" vertical="center"/>
        </x:xf>
      </mc:Fallback>
    </mc:AlternateContent>
    <x:xf numFmtId="41" fontId="11" fillId="0" borderId="48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8" borderId="4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4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41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41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8" borderId="43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8" borderId="43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x:xf numFmtId="41" fontId="0" fillId="0" borderId="49" xfId="2" applyNumberFormat="1" applyFont="1" applyBorder="1">
      <x:alignment horizontal="general" vertical="center"/>
    </x:xf>
    <x:xf numFmtId="41" fontId="11" fillId="0" borderId="6" xfId="2" applyNumberFormat="1" applyFont="1" applyBorder="1">
      <x:alignment horizontal="general" vertical="center"/>
    </x:xf>
    <x:xf numFmtId="41" fontId="11" fillId="0" borderId="0" xfId="0" applyNumberFormat="1" applyFont="1">
      <x:alignment horizontal="general" vertical="center"/>
    </x:xf>
    <x:xf numFmtId="0" fontId="0" fillId="0" borderId="0" xfId="1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" xfId="2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" xfId="2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4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4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3" borderId="7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3" borderId="7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4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4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5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5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7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7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8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8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6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6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6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2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2" xfId="2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3" xfId="2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3" xfId="2" applyNumberFormat="1" applyFont="1" applyBorder="1" applyAlignment="1">
          <x:alignment horizontal="center" vertical="center" wrapText="1"/>
        </x:xf>
      </mc:Fallback>
    </mc:AlternateContent>
    <x:xf numFmtId="41" fontId="9" fillId="0" borderId="17" xfId="2" applyNumberFormat="1" applyFont="1" applyBorder="1">
      <x:alignment horizontal="general" vertical="center"/>
    </x:xf>
    <x:xf numFmtId="41" fontId="9" fillId="0" borderId="22" xfId="2" applyNumberFormat="1" applyFont="1" applyBorder="1">
      <x:alignment horizontal="general" vertical="center"/>
    </x:xf>
    <x:xf numFmtId="41" fontId="9" fillId="0" borderId="12" xfId="2" applyNumberFormat="1" applyFont="1" applyBorder="1">
      <x:alignment horizontal="general" vertical="center"/>
    </x:xf>
    <x:xf numFmtId="41" fontId="9" fillId="0" borderId="9" xfId="2" applyNumberFormat="1" applyFont="1" applyBorder="1">
      <x:alignment horizontal="general" vertical="center"/>
    </x:xf>
    <x:xf numFmtId="41" fontId="9" fillId="0" borderId="35" xfId="2" applyNumberFormat="1" applyFont="1" applyBorder="1">
      <x:alignment horizontal="general" vertical="center"/>
    </x:xf>
    <x:xf numFmtId="41" fontId="9" fillId="0" borderId="31" xfId="2" applyNumberFormat="1" applyFont="1" applyBorder="1">
      <x:alignment horizontal="general" vertical="center"/>
    </x:xf>
    <x:xf numFmtId="41" fontId="9" fillId="0" borderId="37" xfId="2" applyNumberFormat="1" applyFont="1" applyBorder="1">
      <x:alignment horizontal="general" vertical="center"/>
    </x:xf>
    <x:xf numFmtId="41" fontId="9" fillId="0" borderId="49" xfId="2" applyNumberFormat="1" applyFont="1" applyBorder="1">
      <x:alignment horizontal="general" vertical="center"/>
    </x:xf>
    <x:xf numFmtId="41" fontId="9" fillId="0" borderId="29" xfId="2" applyNumberFormat="1" applyFont="1" applyBorder="1">
      <x:alignment horizontal="general" vertical="center"/>
    </x:xf>
    <x:xf numFmtId="41" fontId="9" fillId="0" borderId="34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26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6" xfId="2" applyNumberFormat="1" applyFont="1" applyBorder="1" applyAlignment="1" applyProtection="1">
          <x:alignment horizontal="right" vertical="center"/>
          <x:protection locked="0"/>
        </x:xf>
      </mc:Fallback>
    </mc:AlternateContent>
    <x:xf numFmtId="41" fontId="9" fillId="0" borderId="54" xfId="2" applyNumberFormat="1" applyFont="1" applyBorder="1">
      <x:alignment horizontal="general" vertical="center"/>
    </x:xf>
    <x:xf numFmtId="41" fontId="9" fillId="0" borderId="55" xfId="2" applyNumberFormat="1" applyFont="1" applyBorder="1" applyAlignment="1" applyProtection="1">
      <x:alignment horizontal="left" vertical="center"/>
      <x:protection locked="0"/>
    </x:xf>
    <x:xf numFmtId="41" fontId="13" fillId="0" borderId="0" xfId="2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1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1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3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3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5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5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5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56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4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4" fillId="0" borderId="38" xfId="2" applyNumberFormat="1" applyFont="1" applyBorder="1" applyAlignment="1">
          <x:alignment horizontal="center" vertical="center"/>
        </x:xf>
      </mc:Fallback>
    </mc:AlternateContent>
  </x:cellXfs>
  <x:cellStyles count="3">
    <x:cellStyle name="표준" xfId="0" builtinId="0"/>
    <x:cellStyle name="표준 30" xfId="1"/>
    <x:cellStyle name="쉼표 [0] 2 10 13" xfId="2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  <x:fill>
            <x:patternFill patternType="none">
              <x:bgColor auto="1"/>
            </x:patternFill>
          </x:fill>
        </x:dxf>
      </mc:Choice>
      <mc:Fallback>
        <x:dxf>
          <x:font>
            <x:color rgb="ffff0000"/>
          </x:font>
          <x:fill>
            <x:patternFill patternType="none">
              <x:bgColor auto="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bfbfb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  <x:fill>
            <x:patternFill>
              <x:bgColor rgb="ffd9d9d9"/>
            </x:patternFill>
          </x:fill>
        </x:dxf>
      </mc:Choice>
      <mc:Fallback>
        <x:dxf>
          <x:font>
            <x:color rgb="ffff0000"/>
          </x:font>
          <x:fill>
            <x:patternFill>
              <x:bgColor rgb="ffd9d9d9"/>
            </x:patternFill>
          </x:fill>
        </x:dxf>
      </mc:Fallback>
    </mc:AlternateContent>
    <x:dxf>
      <x:fill>
        <x:patternFill>
          <x:bgColor rgb="ffd0cece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</x:sheetPr>
  <x:dimension ref="A1:AC66"/>
  <x:sheetViews>
    <x:sheetView topLeftCell="A1" zoomScale="70" zoomScaleNormal="70" zoomScaleSheetLayoutView="75" workbookViewId="0">
      <x:selection activeCell="G10" activeCellId="0" sqref="G10:G10"/>
    </x:sheetView>
  </x:sheetViews>
  <x:sheetFormatPr defaultColWidth="8.66015625" defaultRowHeight="16.399999999999999"/>
  <x:cols>
    <x:col min="1" max="1" width="20.5" style="1" bestFit="1" customWidth="1"/>
    <x:col min="2" max="2" width="24.375" style="1" customWidth="1"/>
    <x:col min="3" max="3" width="14.875" style="1" customWidth="1"/>
    <x:col min="4" max="4" width="6" style="1" customWidth="1"/>
    <x:col min="5" max="27" width="11.625" style="1" customWidth="1"/>
    <x:col min="28" max="28" width="13" style="1" customWidth="1"/>
    <x:col min="29" max="29" width="13.25" style="1" customWidth="1"/>
  </x:cols>
  <x:sheetData>
    <x:row r="1" spans="1:29">
      <x:c r="A1" s="206" t="s">
        <x:v>126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  <x:c r="P1" s="206"/>
      <x:c r="Q1" s="206"/>
      <x:c r="R1" s="206"/>
      <x:c r="S1" s="206"/>
      <x:c r="T1" s="206"/>
      <x:c r="U1" s="206"/>
      <x:c r="V1" s="206"/>
      <x:c r="W1" s="206"/>
      <x:c r="X1" s="206"/>
      <x:c r="Y1" s="206"/>
      <x:c r="Z1" s="2"/>
      <x:c r="AA1" s="2"/>
      <x:c r="AB1" s="2"/>
      <x:c r="AC1" s="2"/>
    </x:row>
    <x:row r="2" spans="1:29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  <x:c r="P2" s="206"/>
      <x:c r="Q2" s="206"/>
      <x:c r="R2" s="206"/>
      <x:c r="S2" s="206"/>
      <x:c r="T2" s="206"/>
      <x:c r="U2" s="206"/>
      <x:c r="V2" s="206"/>
      <x:c r="W2" s="206"/>
      <x:c r="X2" s="206"/>
      <x:c r="Y2" s="206"/>
      <x:c r="Z2" s="2"/>
      <x:c r="AA2" s="2"/>
      <x:c r="AB2" s="2"/>
      <x:c r="AC2" s="2"/>
    </x:row>
    <x:row r="3" spans="1:29" ht="16.75">
      <x:c r="A3" s="166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3" t="s">
        <x:v>112</x:v>
      </x:c>
      <x:c r="W3" s="2"/>
      <x:c r="X3" s="4"/>
      <x:c r="Y3" s="2"/>
      <x:c r="Z3" s="2"/>
      <x:c r="AA3" s="2"/>
      <x:c r="AB3" s="2"/>
      <x:c r="AC3" s="2"/>
    </x:row>
    <x:row r="4" spans="1:29" ht="27.100000000000001">
      <x:c r="A4" s="168" t="s">
        <x:v>107</x:v>
      </x:c>
      <x:c r="B4" s="167" t="s">
        <x:v>104</x:v>
      </x:c>
      <x:c r="C4" s="167" t="s">
        <x:v>105</x:v>
      </x:c>
      <x:c r="D4" s="167" t="s">
        <x:v>103</x:v>
      </x:c>
      <x:c r="E4" s="169" t="s">
        <x:v>35</x:v>
      </x:c>
      <x:c r="F4" s="170" t="s">
        <x:v>48</x:v>
      </x:c>
      <x:c r="G4" s="170" t="s">
        <x:v>49</x:v>
      </x:c>
      <x:c r="H4" s="171" t="s">
        <x:v>50</x:v>
      </x:c>
      <x:c r="I4" s="172" t="s">
        <x:v>18</x:v>
      </x:c>
      <x:c r="J4" s="173" t="s">
        <x:v>23</x:v>
      </x:c>
      <x:c r="K4" s="173" t="s">
        <x:v>19</x:v>
      </x:c>
      <x:c r="L4" s="174" t="s">
        <x:v>17</x:v>
      </x:c>
      <x:c r="M4" s="173" t="s">
        <x:v>24</x:v>
      </x:c>
      <x:c r="N4" s="175" t="s">
        <x:v>51</x:v>
      </x:c>
      <x:c r="O4" s="176" t="s">
        <x:v>147</x:v>
      </x:c>
      <x:c r="P4" s="177" t="s">
        <x:v>117</x:v>
      </x:c>
      <x:c r="Q4" s="178" t="s">
        <x:v>114</x:v>
      </x:c>
      <x:c r="R4" s="178" t="s">
        <x:v>115</x:v>
      </x:c>
      <x:c r="S4" s="179" t="s">
        <x:v>118</x:v>
      </x:c>
      <x:c r="T4" s="180" t="s">
        <x:v>116</x:v>
      </x:c>
      <x:c r="U4" s="181" t="s">
        <x:v>40</x:v>
      </x:c>
      <x:c r="V4" s="181" t="s">
        <x:v>148</x:v>
      </x:c>
      <x:c r="W4" s="182" t="s">
        <x:v>43</x:v>
      </x:c>
      <x:c r="X4" s="183" t="s">
        <x:v>37</x:v>
      </x:c>
      <x:c r="Y4" s="184" t="s">
        <x:v>109</x:v>
      </x:c>
      <x:c r="Z4" s="185" t="s">
        <x:v>110</x:v>
      </x:c>
      <x:c r="AA4" s="186" t="s">
        <x:v>47</x:v>
      </x:c>
      <x:c r="AB4" s="187" t="s">
        <x:v>79</x:v>
      </x:c>
      <x:c r="AC4" s="188" t="s">
        <x:v>81</x:v>
      </x:c>
    </x:row>
    <x:row r="5" spans="1:29">
      <x:c r="A5" s="207" t="s">
        <x:v>44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>
        <x:v>5000</x:v>
      </x:c>
      <x:c r="I5" s="100">
        <x:v>0</x:v>
      </x:c>
      <x:c r="J5" s="101"/>
      <x:c r="K5" s="101"/>
      <x:c r="L5" s="101"/>
      <x:c r="M5" s="102"/>
      <x:c r="N5" s="93">
        <x:f>I5+J5+K5+L5+M5</x:f>
        <x:v>0</x:v>
      </x:c>
      <x:c r="O5" s="142">
        <x:f>E5*N5</x:f>
        <x:v>0</x:v>
      </x:c>
      <x:c r="P5" s="137">
        <x:f>'교육용,R&amp;D,삼의원(잇다카페)'!I5+푸른솔!I5+의과대학!I5+중앙도서관!I5+학생회관!I5+멀티미디어관!I5+제2기숙사!I5+선승관!I5+예술디자인대!I5+공학관!I5</x:f>
        <x:v>0</x:v>
      </x:c>
      <x:c r="Q5" s="17">
        <x:f>'교육용,R&amp;D,삼의원(잇다카페)'!J5+푸른솔!J5+의과대학!J5+중앙도서관!J5+학생회관!J5+멀티미디어관!J5+제2기숙사!J5+선승관!J5+예술디자인대!J5+공학관!J5</x:f>
        <x:v>0</x:v>
      </x:c>
      <x:c r="R5" s="17">
        <x:f>'교육용,R&amp;D,삼의원(잇다카페)'!K5+푸른솔!K5+의과대학!K5+중앙도서관!K5+학생회관!K5+멀티미디어관!K5+제2기숙사!K5+선승관!K5+예술디자인대!K5+공학관!K5</x:f>
        <x:v>0</x:v>
      </x:c>
      <x:c r="S5" s="17">
        <x:f>'교육용,R&amp;D,삼의원(잇다카페)'!L5+푸른솔!L5+의과대학!L5+중앙도서관!L5+학생회관!L5+멀티미디어관!L5+제2기숙사!L5+선승관!L5+예술디자인대!L5+공학관!L5</x:f>
        <x:v>0</x:v>
      </x:c>
      <x:c r="T5" s="18">
        <x:f>'교육용,R&amp;D,삼의원(잇다카페)'!M5+푸른솔!M5+의과대학!M5+중앙도서관!M5+학생회관!M5+멀티미디어관!M5+제2기숙사!M5+선승관!M5+예술디자인대!M5+공학관!M5</x:f>
        <x:v>0</x:v>
      </x:c>
      <x:c r="U5" s="156">
        <x:f>P5+Q5+R5+S5+T5</x:f>
        <x:v>0</x:v>
      </x:c>
      <x:c r="V5" s="156">
        <x:f>E5*U5</x:f>
        <x:v>0</x:v>
      </x:c>
      <x:c r="W5" s="160">
        <x:f>(H5+N5)-U5</x:f>
        <x:v>5000</x:v>
      </x:c>
      <x:c r="X5" s="24">
        <x:f t="shared" ref="X5:X36" si="0">E5*W5</x:f>
        <x:v>185000</x:v>
      </x:c>
      <x:c r="Y5" s="48"/>
      <x:c r="Z5" s="190">
        <x:v>0</x:v>
      </x:c>
      <x:c r="AA5" s="192">
        <x:f t="shared" ref="AA5:AA37" si="1">Z5*E5</x:f>
        <x:v>0</x:v>
      </x:c>
      <x:c r="AB5" s="226">
        <x:f>SUM(AA5:AA36)</x:f>
        <x:v>0</x:v>
      </x:c>
      <x:c r="AC5" s="220">
        <x:f>AB5*1.1</x:f>
        <x:v>0</x:v>
      </x:c>
    </x:row>
    <x:row r="6" spans="1:29">
      <x:c r="A6" s="208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>
        <x:v>8000</x:v>
      </x:c>
      <x:c r="I6" s="106">
        <x:v>0</x:v>
      </x:c>
      <x:c r="J6" s="107"/>
      <x:c r="K6" s="107"/>
      <x:c r="L6" s="107"/>
      <x:c r="M6" s="108"/>
      <x:c r="N6" s="94">
        <x:f t="shared" ref="N6:N64" si="2">I6+J6+K6+L6+M6</x:f>
        <x:v>0</x:v>
      </x:c>
      <x:c r="O6" s="141">
        <x:f t="shared" ref="O6:O64" si="3">E6*N6</x:f>
        <x:v>0</x:v>
      </x:c>
      <x:c r="P6" s="136">
        <x:f>'교육용,R&amp;D,삼의원(잇다카페)'!I6+푸른솔!I6+의과대학!I6+중앙도서관!I6+학생회관!I6+멀티미디어관!I6+제2기숙사!I6+선승관!I6+예술디자인대!I6+공학관!I6</x:f>
        <x:v>1000</x:v>
      </x:c>
      <x:c r="Q6" s="37">
        <x:f>'교육용,R&amp;D,삼의원(잇다카페)'!J6+푸른솔!J6+의과대학!J6+중앙도서관!J6+학생회관!J6+멀티미디어관!J6+제2기숙사!J6+선승관!J6+예술디자인대!J6+공학관!J6</x:f>
        <x:v>3000</x:v>
      </x:c>
      <x:c r="R6" s="37">
        <x:f>'교육용,R&amp;D,삼의원(잇다카페)'!K6+푸른솔!K6+의과대학!K6+중앙도서관!K6+학생회관!K6+멀티미디어관!K6+제2기숙사!K6+선승관!K6+예술디자인대!K6+공학관!K6</x:f>
        <x:v>1000</x:v>
      </x:c>
      <x:c r="S6" s="37">
        <x:f>'교육용,R&amp;D,삼의원(잇다카페)'!L6+푸른솔!L6+의과대학!L6+중앙도서관!L6+학생회관!L6+멀티미디어관!L6+제2기숙사!L6+선승관!L6+예술디자인대!L6+공학관!L6</x:f>
        <x:v>0</x:v>
      </x:c>
      <x:c r="T6" s="38">
        <x:f>'교육용,R&amp;D,삼의원(잇다카페)'!M6+푸른솔!M6+의과대학!M6+중앙도서관!M6+학생회관!M6+멀티미디어관!M6+제2기숙사!M6+선승관!M6+예술디자인대!M6+공학관!M6</x:f>
        <x:v>0</x:v>
      </x:c>
      <x:c r="U6" s="157">
        <x:f>P6+Q6+R6+S6+T6</x:f>
        <x:v>5000</x:v>
      </x:c>
      <x:c r="V6" s="157">
        <x:f t="shared" ref="V6:V64" si="4">E6*U6</x:f>
        <x:v>215000</x:v>
      </x:c>
      <x:c r="W6" s="161">
        <x:f t="shared" ref="W6:W64" si="5">(H6+N6)-U6</x:f>
        <x:v>3000</x:v>
      </x:c>
      <x:c r="X6" s="44">
        <x:f t="shared" si="0"/>
        <x:v>129000</x:v>
      </x:c>
      <x:c r="Y6" s="46"/>
      <x:c r="Z6" s="190">
        <x:v>0</x:v>
      </x:c>
      <x:c r="AA6" s="189">
        <x:f t="shared" si="1"/>
        <x:v>0</x:v>
      </x:c>
      <x:c r="AB6" s="227"/>
      <x:c r="AC6" s="221"/>
    </x:row>
    <x:row r="7" spans="1:29">
      <x:c r="A7" s="208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>
        <x:v>6000</x:v>
      </x:c>
      <x:c r="I7" s="106">
        <x:v>2000</x:v>
      </x:c>
      <x:c r="J7" s="107"/>
      <x:c r="K7" s="107"/>
      <x:c r="L7" s="107"/>
      <x:c r="M7" s="108"/>
      <x:c r="N7" s="94">
        <x:f t="shared" si="2"/>
        <x:v>2000</x:v>
      </x:c>
      <x:c r="O7" s="141">
        <x:f t="shared" si="3"/>
        <x:v>40000</x:v>
      </x:c>
      <x:c r="P7" s="136">
        <x:f>'교육용,R&amp;D,삼의원(잇다카페)'!I7+푸른솔!I7+의과대학!I7+중앙도서관!I7+학생회관!I7+멀티미디어관!I7+제2기숙사!I7+선승관!I7+예술디자인대!I7+공학관!I7</x:f>
        <x:v>4000</x:v>
      </x:c>
      <x:c r="Q7" s="37">
        <x:f>'교육용,R&amp;D,삼의원(잇다카페)'!J7+푸른솔!J7+의과대학!J7+중앙도서관!J7+학생회관!J7+멀티미디어관!J7+제2기숙사!J7+선승관!J7+예술디자인대!J7+공학관!J7</x:f>
        <x:v>0</x:v>
      </x:c>
      <x:c r="R7" s="37">
        <x:f>'교육용,R&amp;D,삼의원(잇다카페)'!K7+푸른솔!K7+의과대학!K7+중앙도서관!K7+학생회관!K7+멀티미디어관!K7+제2기숙사!K7+선승관!K7+예술디자인대!K7+공학관!K7</x:f>
        <x:v>1000</x:v>
      </x:c>
      <x:c r="S7" s="37">
        <x:f>'교육용,R&amp;D,삼의원(잇다카페)'!L7+푸른솔!L7+의과대학!L7+중앙도서관!L7+학생회관!L7+멀티미디어관!L7+제2기숙사!L7+선승관!L7+예술디자인대!L7+공학관!L7</x:f>
        <x:v>0</x:v>
      </x:c>
      <x:c r="T7" s="38">
        <x:f>'교육용,R&amp;D,삼의원(잇다카페)'!M7+푸른솔!M7+의과대학!M7+중앙도서관!M7+학생회관!M7+멀티미디어관!M7+제2기숙사!M7+선승관!M7+예술디자인대!M7+공학관!M7</x:f>
        <x:v>0</x:v>
      </x:c>
      <x:c r="U7" s="157">
        <x:f t="shared" ref="U7:U64" si="6">P7+Q7+R7+S7+T7</x:f>
        <x:v>5000</x:v>
      </x:c>
      <x:c r="V7" s="157">
        <x:f t="shared" si="4"/>
        <x:v>100000</x:v>
      </x:c>
      <x:c r="W7" s="161">
        <x:f t="shared" si="5"/>
        <x:v>3000</x:v>
      </x:c>
      <x:c r="X7" s="44">
        <x:f t="shared" si="0"/>
        <x:v>60000</x:v>
      </x:c>
      <x:c r="Y7" s="46"/>
      <x:c r="Z7" s="190">
        <x:v>0</x:v>
      </x:c>
      <x:c r="AA7" s="189">
        <x:f t="shared" si="1"/>
        <x:v>0</x:v>
      </x:c>
      <x:c r="AB7" s="227"/>
      <x:c r="AC7" s="221"/>
    </x:row>
    <x:row r="8" spans="1:29">
      <x:c r="A8" s="208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>
        <x:v>0</x:v>
      </x:c>
      <x:c r="I8" s="106">
        <x:v>0</x:v>
      </x:c>
      <x:c r="J8" s="114"/>
      <x:c r="K8" s="114"/>
      <x:c r="L8" s="114"/>
      <x:c r="M8" s="115"/>
      <x:c r="N8" s="94">
        <x:f t="shared" si="2"/>
        <x:v>0</x:v>
      </x:c>
      <x:c r="O8" s="141">
        <x:f t="shared" si="3"/>
        <x:v>0</x:v>
      </x:c>
      <x:c r="P8" s="136">
        <x:f>'교육용,R&amp;D,삼의원(잇다카페)'!I8+푸른솔!I8+의과대학!I8+중앙도서관!I8+학생회관!I8+멀티미디어관!I8+제2기숙사!I8+선승관!I8+예술디자인대!I8+공학관!I8</x:f>
        <x:v>0</x:v>
      </x:c>
      <x:c r="Q8" s="37">
        <x:f>'교육용,R&amp;D,삼의원(잇다카페)'!J8+푸른솔!J8+의과대학!J8+중앙도서관!J8+학생회관!J8+멀티미디어관!J8+제2기숙사!J8+선승관!J8+예술디자인대!J8+공학관!J8</x:f>
        <x:v>0</x:v>
      </x:c>
      <x:c r="R8" s="37">
        <x:f>'교육용,R&amp;D,삼의원(잇다카페)'!K8+푸른솔!K8+의과대학!K8+중앙도서관!K8+학생회관!K8+멀티미디어관!K8+제2기숙사!K8+선승관!K8+예술디자인대!K8+공학관!K8</x:f>
        <x:v>0</x:v>
      </x:c>
      <x:c r="S8" s="37">
        <x:f>'교육용,R&amp;D,삼의원(잇다카페)'!L8+푸른솔!L8+의과대학!L8+중앙도서관!L8+학생회관!L8+멀티미디어관!L8+제2기숙사!L8+선승관!L8+예술디자인대!L8+공학관!L8</x:f>
        <x:v>0</x:v>
      </x:c>
      <x:c r="T8" s="38">
        <x:f>'교육용,R&amp;D,삼의원(잇다카페)'!M8+푸른솔!M8+의과대학!M8+중앙도서관!M8+학생회관!M8+멀티미디어관!M8+제2기숙사!M8+선승관!M8+예술디자인대!M8+공학관!M8</x:f>
        <x:v>0</x:v>
      </x:c>
      <x:c r="U8" s="157">
        <x:f t="shared" si="6"/>
        <x:v>0</x:v>
      </x:c>
      <x:c r="V8" s="157">
        <x:f t="shared" si="4"/>
        <x:v>0</x:v>
      </x:c>
      <x:c r="W8" s="161">
        <x:f t="shared" si="5"/>
        <x:v>0</x:v>
      </x:c>
      <x:c r="X8" s="44">
        <x:f t="shared" si="0"/>
        <x:v>0</x:v>
      </x:c>
      <x:c r="Y8" s="77"/>
      <x:c r="Z8" s="190">
        <x:v>0</x:v>
      </x:c>
      <x:c r="AA8" s="189">
        <x:f t="shared" si="1"/>
        <x:v>0</x:v>
      </x:c>
      <x:c r="AB8" s="227"/>
      <x:c r="AC8" s="221"/>
    </x:row>
    <x:row r="9" spans="1:29">
      <x:c r="A9" s="208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>
        <x:v>4000</x:v>
      </x:c>
      <x:c r="I9" s="106">
        <x:v>6000</x:v>
      </x:c>
      <x:c r="J9" s="107"/>
      <x:c r="K9" s="107"/>
      <x:c r="L9" s="107"/>
      <x:c r="M9" s="108"/>
      <x:c r="N9" s="94">
        <x:f t="shared" si="2"/>
        <x:v>6000</x:v>
      </x:c>
      <x:c r="O9" s="141">
        <x:f t="shared" si="3"/>
        <x:v>318000</x:v>
      </x:c>
      <x:c r="P9" s="136">
        <x:f>'교육용,R&amp;D,삼의원(잇다카페)'!I9+푸른솔!I9+의과대학!I9+중앙도서관!I9+학생회관!I9+멀티미디어관!I9+제2기숙사!I9+선승관!I9+예술디자인대!I9+공학관!I9</x:f>
        <x:v>2000</x:v>
      </x:c>
      <x:c r="Q9" s="37">
        <x:f>'교육용,R&amp;D,삼의원(잇다카페)'!J9+푸른솔!J9+의과대학!J9+중앙도서관!J9+학생회관!J9+멀티미디어관!J9+제2기숙사!J9+선승관!J9+예술디자인대!J9+공학관!J9</x:f>
        <x:v>1000</x:v>
      </x:c>
      <x:c r="R9" s="37">
        <x:f>'교육용,R&amp;D,삼의원(잇다카페)'!K9+푸른솔!K9+의과대학!K9+중앙도서관!K9+학생회관!K9+멀티미디어관!K9+제2기숙사!K9+선승관!K9+예술디자인대!K9+공학관!K9</x:f>
        <x:v>3000</x:v>
      </x:c>
      <x:c r="S9" s="37">
        <x:f>'교육용,R&amp;D,삼의원(잇다카페)'!L9+푸른솔!L9+의과대학!L9+중앙도서관!L9+학생회관!L9+멀티미디어관!L9+제2기숙사!L9+선승관!L9+예술디자인대!L9+공학관!L9</x:f>
        <x:v>0</x:v>
      </x:c>
      <x:c r="T9" s="38">
        <x:f>'교육용,R&amp;D,삼의원(잇다카페)'!M9+푸른솔!M9+의과대학!M9+중앙도서관!M9+학생회관!M9+멀티미디어관!M9+제2기숙사!M9+선승관!M9+예술디자인대!M9+공학관!M9</x:f>
        <x:v>0</x:v>
      </x:c>
      <x:c r="U9" s="157">
        <x:f t="shared" si="6"/>
        <x:v>6000</x:v>
      </x:c>
      <x:c r="V9" s="157">
        <x:f t="shared" si="4"/>
        <x:v>318000</x:v>
      </x:c>
      <x:c r="W9" s="161">
        <x:f t="shared" si="5"/>
        <x:v>4000</x:v>
      </x:c>
      <x:c r="X9" s="44">
        <x:f t="shared" si="0"/>
        <x:v>212000</x:v>
      </x:c>
      <x:c r="Y9" s="46"/>
      <x:c r="Z9" s="190">
        <x:v>0</x:v>
      </x:c>
      <x:c r="AA9" s="189">
        <x:f t="shared" si="1"/>
        <x:v>0</x:v>
      </x:c>
      <x:c r="AB9" s="227"/>
      <x:c r="AC9" s="221"/>
    </x:row>
    <x:row r="10" spans="1:29">
      <x:c r="A10" s="208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>
        <x:v>7000</x:v>
      </x:c>
      <x:c r="I10" s="106">
        <x:v>0</x:v>
      </x:c>
      <x:c r="J10" s="107"/>
      <x:c r="K10" s="107"/>
      <x:c r="L10" s="107"/>
      <x:c r="M10" s="108"/>
      <x:c r="N10" s="94">
        <x:f t="shared" si="2"/>
        <x:v>0</x:v>
      </x:c>
      <x:c r="O10" s="141">
        <x:f t="shared" si="3"/>
        <x:v>0</x:v>
      </x:c>
      <x:c r="P10" s="136">
        <x:f>'교육용,R&amp;D,삼의원(잇다카페)'!I10+푸른솔!I10+의과대학!I10+중앙도서관!I10+학생회관!I10+멀티미디어관!I10+제2기숙사!I10+선승관!I10+예술디자인대!I10+공학관!I10</x:f>
        <x:v>0</x:v>
      </x:c>
      <x:c r="Q10" s="37">
        <x:f>'교육용,R&amp;D,삼의원(잇다카페)'!J10+푸른솔!J10+의과대학!J10+중앙도서관!J10+학생회관!J10+멀티미디어관!J10+제2기숙사!J10+선승관!J10+예술디자인대!J10+공학관!J10</x:f>
        <x:v>0</x:v>
      </x:c>
      <x:c r="R10" s="37">
        <x:f>'교육용,R&amp;D,삼의원(잇다카페)'!K10+푸른솔!K10+의과대학!K10+중앙도서관!K10+학생회관!K10+멀티미디어관!K10+제2기숙사!K10+선승관!K10+예술디자인대!K10+공학관!K10</x:f>
        <x:v>0</x:v>
      </x:c>
      <x:c r="S10" s="37">
        <x:f>'교육용,R&amp;D,삼의원(잇다카페)'!L10+푸른솔!L10+의과대학!L10+중앙도서관!L10+학생회관!L10+멀티미디어관!L10+제2기숙사!L10+선승관!L10+예술디자인대!L10+공학관!L10</x:f>
        <x:v>0</x:v>
      </x:c>
      <x:c r="T10" s="38">
        <x:f>'교육용,R&amp;D,삼의원(잇다카페)'!M10+푸른솔!M10+의과대학!M10+중앙도서관!M10+학생회관!M10+멀티미디어관!M10+제2기숙사!M10+선승관!M10+예술디자인대!M10+공학관!M10</x:f>
        <x:v>0</x:v>
      </x:c>
      <x:c r="U10" s="157">
        <x:f t="shared" si="6"/>
        <x:v>0</x:v>
      </x:c>
      <x:c r="V10" s="157">
        <x:f t="shared" si="4"/>
        <x:v>0</x:v>
      </x:c>
      <x:c r="W10" s="161">
        <x:f t="shared" si="5"/>
        <x:v>7000</x:v>
      </x:c>
      <x:c r="X10" s="44">
        <x:f t="shared" si="0"/>
        <x:v>455000</x:v>
      </x:c>
      <x:c r="Y10" s="46"/>
      <x:c r="Z10" s="190">
        <x:v>0</x:v>
      </x:c>
      <x:c r="AA10" s="189">
        <x:f t="shared" si="1"/>
        <x:v>0</x:v>
      </x:c>
      <x:c r="AB10" s="227"/>
      <x:c r="AC10" s="221"/>
    </x:row>
    <x:row r="11" spans="1:29" ht="15.75" customHeight="1">
      <x:c r="A11" s="208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>
        <x:v>3000</x:v>
      </x:c>
      <x:c r="I11" s="106">
        <x:v>7000</x:v>
      </x:c>
      <x:c r="J11" s="114"/>
      <x:c r="K11" s="114"/>
      <x:c r="L11" s="114"/>
      <x:c r="M11" s="115"/>
      <x:c r="N11" s="94">
        <x:f t="shared" si="2"/>
        <x:v>7000</x:v>
      </x:c>
      <x:c r="O11" s="141">
        <x:f t="shared" si="3"/>
        <x:v>129500</x:v>
      </x:c>
      <x:c r="P11" s="136">
        <x:f>'교육용,R&amp;D,삼의원(잇다카페)'!I11+푸른솔!I11+의과대학!I11+중앙도서관!I11+학생회관!I11+멀티미디어관!I11+제2기숙사!I11+선승관!I11+예술디자인대!I11+공학관!I11</x:f>
        <x:v>2000</x:v>
      </x:c>
      <x:c r="Q11" s="37">
        <x:f>'교육용,R&amp;D,삼의원(잇다카페)'!J11+푸른솔!J11+의과대학!J11+중앙도서관!J11+학생회관!J11+멀티미디어관!J11+제2기숙사!J11+선승관!J11+예술디자인대!J11+공학관!J11</x:f>
        <x:v>2000</x:v>
      </x:c>
      <x:c r="R11" s="37">
        <x:f>'교육용,R&amp;D,삼의원(잇다카페)'!K11+푸른솔!K11+의과대학!K11+중앙도서관!K11+학생회관!K11+멀티미디어관!K11+제2기숙사!K11+선승관!K11+예술디자인대!K11+공학관!K11</x:f>
        <x:v>3000</x:v>
      </x:c>
      <x:c r="S11" s="37">
        <x:f>'교육용,R&amp;D,삼의원(잇다카페)'!L11+푸른솔!L11+의과대학!L11+중앙도서관!L11+학생회관!L11+멀티미디어관!L11+제2기숙사!L11+선승관!L11+예술디자인대!L11+공학관!L11</x:f>
        <x:v>0</x:v>
      </x:c>
      <x:c r="T11" s="38">
        <x:f>'교육용,R&amp;D,삼의원(잇다카페)'!M11+푸른솔!M11+의과대학!M11+중앙도서관!M11+학생회관!M11+멀티미디어관!M11+제2기숙사!M11+선승관!M11+예술디자인대!M11+공학관!M11</x:f>
        <x:v>0</x:v>
      </x:c>
      <x:c r="U11" s="157">
        <x:f t="shared" si="6"/>
        <x:v>7000</x:v>
      </x:c>
      <x:c r="V11" s="157">
        <x:f t="shared" si="4"/>
        <x:v>129500</x:v>
      </x:c>
      <x:c r="W11" s="161">
        <x:f t="shared" si="5"/>
        <x:v>3000</x:v>
      </x:c>
      <x:c r="X11" s="44">
        <x:f t="shared" si="0"/>
        <x:v>55500</x:v>
      </x:c>
      <x:c r="Y11" s="77"/>
      <x:c r="Z11" s="190">
        <x:v>0</x:v>
      </x:c>
      <x:c r="AA11" s="189">
        <x:f t="shared" si="1"/>
        <x:v>0</x:v>
      </x:c>
      <x:c r="AB11" s="227"/>
      <x:c r="AC11" s="221"/>
    </x:row>
    <x:row r="12" spans="1:29">
      <x:c r="A12" s="208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>
        <x:v>8000</x:v>
      </x:c>
      <x:c r="I12" s="106">
        <x:v>0</x:v>
      </x:c>
      <x:c r="J12" s="107"/>
      <x:c r="K12" s="107"/>
      <x:c r="L12" s="107"/>
      <x:c r="M12" s="108"/>
      <x:c r="N12" s="94">
        <x:f t="shared" si="2"/>
        <x:v>0</x:v>
      </x:c>
      <x:c r="O12" s="141">
        <x:f t="shared" si="3"/>
        <x:v>0</x:v>
      </x:c>
      <x:c r="P12" s="136">
        <x:f>'교육용,R&amp;D,삼의원(잇다카페)'!I12+푸른솔!I12+의과대학!I12+중앙도서관!I12+학생회관!I12+멀티미디어관!I12+제2기숙사!I12+선승관!I12+예술디자인대!I12+공학관!I12</x:f>
        <x:v>0</x:v>
      </x:c>
      <x:c r="Q12" s="37">
        <x:f>'교육용,R&amp;D,삼의원(잇다카페)'!J12+푸른솔!J12+의과대학!J12+중앙도서관!J12+학생회관!J12+멀티미디어관!J12+제2기숙사!J12+선승관!J12+예술디자인대!J12+공학관!J12</x:f>
        <x:v>1000</x:v>
      </x:c>
      <x:c r="R12" s="37">
        <x:f>'교육용,R&amp;D,삼의원(잇다카페)'!K12+푸른솔!K12+의과대학!K12+중앙도서관!K12+학생회관!K12+멀티미디어관!K12+제2기숙사!K12+선승관!K12+예술디자인대!K12+공학관!K12</x:f>
        <x:v>0</x:v>
      </x:c>
      <x:c r="S12" s="37">
        <x:f>'교육용,R&amp;D,삼의원(잇다카페)'!L12+푸른솔!L12+의과대학!L12+중앙도서관!L12+학생회관!L12+멀티미디어관!L12+제2기숙사!L12+선승관!L12+예술디자인대!L12+공학관!L12</x:f>
        <x:v>0</x:v>
      </x:c>
      <x:c r="T12" s="38">
        <x:f>'교육용,R&amp;D,삼의원(잇다카페)'!M12+푸른솔!M12+의과대학!M12+중앙도서관!M12+학생회관!M12+멀티미디어관!M12+제2기숙사!M12+선승관!M12+예술디자인대!M12+공학관!M12</x:f>
        <x:v>0</x:v>
      </x:c>
      <x:c r="U12" s="157">
        <x:f t="shared" si="6"/>
        <x:v>1000</x:v>
      </x:c>
      <x:c r="V12" s="157">
        <x:f t="shared" si="4"/>
        <x:v>20000</x:v>
      </x:c>
      <x:c r="W12" s="161">
        <x:f t="shared" si="5"/>
        <x:v>7000</x:v>
      </x:c>
      <x:c r="X12" s="44">
        <x:f t="shared" si="0"/>
        <x:v>140000</x:v>
      </x:c>
      <x:c r="Y12" s="46"/>
      <x:c r="Z12" s="190">
        <x:v>0</x:v>
      </x:c>
      <x:c r="AA12" s="189">
        <x:f t="shared" si="1"/>
        <x:v>0</x:v>
      </x:c>
      <x:c r="AB12" s="227"/>
      <x:c r="AC12" s="221"/>
    </x:row>
    <x:row r="13" spans="1:29">
      <x:c r="A13" s="208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>
        <x:v>1000</x:v>
      </x:c>
      <x:c r="I13" s="106">
        <x:v>0</x:v>
      </x:c>
      <x:c r="J13" s="107"/>
      <x:c r="K13" s="107"/>
      <x:c r="L13" s="107"/>
      <x:c r="M13" s="108"/>
      <x:c r="N13" s="94">
        <x:f t="shared" si="2"/>
        <x:v>0</x:v>
      </x:c>
      <x:c r="O13" s="141">
        <x:f t="shared" si="3"/>
        <x:v>0</x:v>
      </x:c>
      <x:c r="P13" s="136">
        <x:f>'교육용,R&amp;D,삼의원(잇다카페)'!I13+푸른솔!I13+의과대학!I13+중앙도서관!I13+학생회관!I13+멀티미디어관!I13+제2기숙사!I13+선승관!I13+예술디자인대!I13+공학관!I13</x:f>
        <x:v>0</x:v>
      </x:c>
      <x:c r="Q13" s="37">
        <x:f>'교육용,R&amp;D,삼의원(잇다카페)'!J13+푸른솔!J13+의과대학!J13+중앙도서관!J13+학생회관!J13+멀티미디어관!J13+제2기숙사!J13+선승관!J13+예술디자인대!J13+공학관!J13</x:f>
        <x:v>0</x:v>
      </x:c>
      <x:c r="R13" s="37">
        <x:f>'교육용,R&amp;D,삼의원(잇다카페)'!K13+푸른솔!K13+의과대학!K13+중앙도서관!K13+학생회관!K13+멀티미디어관!K13+제2기숙사!K13+선승관!K13+예술디자인대!K13+공학관!K13</x:f>
        <x:v>0</x:v>
      </x:c>
      <x:c r="S13" s="37">
        <x:f>'교육용,R&amp;D,삼의원(잇다카페)'!L13+푸른솔!L13+의과대학!L13+중앙도서관!L13+학생회관!L13+멀티미디어관!L13+제2기숙사!L13+선승관!L13+예술디자인대!L13+공학관!L13</x:f>
        <x:v>0</x:v>
      </x:c>
      <x:c r="T13" s="38">
        <x:f>'교육용,R&amp;D,삼의원(잇다카페)'!M13+푸른솔!M13+의과대학!M13+중앙도서관!M13+학생회관!M13+멀티미디어관!M13+제2기숙사!M13+선승관!M13+예술디자인대!M13+공학관!M13</x:f>
        <x:v>0</x:v>
      </x:c>
      <x:c r="U13" s="157">
        <x:f t="shared" si="6"/>
        <x:v>0</x:v>
      </x:c>
      <x:c r="V13" s="157">
        <x:f t="shared" si="4"/>
        <x:v>0</x:v>
      </x:c>
      <x:c r="W13" s="161">
        <x:f t="shared" si="5"/>
        <x:v>1000</x:v>
      </x:c>
      <x:c r="X13" s="44">
        <x:f t="shared" si="0"/>
        <x:v>19000</x:v>
      </x:c>
      <x:c r="Y13" s="46"/>
      <x:c r="Z13" s="190">
        <x:v>0</x:v>
      </x:c>
      <x:c r="AA13" s="189">
        <x:f t="shared" si="1"/>
        <x:v>0</x:v>
      </x:c>
      <x:c r="AB13" s="227"/>
      <x:c r="AC13" s="221"/>
    </x:row>
    <x:row r="14" spans="1:29">
      <x:c r="A14" s="208"/>
      <x:c r="B14" s="67" t="s">
        <x:v>21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>
        <x:v>5000</x:v>
      </x:c>
      <x:c r="I14" s="106">
        <x:v>0</x:v>
      </x:c>
      <x:c r="J14" s="107"/>
      <x:c r="K14" s="107"/>
      <x:c r="L14" s="107"/>
      <x:c r="M14" s="108"/>
      <x:c r="N14" s="94">
        <x:f t="shared" si="2"/>
        <x:v>0</x:v>
      </x:c>
      <x:c r="O14" s="141">
        <x:f t="shared" si="3"/>
        <x:v>0</x:v>
      </x:c>
      <x:c r="P14" s="136">
        <x:f>'교육용,R&amp;D,삼의원(잇다카페)'!I14+푸른솔!I14+의과대학!I14+중앙도서관!I14+학생회관!I14+멀티미디어관!I14+제2기숙사!I14+선승관!I14+예술디자인대!I14+공학관!I14</x:f>
        <x:v>0</x:v>
      </x:c>
      <x:c r="Q14" s="37">
        <x:f>'교육용,R&amp;D,삼의원(잇다카페)'!J14+푸른솔!J14+의과대학!J14+중앙도서관!J14+학생회관!J14+멀티미디어관!J14+제2기숙사!J14+선승관!J14+예술디자인대!J14+공학관!J14</x:f>
        <x:v>0</x:v>
      </x:c>
      <x:c r="R14" s="37">
        <x:f>'교육용,R&amp;D,삼의원(잇다카페)'!K14+푸른솔!K14+의과대학!K14+중앙도서관!K14+학생회관!K14+멀티미디어관!K14+제2기숙사!K14+선승관!K14+예술디자인대!K14+공학관!K14</x:f>
        <x:v>0</x:v>
      </x:c>
      <x:c r="S14" s="37">
        <x:f>'교육용,R&amp;D,삼의원(잇다카페)'!L14+푸른솔!L14+의과대학!L14+중앙도서관!L14+학생회관!L14+멀티미디어관!L14+제2기숙사!L14+선승관!L14+예술디자인대!L14+공학관!L14</x:f>
        <x:v>0</x:v>
      </x:c>
      <x:c r="T14" s="38">
        <x:f>'교육용,R&amp;D,삼의원(잇다카페)'!M14+푸른솔!M14+의과대학!M14+중앙도서관!M14+학생회관!M14+멀티미디어관!M14+제2기숙사!M14+선승관!M14+예술디자인대!M14+공학관!M14</x:f>
        <x:v>0</x:v>
      </x:c>
      <x:c r="U14" s="157">
        <x:f t="shared" si="6"/>
        <x:v>0</x:v>
      </x:c>
      <x:c r="V14" s="157">
        <x:f t="shared" si="4"/>
        <x:v>0</x:v>
      </x:c>
      <x:c r="W14" s="161">
        <x:f t="shared" si="5"/>
        <x:v>5000</x:v>
      </x:c>
      <x:c r="X14" s="44">
        <x:f t="shared" si="0"/>
        <x:v>87500</x:v>
      </x:c>
      <x:c r="Y14" s="46"/>
      <x:c r="Z14" s="190">
        <x:v>0</x:v>
      </x:c>
      <x:c r="AA14" s="189">
        <x:f t="shared" si="1"/>
        <x:v>0</x:v>
      </x:c>
      <x:c r="AB14" s="227"/>
      <x:c r="AC14" s="221"/>
    </x:row>
    <x:row r="15" spans="1:29">
      <x:c r="A15" s="208"/>
      <x:c r="B15" s="67" t="s">
        <x:v>22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>
        <x:v>3000</x:v>
      </x:c>
      <x:c r="I15" s="106">
        <x:v>17000</x:v>
      </x:c>
      <x:c r="J15" s="107"/>
      <x:c r="K15" s="107"/>
      <x:c r="L15" s="107"/>
      <x:c r="M15" s="108"/>
      <x:c r="N15" s="94">
        <x:f t="shared" si="2"/>
        <x:v>17000</x:v>
      </x:c>
      <x:c r="O15" s="141">
        <x:f t="shared" si="3"/>
        <x:v>306000</x:v>
      </x:c>
      <x:c r="P15" s="136">
        <x:f>'교육용,R&amp;D,삼의원(잇다카페)'!I15+푸른솔!I15+의과대학!I15+중앙도서관!I15+학생회관!I15+멀티미디어관!I15+제2기숙사!I15+선승관!I15+예술디자인대!I15+공학관!I15</x:f>
        <x:v>4000</x:v>
      </x:c>
      <x:c r="Q15" s="37">
        <x:f>'교육용,R&amp;D,삼의원(잇다카페)'!J15+푸른솔!J15+의과대학!J15+중앙도서관!J15+학생회관!J15+멀티미디어관!J15+제2기숙사!J15+선승관!J15+예술디자인대!J15+공학관!J15</x:f>
        <x:v>2000</x:v>
      </x:c>
      <x:c r="R15" s="37">
        <x:f>'교육용,R&amp;D,삼의원(잇다카페)'!K15+푸른솔!K15+의과대학!K15+중앙도서관!K15+학생회관!K15+멀티미디어관!K15+제2기숙사!K15+선승관!K15+예술디자인대!K15+공학관!K15</x:f>
        <x:v>6000</x:v>
      </x:c>
      <x:c r="S15" s="37">
        <x:f>'교육용,R&amp;D,삼의원(잇다카페)'!L15+푸른솔!L15+의과대학!L15+중앙도서관!L15+학생회관!L15+멀티미디어관!L15+제2기숙사!L15+선승관!L15+예술디자인대!L15+공학관!L15</x:f>
        <x:v>0</x:v>
      </x:c>
      <x:c r="T15" s="38">
        <x:f>'교육용,R&amp;D,삼의원(잇다카페)'!M15+푸른솔!M15+의과대학!M15+중앙도서관!M15+학생회관!M15+멀티미디어관!M15+제2기숙사!M15+선승관!M15+예술디자인대!M15+공학관!M15</x:f>
        <x:v>0</x:v>
      </x:c>
      <x:c r="U15" s="157">
        <x:f t="shared" si="6"/>
        <x:v>12000</x:v>
      </x:c>
      <x:c r="V15" s="157">
        <x:f t="shared" si="4"/>
        <x:v>216000</x:v>
      </x:c>
      <x:c r="W15" s="161">
        <x:f t="shared" si="5"/>
        <x:v>8000</x:v>
      </x:c>
      <x:c r="X15" s="44">
        <x:f t="shared" si="0"/>
        <x:v>144000</x:v>
      </x:c>
      <x:c r="Y15" s="46"/>
      <x:c r="Z15" s="190">
        <x:v>0</x:v>
      </x:c>
      <x:c r="AA15" s="189">
        <x:f t="shared" si="1"/>
        <x:v>0</x:v>
      </x:c>
      <x:c r="AB15" s="227"/>
      <x:c r="AC15" s="221"/>
    </x:row>
    <x:row r="16" spans="1:29">
      <x:c r="A16" s="208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>
        <x:v>1000</x:v>
      </x:c>
      <x:c r="I16" s="106">
        <x:v>10000</x:v>
      </x:c>
      <x:c r="J16" s="107"/>
      <x:c r="K16" s="107"/>
      <x:c r="L16" s="107"/>
      <x:c r="M16" s="108"/>
      <x:c r="N16" s="94">
        <x:f t="shared" si="2"/>
        <x:v>10000</x:v>
      </x:c>
      <x:c r="O16" s="141">
        <x:f t="shared" si="3"/>
        <x:v>69000</x:v>
      </x:c>
      <x:c r="P16" s="136">
        <x:f>'교육용,R&amp;D,삼의원(잇다카페)'!I16+푸른솔!I16+의과대학!I16+중앙도서관!I16+학생회관!I16+멀티미디어관!I16+제2기숙사!I16+선승관!I16+예술디자인대!I16+공학관!I16</x:f>
        <x:v>1000</x:v>
      </x:c>
      <x:c r="Q16" s="37">
        <x:f>'교육용,R&amp;D,삼의원(잇다카페)'!J16+푸른솔!J16+의과대학!J16+중앙도서관!J16+학생회관!J16+멀티미디어관!J16+제2기숙사!J16+선승관!J16+예술디자인대!J16+공학관!J16</x:f>
        <x:v>1500</x:v>
      </x:c>
      <x:c r="R16" s="37">
        <x:f>'교육용,R&amp;D,삼의원(잇다카페)'!K16+푸른솔!K16+의과대학!K16+중앙도서관!K16+학생회관!K16+멀티미디어관!K16+제2기숙사!K16+선승관!K16+예술디자인대!K16+공학관!K16</x:f>
        <x:v>3000</x:v>
      </x:c>
      <x:c r="S16" s="37">
        <x:f>'교육용,R&amp;D,삼의원(잇다카페)'!L16+푸른솔!L16+의과대학!L16+중앙도서관!L16+학생회관!L16+멀티미디어관!L16+제2기숙사!L16+선승관!L16+예술디자인대!L16+공학관!L16</x:f>
        <x:v>0</x:v>
      </x:c>
      <x:c r="T16" s="38">
        <x:f>'교육용,R&amp;D,삼의원(잇다카페)'!M16+푸른솔!M16+의과대학!M16+중앙도서관!M16+학생회관!M16+멀티미디어관!M16+제2기숙사!M16+선승관!M16+예술디자인대!M16+공학관!M16</x:f>
        <x:v>0</x:v>
      </x:c>
      <x:c r="U16" s="157">
        <x:f t="shared" si="6"/>
        <x:v>5500</x:v>
      </x:c>
      <x:c r="V16" s="157">
        <x:f t="shared" si="4"/>
        <x:v>37950</x:v>
      </x:c>
      <x:c r="W16" s="161">
        <x:f t="shared" si="5"/>
        <x:v>5500</x:v>
      </x:c>
      <x:c r="X16" s="44">
        <x:f t="shared" si="0"/>
        <x:v>37950</x:v>
      </x:c>
      <x:c r="Y16" s="46"/>
      <x:c r="Z16" s="190">
        <x:v>0</x:v>
      </x:c>
      <x:c r="AA16" s="189">
        <x:f t="shared" si="1"/>
        <x:v>0</x:v>
      </x:c>
      <x:c r="AB16" s="227"/>
      <x:c r="AC16" s="221"/>
    </x:row>
    <x:row r="17" spans="1:29">
      <x:c r="A17" s="208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>
        <x:v>4200</x:v>
      </x:c>
      <x:c r="I17" s="106">
        <x:v>0</x:v>
      </x:c>
      <x:c r="J17" s="114"/>
      <x:c r="K17" s="107"/>
      <x:c r="L17" s="114"/>
      <x:c r="M17" s="115"/>
      <x:c r="N17" s="94">
        <x:f t="shared" si="2"/>
        <x:v>0</x:v>
      </x:c>
      <x:c r="O17" s="141">
        <x:f t="shared" si="3"/>
        <x:v>0</x:v>
      </x:c>
      <x:c r="P17" s="136">
        <x:f>'교육용,R&amp;D,삼의원(잇다카페)'!I17+푸른솔!I17+의과대학!I17+중앙도서관!I17+학생회관!I17+멀티미디어관!I17+제2기숙사!I17+선승관!I17+예술디자인대!I17+공학관!I17</x:f>
        <x:v>0</x:v>
      </x:c>
      <x:c r="Q17" s="37">
        <x:f>'교육용,R&amp;D,삼의원(잇다카페)'!J17+푸른솔!J17+의과대학!J17+중앙도서관!J17+학생회관!J17+멀티미디어관!J17+제2기숙사!J17+선승관!J17+예술디자인대!J17+공학관!J17</x:f>
        <x:v>0</x:v>
      </x:c>
      <x:c r="R17" s="37">
        <x:f>'교육용,R&amp;D,삼의원(잇다카페)'!K17+푸른솔!K17+의과대학!K17+중앙도서관!K17+학생회관!K17+멀티미디어관!K17+제2기숙사!K17+선승관!K17+예술디자인대!K17+공학관!K17</x:f>
        <x:v>0</x:v>
      </x:c>
      <x:c r="S17" s="37">
        <x:f>'교육용,R&amp;D,삼의원(잇다카페)'!L17+푸른솔!L17+의과대학!L17+중앙도서관!L17+학생회관!L17+멀티미디어관!L17+제2기숙사!L17+선승관!L17+예술디자인대!L17+공학관!L17</x:f>
        <x:v>0</x:v>
      </x:c>
      <x:c r="T17" s="38">
        <x:f>'교육용,R&amp;D,삼의원(잇다카페)'!M17+푸른솔!M17+의과대학!M17+중앙도서관!M17+학생회관!M17+멀티미디어관!M17+제2기숙사!M17+선승관!M17+예술디자인대!M17+공학관!M17</x:f>
        <x:v>0</x:v>
      </x:c>
      <x:c r="U17" s="157">
        <x:f t="shared" si="6"/>
        <x:v>0</x:v>
      </x:c>
      <x:c r="V17" s="157">
        <x:f t="shared" si="4"/>
        <x:v>0</x:v>
      </x:c>
      <x:c r="W17" s="161">
        <x:f t="shared" si="5"/>
        <x:v>4200</x:v>
      </x:c>
      <x:c r="X17" s="44">
        <x:f t="shared" si="0"/>
        <x:v>93187.5</x:v>
      </x:c>
      <x:c r="Y17" s="77"/>
      <x:c r="Z17" s="190">
        <x:v>0</x:v>
      </x:c>
      <x:c r="AA17" s="189">
        <x:f t="shared" si="1"/>
        <x:v>0</x:v>
      </x:c>
      <x:c r="AB17" s="227"/>
      <x:c r="AC17" s="221"/>
    </x:row>
    <x:row r="18" spans="1:29">
      <x:c r="A18" s="208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>
        <x:v>3000</x:v>
      </x:c>
      <x:c r="I18" s="106">
        <x:v>10000</x:v>
      </x:c>
      <x:c r="J18" s="107"/>
      <x:c r="K18" s="107"/>
      <x:c r="L18" s="107"/>
      <x:c r="M18" s="108"/>
      <x:c r="N18" s="94">
        <x:f t="shared" si="2"/>
        <x:v>10000</x:v>
      </x:c>
      <x:c r="O18" s="141">
        <x:f t="shared" si="3"/>
        <x:v>72000</x:v>
      </x:c>
      <x:c r="P18" s="136">
        <x:f>'교육용,R&amp;D,삼의원(잇다카페)'!I18+푸른솔!I18+의과대학!I18+중앙도서관!I18+학생회관!I18+멀티미디어관!I18+제2기숙사!I18+선승관!I18+예술디자인대!I18+공학관!I18</x:f>
        <x:v>0</x:v>
      </x:c>
      <x:c r="Q18" s="37">
        <x:f>'교육용,R&amp;D,삼의원(잇다카페)'!J18+푸른솔!J18+의과대학!J18+중앙도서관!J18+학생회관!J18+멀티미디어관!J18+제2기숙사!J18+선승관!J18+예술디자인대!J18+공학관!J18</x:f>
        <x:v>500</x:v>
      </x:c>
      <x:c r="R18" s="37">
        <x:f>'교육용,R&amp;D,삼의원(잇다카페)'!K18+푸른솔!K18+의과대학!K18+중앙도서관!K18+학생회관!K18+멀티미디어관!K18+제2기숙사!K18+선승관!K18+예술디자인대!K18+공학관!K18</x:f>
        <x:v>1000</x:v>
      </x:c>
      <x:c r="S18" s="37">
        <x:f>'교육용,R&amp;D,삼의원(잇다카페)'!L18+푸른솔!L18+의과대학!L18+중앙도서관!L18+학생회관!L18+멀티미디어관!L18+제2기숙사!L18+선승관!L18+예술디자인대!L18+공학관!L18</x:f>
        <x:v>0</x:v>
      </x:c>
      <x:c r="T18" s="38">
        <x:f>'교육용,R&amp;D,삼의원(잇다카페)'!M18+푸른솔!M18+의과대학!M18+중앙도서관!M18+학생회관!M18+멀티미디어관!M18+제2기숙사!M18+선승관!M18+예술디자인대!M18+공학관!M18</x:f>
        <x:v>0</x:v>
      </x:c>
      <x:c r="U18" s="157">
        <x:f t="shared" si="6"/>
        <x:v>1500</x:v>
      </x:c>
      <x:c r="V18" s="157">
        <x:f t="shared" si="4"/>
        <x:v>10800</x:v>
      </x:c>
      <x:c r="W18" s="161">
        <x:f t="shared" si="5"/>
        <x:v>11500</x:v>
      </x:c>
      <x:c r="X18" s="44">
        <x:f t="shared" si="0"/>
        <x:v>82800</x:v>
      </x:c>
      <x:c r="Y18" s="46"/>
      <x:c r="Z18" s="190">
        <x:v>0</x:v>
      </x:c>
      <x:c r="AA18" s="189">
        <x:f t="shared" si="1"/>
        <x:v>0</x:v>
      </x:c>
      <x:c r="AB18" s="227"/>
      <x:c r="AC18" s="221"/>
    </x:row>
    <x:row r="19" spans="1:29">
      <x:c r="A19" s="208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>
        <x:v>6000</x:v>
      </x:c>
      <x:c r="I19" s="106">
        <x:v>0</x:v>
      </x:c>
      <x:c r="J19" s="107"/>
      <x:c r="K19" s="107"/>
      <x:c r="L19" s="107"/>
      <x:c r="M19" s="108"/>
      <x:c r="N19" s="94">
        <x:f t="shared" si="2"/>
        <x:v>0</x:v>
      </x:c>
      <x:c r="O19" s="141">
        <x:f t="shared" si="3"/>
        <x:v>0</x:v>
      </x:c>
      <x:c r="P19" s="136">
        <x:f>'교육용,R&amp;D,삼의원(잇다카페)'!I19+푸른솔!I19+의과대학!I19+중앙도서관!I19+학생회관!I19+멀티미디어관!I19+제2기숙사!I19+선승관!I19+예술디자인대!I19+공학관!I19</x:f>
        <x:v>0</x:v>
      </x:c>
      <x:c r="Q19" s="37">
        <x:f>'교육용,R&amp;D,삼의원(잇다카페)'!J19+푸른솔!J19+의과대학!J19+중앙도서관!J19+학생회관!J19+멀티미디어관!J19+제2기숙사!J19+선승관!J19+예술디자인대!J19+공학관!J19</x:f>
        <x:v>250</x:v>
      </x:c>
      <x:c r="R19" s="37">
        <x:f>'교육용,R&amp;D,삼의원(잇다카페)'!K19+푸른솔!K19+의과대학!K19+중앙도서관!K19+학생회관!K19+멀티미디어관!K19+제2기숙사!K19+선승관!K19+예술디자인대!K19+공학관!K19</x:f>
        <x:v>250</x:v>
      </x:c>
      <x:c r="S19" s="37">
        <x:f>'교육용,R&amp;D,삼의원(잇다카페)'!L19+푸른솔!L19+의과대학!L19+중앙도서관!L19+학생회관!L19+멀티미디어관!L19+제2기숙사!L19+선승관!L19+예술디자인대!L19+공학관!L19</x:f>
        <x:v>0</x:v>
      </x:c>
      <x:c r="T19" s="38">
        <x:f>'교육용,R&amp;D,삼의원(잇다카페)'!M19+푸른솔!M19+의과대학!M19+중앙도서관!M19+학생회관!M19+멀티미디어관!M19+제2기숙사!M19+선승관!M19+예술디자인대!M19+공학관!M19</x:f>
        <x:v>0</x:v>
      </x:c>
      <x:c r="U19" s="157">
        <x:f t="shared" si="6"/>
        <x:v>500</x:v>
      </x:c>
      <x:c r="V19" s="157">
        <x:f t="shared" si="4"/>
        <x:v>9000</x:v>
      </x:c>
      <x:c r="W19" s="161">
        <x:f t="shared" si="5"/>
        <x:v>5500</x:v>
      </x:c>
      <x:c r="X19" s="44">
        <x:f t="shared" si="0"/>
        <x:v>99000</x:v>
      </x:c>
      <x:c r="Y19" s="46"/>
      <x:c r="Z19" s="190">
        <x:v>0</x:v>
      </x:c>
      <x:c r="AA19" s="189">
        <x:f t="shared" si="1"/>
        <x:v>0</x:v>
      </x:c>
      <x:c r="AB19" s="227"/>
      <x:c r="AC19" s="221"/>
    </x:row>
    <x:row r="20" spans="1:29">
      <x:c r="A20" s="208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>
        <x:v>5200</x:v>
      </x:c>
      <x:c r="I20" s="106">
        <x:v>0</x:v>
      </x:c>
      <x:c r="J20" s="114"/>
      <x:c r="K20" s="107"/>
      <x:c r="L20" s="114"/>
      <x:c r="M20" s="115"/>
      <x:c r="N20" s="94">
        <x:f t="shared" si="2"/>
        <x:v>0</x:v>
      </x:c>
      <x:c r="O20" s="141">
        <x:f t="shared" si="3"/>
        <x:v>0</x:v>
      </x:c>
      <x:c r="P20" s="136">
        <x:f>'교육용,R&amp;D,삼의원(잇다카페)'!I20+푸른솔!I20+의과대학!I20+중앙도서관!I20+학생회관!I20+멀티미디어관!I20+제2기숙사!I20+선승관!I20+예술디자인대!I20+공학관!I20</x:f>
        <x:v>0</x:v>
      </x:c>
      <x:c r="Q20" s="37">
        <x:f>'교육용,R&amp;D,삼의원(잇다카페)'!J20+푸른솔!J20+의과대학!J20+중앙도서관!J20+학생회관!J20+멀티미디어관!J20+제2기숙사!J20+선승관!J20+예술디자인대!J20+공학관!J20</x:f>
        <x:v>0</x:v>
      </x:c>
      <x:c r="R20" s="37">
        <x:f>'교육용,R&amp;D,삼의원(잇다카페)'!K20+푸른솔!K20+의과대학!K20+중앙도서관!K20+학생회관!K20+멀티미디어관!K20+제2기숙사!K20+선승관!K20+예술디자인대!K20+공학관!K20</x:f>
        <x:v>0</x:v>
      </x:c>
      <x:c r="S20" s="37">
        <x:f>'교육용,R&amp;D,삼의원(잇다카페)'!L20+푸른솔!L20+의과대학!L20+중앙도서관!L20+학생회관!L20+멀티미디어관!L20+제2기숙사!L20+선승관!L20+예술디자인대!L20+공학관!L20</x:f>
        <x:v>0</x:v>
      </x:c>
      <x:c r="T20" s="38">
        <x:f>'교육용,R&amp;D,삼의원(잇다카페)'!M20+푸른솔!M20+의과대학!M20+중앙도서관!M20+학생회관!M20+멀티미디어관!M20+제2기숙사!M20+선승관!M20+예술디자인대!M20+공학관!M20</x:f>
        <x:v>0</x:v>
      </x:c>
      <x:c r="U20" s="157">
        <x:f t="shared" si="6"/>
        <x:v>0</x:v>
      </x:c>
      <x:c r="V20" s="157">
        <x:f t="shared" si="4"/>
        <x:v>0</x:v>
      </x:c>
      <x:c r="W20" s="161">
        <x:f t="shared" si="5"/>
        <x:v>5200</x:v>
      </x:c>
      <x:c r="X20" s="44">
        <x:f t="shared" si="0"/>
        <x:v>138840</x:v>
      </x:c>
      <x:c r="Y20" s="77"/>
      <x:c r="Z20" s="190">
        <x:v>0</x:v>
      </x:c>
      <x:c r="AA20" s="189">
        <x:f t="shared" si="1"/>
        <x:v>0</x:v>
      </x:c>
      <x:c r="AB20" s="227"/>
      <x:c r="AC20" s="221"/>
    </x:row>
    <x:row r="21" spans="1:29">
      <x:c r="A21" s="208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>
        <x:v>3600</x:v>
      </x:c>
      <x:c r="I21" s="106">
        <x:v>0</x:v>
      </x:c>
      <x:c r="J21" s="107"/>
      <x:c r="K21" s="107"/>
      <x:c r="L21" s="107"/>
      <x:c r="M21" s="108"/>
      <x:c r="N21" s="94">
        <x:f t="shared" si="2"/>
        <x:v>0</x:v>
      </x:c>
      <x:c r="O21" s="141">
        <x:f t="shared" si="3"/>
        <x:v>0</x:v>
      </x:c>
      <x:c r="P21" s="136">
        <x:f>'교육용,R&amp;D,삼의원(잇다카페)'!I21+푸른솔!I21+의과대학!I21+중앙도서관!I21+학생회관!I21+멀티미디어관!I21+제2기숙사!I21+선승관!I21+예술디자인대!I21+공학관!I21</x:f>
        <x:v>400</x:v>
      </x:c>
      <x:c r="Q21" s="37">
        <x:f>'교육용,R&amp;D,삼의원(잇다카페)'!J21+푸른솔!J21+의과대학!J21+중앙도서관!J21+학생회관!J21+멀티미디어관!J21+제2기숙사!J21+선승관!J21+예술디자인대!J21+공학관!J21</x:f>
        <x:v>0</x:v>
      </x:c>
      <x:c r="R21" s="37">
        <x:f>'교육용,R&amp;D,삼의원(잇다카페)'!K21+푸른솔!K21+의과대학!K21+중앙도서관!K21+학생회관!K21+멀티미디어관!K21+제2기숙사!K21+선승관!K21+예술디자인대!K21+공학관!K21</x:f>
        <x:v>0</x:v>
      </x:c>
      <x:c r="S21" s="37">
        <x:f>'교육용,R&amp;D,삼의원(잇다카페)'!L21+푸른솔!L21+의과대학!L21+중앙도서관!L21+학생회관!L21+멀티미디어관!L21+제2기숙사!L21+선승관!L21+예술디자인대!L21+공학관!L21</x:f>
        <x:v>0</x:v>
      </x:c>
      <x:c r="T21" s="38">
        <x:f>'교육용,R&amp;D,삼의원(잇다카페)'!M21+푸른솔!M21+의과대학!M21+중앙도서관!M21+학생회관!M21+멀티미디어관!M21+제2기숙사!M21+선승관!M21+예술디자인대!M21+공학관!M21</x:f>
        <x:v>0</x:v>
      </x:c>
      <x:c r="U21" s="157">
        <x:f t="shared" si="6"/>
        <x:v>400</x:v>
      </x:c>
      <x:c r="V21" s="157">
        <x:f t="shared" si="4"/>
        <x:v>9125</x:v>
      </x:c>
      <x:c r="W21" s="161">
        <x:f t="shared" si="5"/>
        <x:v>3200</x:v>
      </x:c>
      <x:c r="X21" s="44">
        <x:f t="shared" si="0"/>
        <x:v>73000</x:v>
      </x:c>
      <x:c r="Y21" s="46"/>
      <x:c r="Z21" s="190">
        <x:v>0</x:v>
      </x:c>
      <x:c r="AA21" s="189">
        <x:f t="shared" si="1"/>
        <x:v>0</x:v>
      </x:c>
      <x:c r="AB21" s="227"/>
      <x:c r="AC21" s="221"/>
    </x:row>
    <x:row r="22" spans="1:29">
      <x:c r="A22" s="208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>
        <x:v>400</x:v>
      </x:c>
      <x:c r="I22" s="106">
        <x:v>1000</x:v>
      </x:c>
      <x:c r="J22" s="107"/>
      <x:c r="K22" s="107"/>
      <x:c r="L22" s="107"/>
      <x:c r="M22" s="108"/>
      <x:c r="N22" s="94">
        <x:f t="shared" si="2"/>
        <x:v>1000</x:v>
      </x:c>
      <x:c r="O22" s="141">
        <x:f t="shared" si="3"/>
        <x:v>112500</x:v>
      </x:c>
      <x:c r="P22" s="136">
        <x:f>'교육용,R&amp;D,삼의원(잇다카페)'!I22+푸른솔!I22+의과대학!I22+중앙도서관!I22+학생회관!I22+멀티미디어관!I22+제2기숙사!I22+선승관!I22+예술디자인대!I22+공학관!I22</x:f>
        <x:v>0</x:v>
      </x:c>
      <x:c r="Q22" s="37">
        <x:f>'교육용,R&amp;D,삼의원(잇다카페)'!J22+푸른솔!J22+의과대학!J22+중앙도서관!J22+학생회관!J22+멀티미디어관!J22+제2기숙사!J22+선승관!J22+예술디자인대!J22+공학관!J22</x:f>
        <x:v>0</x:v>
      </x:c>
      <x:c r="R22" s="37">
        <x:f>'교육용,R&amp;D,삼의원(잇다카페)'!K22+푸른솔!K22+의과대학!K22+중앙도서관!K22+학생회관!K22+멀티미디어관!K22+제2기숙사!K22+선승관!K22+예술디자인대!K22+공학관!K22</x:f>
        <x:v>0</x:v>
      </x:c>
      <x:c r="S22" s="37">
        <x:f>'교육용,R&amp;D,삼의원(잇다카페)'!L22+푸른솔!L22+의과대학!L22+중앙도서관!L22+학생회관!L22+멀티미디어관!L22+제2기숙사!L22+선승관!L22+예술디자인대!L22+공학관!L22</x:f>
        <x:v>0</x:v>
      </x:c>
      <x:c r="T22" s="38">
        <x:f>'교육용,R&amp;D,삼의원(잇다카페)'!M22+푸른솔!M22+의과대학!M22+중앙도서관!M22+학생회관!M22+멀티미디어관!M22+제2기숙사!M22+선승관!M22+예술디자인대!M22+공학관!M22</x:f>
        <x:v>0</x:v>
      </x:c>
      <x:c r="U22" s="157">
        <x:f t="shared" si="6"/>
        <x:v>0</x:v>
      </x:c>
      <x:c r="V22" s="157">
        <x:f t="shared" si="4"/>
        <x:v>0</x:v>
      </x:c>
      <x:c r="W22" s="161">
        <x:f t="shared" si="5"/>
        <x:v>1400</x:v>
      </x:c>
      <x:c r="X22" s="44">
        <x:f t="shared" si="0"/>
        <x:v>157500</x:v>
      </x:c>
      <x:c r="Y22" s="46"/>
      <x:c r="Z22" s="190">
        <x:v>0</x:v>
      </x:c>
      <x:c r="AA22" s="189">
        <x:f t="shared" si="1"/>
        <x:v>0</x:v>
      </x:c>
      <x:c r="AB22" s="227"/>
      <x:c r="AC22" s="221"/>
    </x:row>
    <x:row r="23" spans="1:29">
      <x:c r="A23" s="208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>
        <x:v>56000</x:v>
      </x:c>
      <x:c r="I23" s="106">
        <x:v>0</x:v>
      </x:c>
      <x:c r="J23" s="114"/>
      <x:c r="K23" s="107"/>
      <x:c r="L23" s="114"/>
      <x:c r="M23" s="115"/>
      <x:c r="N23" s="94">
        <x:f t="shared" si="2"/>
        <x:v>0</x:v>
      </x:c>
      <x:c r="O23" s="141">
        <x:f t="shared" si="3"/>
        <x:v>0</x:v>
      </x:c>
      <x:c r="P23" s="136">
        <x:f>'교육용,R&amp;D,삼의원(잇다카페)'!I23+푸른솔!I23+의과대학!I23+중앙도서관!I23+학생회관!I23+멀티미디어관!I23+제2기숙사!I23+선승관!I23+예술디자인대!I23+공학관!I23</x:f>
        <x:v>0</x:v>
      </x:c>
      <x:c r="Q23" s="37">
        <x:f>'교육용,R&amp;D,삼의원(잇다카페)'!J23+푸른솔!J23+의과대학!J23+중앙도서관!J23+학생회관!J23+멀티미디어관!J23+제2기숙사!J23+선승관!J23+예술디자인대!J23+공학관!J23</x:f>
        <x:v>0</x:v>
      </x:c>
      <x:c r="R23" s="37">
        <x:f>'교육용,R&amp;D,삼의원(잇다카페)'!K23+푸른솔!K23+의과대학!K23+중앙도서관!K23+학생회관!K23+멀티미디어관!K23+제2기숙사!K23+선승관!K23+예술디자인대!K23+공학관!K23</x:f>
        <x:v>0</x:v>
      </x:c>
      <x:c r="S23" s="37">
        <x:f>'교육용,R&amp;D,삼의원(잇다카페)'!L23+푸른솔!L23+의과대학!L23+중앙도서관!L23+학생회관!L23+멀티미디어관!L23+제2기숙사!L23+선승관!L23+예술디자인대!L23+공학관!L23</x:f>
        <x:v>0</x:v>
      </x:c>
      <x:c r="T23" s="38">
        <x:f>'교육용,R&amp;D,삼의원(잇다카페)'!M23+푸른솔!M23+의과대학!M23+중앙도서관!M23+학생회관!M23+멀티미디어관!M23+제2기숙사!M23+선승관!M23+예술디자인대!M23+공학관!M23</x:f>
        <x:v>0</x:v>
      </x:c>
      <x:c r="U23" s="157">
        <x:f t="shared" si="6"/>
        <x:v>0</x:v>
      </x:c>
      <x:c r="V23" s="157">
        <x:f t="shared" si="4"/>
        <x:v>0</x:v>
      </x:c>
      <x:c r="W23" s="161">
        <x:f t="shared" si="5"/>
        <x:v>56000</x:v>
      </x:c>
      <x:c r="X23" s="44">
        <x:f t="shared" si="0"/>
        <x:v>203000</x:v>
      </x:c>
      <x:c r="Y23" s="77"/>
      <x:c r="Z23" s="190">
        <x:v>0</x:v>
      </x:c>
      <x:c r="AA23" s="189">
        <x:f t="shared" si="1"/>
        <x:v>0</x:v>
      </x:c>
      <x:c r="AB23" s="227"/>
      <x:c r="AC23" s="221"/>
    </x:row>
    <x:row r="24" spans="1:29">
      <x:c r="A24" s="208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>
        <x:v>4</x:v>
      </x:c>
      <x:c r="I24" s="106">
        <x:v>0</x:v>
      </x:c>
      <x:c r="J24" s="107"/>
      <x:c r="K24" s="107"/>
      <x:c r="L24" s="107"/>
      <x:c r="M24" s="108"/>
      <x:c r="N24" s="94">
        <x:f t="shared" si="2"/>
        <x:v>0</x:v>
      </x:c>
      <x:c r="O24" s="141">
        <x:f t="shared" si="3"/>
        <x:v>0</x:v>
      </x:c>
      <x:c r="P24" s="136">
        <x:f>'교육용,R&amp;D,삼의원(잇다카페)'!I24+푸른솔!I24+의과대학!I24+중앙도서관!I24+학생회관!I24+멀티미디어관!I24+제2기숙사!I24+선승관!I24+예술디자인대!I24+공학관!I24</x:f>
        <x:v>1</x:v>
      </x:c>
      <x:c r="Q24" s="37">
        <x:f>'교육용,R&amp;D,삼의원(잇다카페)'!J24+푸른솔!J24+의과대학!J24+중앙도서관!J24+학생회관!J24+멀티미디어관!J24+제2기숙사!J24+선승관!J24+예술디자인대!J24+공학관!J24</x:f>
        <x:v>0</x:v>
      </x:c>
      <x:c r="R24" s="37">
        <x:f>'교육용,R&amp;D,삼의원(잇다카페)'!K24+푸른솔!K24+의과대학!K24+중앙도서관!K24+학생회관!K24+멀티미디어관!K24+제2기숙사!K24+선승관!K24+예술디자인대!K24+공학관!K24</x:f>
        <x:v>0</x:v>
      </x:c>
      <x:c r="S24" s="37">
        <x:f>'교육용,R&amp;D,삼의원(잇다카페)'!L24+푸른솔!L24+의과대학!L24+중앙도서관!L24+학생회관!L24+멀티미디어관!L24+제2기숙사!L24+선승관!L24+예술디자인대!L24+공학관!L24</x:f>
        <x:v>0</x:v>
      </x:c>
      <x:c r="T24" s="38">
        <x:f>'교육용,R&amp;D,삼의원(잇다카페)'!M24+푸른솔!M24+의과대학!M24+중앙도서관!M24+학생회관!M24+멀티미디어관!M24+제2기숙사!M24+선승관!M24+예술디자인대!M24+공학관!M24</x:f>
        <x:v>0</x:v>
      </x:c>
      <x:c r="U24" s="157">
        <x:f t="shared" si="6"/>
        <x:v>1</x:v>
      </x:c>
      <x:c r="V24" s="157">
        <x:f t="shared" si="4"/>
        <x:v>12000</x:v>
      </x:c>
      <x:c r="W24" s="161">
        <x:f t="shared" si="5"/>
        <x:v>3</x:v>
      </x:c>
      <x:c r="X24" s="44">
        <x:f t="shared" si="0"/>
        <x:v>36000</x:v>
      </x:c>
      <x:c r="Y24" s="46"/>
      <x:c r="Z24" s="190">
        <x:v>0</x:v>
      </x:c>
      <x:c r="AA24" s="189">
        <x:f t="shared" si="1"/>
        <x:v>0</x:v>
      </x:c>
      <x:c r="AB24" s="227"/>
      <x:c r="AC24" s="221"/>
    </x:row>
    <x:row r="25" spans="1:29">
      <x:c r="A25" s="208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>
        <x:v>3000</x:v>
      </x:c>
      <x:c r="I25" s="106">
        <x:v>0</x:v>
      </x:c>
      <x:c r="J25" s="107"/>
      <x:c r="K25" s="107"/>
      <x:c r="L25" s="107"/>
      <x:c r="M25" s="108"/>
      <x:c r="N25" s="94">
        <x:f t="shared" si="2"/>
        <x:v>0</x:v>
      </x:c>
      <x:c r="O25" s="141">
        <x:f t="shared" si="3"/>
        <x:v>0</x:v>
      </x:c>
      <x:c r="P25" s="136">
        <x:f>'교육용,R&amp;D,삼의원(잇다카페)'!I25+푸른솔!I25+의과대학!I25+중앙도서관!I25+학생회관!I25+멀티미디어관!I25+제2기숙사!I25+선승관!I25+예술디자인대!I25+공학관!I25</x:f>
        <x:v>0</x:v>
      </x:c>
      <x:c r="Q25" s="37">
        <x:f>'교육용,R&amp;D,삼의원(잇다카페)'!J25+푸른솔!J25+의과대학!J25+중앙도서관!J25+학생회관!J25+멀티미디어관!J25+제2기숙사!J25+선승관!J25+예술디자인대!J25+공학관!J25</x:f>
        <x:v>0</x:v>
      </x:c>
      <x:c r="R25" s="37">
        <x:f>'교육용,R&amp;D,삼의원(잇다카페)'!K25+푸른솔!K25+의과대학!K25+중앙도서관!K25+학생회관!K25+멀티미디어관!K25+제2기숙사!K25+선승관!K25+예술디자인대!K25+공학관!K25</x:f>
        <x:v>0</x:v>
      </x:c>
      <x:c r="S25" s="37">
        <x:f>'교육용,R&amp;D,삼의원(잇다카페)'!L25+푸른솔!L25+의과대학!L25+중앙도서관!L25+학생회관!L25+멀티미디어관!L25+제2기숙사!L25+선승관!L25+예술디자인대!L25+공학관!L25</x:f>
        <x:v>0</x:v>
      </x:c>
      <x:c r="T25" s="38">
        <x:f>'교육용,R&amp;D,삼의원(잇다카페)'!M25+푸른솔!M25+의과대학!M25+중앙도서관!M25+학생회관!M25+멀티미디어관!M25+제2기숙사!M25+선승관!M25+예술디자인대!M25+공학관!M25</x:f>
        <x:v>0</x:v>
      </x:c>
      <x:c r="U25" s="157">
        <x:f t="shared" si="6"/>
        <x:v>0</x:v>
      </x:c>
      <x:c r="V25" s="157">
        <x:f t="shared" si="4"/>
        <x:v>0</x:v>
      </x:c>
      <x:c r="W25" s="161">
        <x:f t="shared" si="5"/>
        <x:v>3000</x:v>
      </x:c>
      <x:c r="X25" s="44">
        <x:f t="shared" si="0"/>
        <x:v>19200</x:v>
      </x:c>
      <x:c r="Y25" s="46"/>
      <x:c r="Z25" s="190">
        <x:v>0</x:v>
      </x:c>
      <x:c r="AA25" s="189">
        <x:f t="shared" si="1"/>
        <x:v>0</x:v>
      </x:c>
      <x:c r="AB25" s="227"/>
      <x:c r="AC25" s="221"/>
    </x:row>
    <x:row r="26" spans="1:29">
      <x:c r="A26" s="208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>
        <x:v>5000</x:v>
      </x:c>
      <x:c r="I26" s="106">
        <x:v>0</x:v>
      </x:c>
      <x:c r="J26" s="107"/>
      <x:c r="K26" s="107"/>
      <x:c r="L26" s="107"/>
      <x:c r="M26" s="108"/>
      <x:c r="N26" s="94">
        <x:f t="shared" si="2"/>
        <x:v>0</x:v>
      </x:c>
      <x:c r="O26" s="141">
        <x:f t="shared" si="3"/>
        <x:v>0</x:v>
      </x:c>
      <x:c r="P26" s="136">
        <x:f>'교육용,R&amp;D,삼의원(잇다카페)'!I26+푸른솔!I26+의과대학!I26+중앙도서관!I26+학생회관!I26+멀티미디어관!I26+제2기숙사!I26+선승관!I26+예술디자인대!I26+공학관!I26</x:f>
        <x:v>0</x:v>
      </x:c>
      <x:c r="Q26" s="37">
        <x:f>'교육용,R&amp;D,삼의원(잇다카페)'!J26+푸른솔!J26+의과대학!J26+중앙도서관!J26+학생회관!J26+멀티미디어관!J26+제2기숙사!J26+선승관!J26+예술디자인대!J26+공학관!J26</x:f>
        <x:v>0</x:v>
      </x:c>
      <x:c r="R26" s="37">
        <x:f>'교육용,R&amp;D,삼의원(잇다카페)'!K26+푸른솔!K26+의과대학!K26+중앙도서관!K26+학생회관!K26+멀티미디어관!K26+제2기숙사!K26+선승관!K26+예술디자인대!K26+공학관!K26</x:f>
        <x:v>0</x:v>
      </x:c>
      <x:c r="S26" s="37">
        <x:f>'교육용,R&amp;D,삼의원(잇다카페)'!L26+푸른솔!L26+의과대학!L26+중앙도서관!L26+학생회관!L26+멀티미디어관!L26+제2기숙사!L26+선승관!L26+예술디자인대!L26+공학관!L26</x:f>
        <x:v>0</x:v>
      </x:c>
      <x:c r="T26" s="38">
        <x:f>'교육용,R&amp;D,삼의원(잇다카페)'!M26+푸른솔!M26+의과대학!M26+중앙도서관!M26+학생회관!M26+멀티미디어관!M26+제2기숙사!M26+선승관!M26+예술디자인대!M26+공학관!M26</x:f>
        <x:v>0</x:v>
      </x:c>
      <x:c r="U26" s="157">
        <x:f t="shared" si="6"/>
        <x:v>0</x:v>
      </x:c>
      <x:c r="V26" s="157">
        <x:f t="shared" si="4"/>
        <x:v>0</x:v>
      </x:c>
      <x:c r="W26" s="161">
        <x:f t="shared" si="5"/>
        <x:v>5000</x:v>
      </x:c>
      <x:c r="X26" s="44">
        <x:f t="shared" si="0"/>
        <x:v>34000</x:v>
      </x:c>
      <x:c r="Y26" s="46"/>
      <x:c r="Z26" s="190">
        <x:v>0</x:v>
      </x:c>
      <x:c r="AA26" s="189">
        <x:f t="shared" si="1"/>
        <x:v>0</x:v>
      </x:c>
      <x:c r="AB26" s="227"/>
      <x:c r="AC26" s="221"/>
    </x:row>
    <x:row r="27" spans="1:29">
      <x:c r="A27" s="208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>
        <x:v>800</x:v>
      </x:c>
      <x:c r="I27" s="106">
        <x:v>0</x:v>
      </x:c>
      <x:c r="J27" s="107"/>
      <x:c r="K27" s="107"/>
      <x:c r="L27" s="107"/>
      <x:c r="M27" s="108"/>
      <x:c r="N27" s="94">
        <x:f t="shared" si="2"/>
        <x:v>0</x:v>
      </x:c>
      <x:c r="O27" s="141">
        <x:f t="shared" si="3"/>
        <x:v>0</x:v>
      </x:c>
      <x:c r="P27" s="136">
        <x:f>'교육용,R&amp;D,삼의원(잇다카페)'!I27+푸른솔!I27+의과대학!I27+중앙도서관!I27+학생회관!I27+멀티미디어관!I27+제2기숙사!I27+선승관!I27+예술디자인대!I27+공학관!I27</x:f>
        <x:v>200</x:v>
      </x:c>
      <x:c r="Q27" s="37">
        <x:f>'교육용,R&amp;D,삼의원(잇다카페)'!J27+푸른솔!J27+의과대학!J27+중앙도서관!J27+학생회관!J27+멀티미디어관!J27+제2기숙사!J27+선승관!J27+예술디자인대!J27+공학관!J27</x:f>
        <x:v>0</x:v>
      </x:c>
      <x:c r="R27" s="37">
        <x:f>'교육용,R&amp;D,삼의원(잇다카페)'!K27+푸른솔!K27+의과대학!K27+중앙도서관!K27+학생회관!K27+멀티미디어관!K27+제2기숙사!K27+선승관!K27+예술디자인대!K27+공학관!K27</x:f>
        <x:v>0</x:v>
      </x:c>
      <x:c r="S27" s="37">
        <x:f>'교육용,R&amp;D,삼의원(잇다카페)'!L27+푸른솔!L27+의과대학!L27+중앙도서관!L27+학생회관!L27+멀티미디어관!L27+제2기숙사!L27+선승관!L27+예술디자인대!L27+공학관!L27</x:f>
        <x:v>0</x:v>
      </x:c>
      <x:c r="T27" s="38">
        <x:f>'교육용,R&amp;D,삼의원(잇다카페)'!M27+푸른솔!M27+의과대학!M27+중앙도서관!M27+학생회관!M27+멀티미디어관!M27+제2기숙사!M27+선승관!M27+예술디자인대!M27+공학관!M27</x:f>
        <x:v>0</x:v>
      </x:c>
      <x:c r="U27" s="157">
        <x:f t="shared" si="6"/>
        <x:v>200</x:v>
      </x:c>
      <x:c r="V27" s="157">
        <x:f t="shared" si="4"/>
        <x:v>5000</x:v>
      </x:c>
      <x:c r="W27" s="161">
        <x:f t="shared" si="5"/>
        <x:v>600</x:v>
      </x:c>
      <x:c r="X27" s="44">
        <x:f t="shared" si="0"/>
        <x:v>15000</x:v>
      </x:c>
      <x:c r="Y27" s="46"/>
      <x:c r="Z27" s="190">
        <x:v>0</x:v>
      </x:c>
      <x:c r="AA27" s="189">
        <x:f t="shared" si="1"/>
        <x:v>0</x:v>
      </x:c>
      <x:c r="AB27" s="227"/>
      <x:c r="AC27" s="221"/>
    </x:row>
    <x:row r="28" spans="1:29">
      <x:c r="A28" s="208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>
        <x:v>8</x:v>
      </x:c>
      <x:c r="I28" s="106">
        <x:v>12</x:v>
      </x:c>
      <x:c r="J28" s="114"/>
      <x:c r="K28" s="107"/>
      <x:c r="L28" s="114"/>
      <x:c r="M28" s="115"/>
      <x:c r="N28" s="94">
        <x:f t="shared" si="2"/>
        <x:v>12</x:v>
      </x:c>
      <x:c r="O28" s="141">
        <x:f t="shared" si="3"/>
        <x:v>25200</x:v>
      </x:c>
      <x:c r="P28" s="136">
        <x:f>'교육용,R&amp;D,삼의원(잇다카페)'!I28+푸른솔!I28+의과대학!I28+중앙도서관!I28+학생회관!I28+멀티미디어관!I28+제2기숙사!I28+선승관!I28+예술디자인대!I28+공학관!I28</x:f>
        <x:v>0</x:v>
      </x:c>
      <x:c r="Q28" s="37">
        <x:f>'교육용,R&amp;D,삼의원(잇다카페)'!J28+푸른솔!J28+의과대학!J28+중앙도서관!J28+학생회관!J28+멀티미디어관!J28+제2기숙사!J28+선승관!J28+예술디자인대!J28+공학관!J28</x:f>
        <x:v>0</x:v>
      </x:c>
      <x:c r="R28" s="37">
        <x:f>'교육용,R&amp;D,삼의원(잇다카페)'!K28+푸른솔!K28+의과대학!K28+중앙도서관!K28+학생회관!K28+멀티미디어관!K28+제2기숙사!K28+선승관!K28+예술디자인대!K28+공학관!K28</x:f>
        <x:v>0</x:v>
      </x:c>
      <x:c r="S28" s="37">
        <x:f>'교육용,R&amp;D,삼의원(잇다카페)'!L28+푸른솔!L28+의과대학!L28+중앙도서관!L28+학생회관!L28+멀티미디어관!L28+제2기숙사!L28+선승관!L28+예술디자인대!L28+공학관!L28</x:f>
        <x:v>0</x:v>
      </x:c>
      <x:c r="T28" s="38">
        <x:f>'교육용,R&amp;D,삼의원(잇다카페)'!M28+푸른솔!M28+의과대학!M28+중앙도서관!M28+학생회관!M28+멀티미디어관!M28+제2기숙사!M28+선승관!M28+예술디자인대!M28+공학관!M28</x:f>
        <x:v>0</x:v>
      </x:c>
      <x:c r="U28" s="157">
        <x:f t="shared" si="6"/>
        <x:v>0</x:v>
      </x:c>
      <x:c r="V28" s="157">
        <x:f t="shared" si="4"/>
        <x:v>0</x:v>
      </x:c>
      <x:c r="W28" s="161">
        <x:f t="shared" si="5"/>
        <x:v>20</x:v>
      </x:c>
      <x:c r="X28" s="44">
        <x:f t="shared" si="0"/>
        <x:v>42000</x:v>
      </x:c>
      <x:c r="Y28" s="77"/>
      <x:c r="Z28" s="190">
        <x:v>0</x:v>
      </x:c>
      <x:c r="AA28" s="189">
        <x:f t="shared" si="1"/>
        <x:v>0</x:v>
      </x:c>
      <x:c r="AB28" s="227"/>
      <x:c r="AC28" s="221"/>
    </x:row>
    <x:row r="29" spans="1:29">
      <x:c r="A29" s="208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>
        <x:v>6</x:v>
      </x:c>
      <x:c r="I29" s="106">
        <x:v>12</x:v>
      </x:c>
      <x:c r="J29" s="107"/>
      <x:c r="K29" s="107"/>
      <x:c r="L29" s="107"/>
      <x:c r="M29" s="108"/>
      <x:c r="N29" s="94">
        <x:f t="shared" si="2"/>
        <x:v>12</x:v>
      </x:c>
      <x:c r="O29" s="141">
        <x:f t="shared" si="3"/>
        <x:v>25200</x:v>
      </x:c>
      <x:c r="P29" s="136">
        <x:f>'교육용,R&amp;D,삼의원(잇다카페)'!I29+푸른솔!I29+의과대학!I29+중앙도서관!I29+학생회관!I29+멀티미디어관!I29+제2기숙사!I29+선승관!I29+예술디자인대!I29+공학관!I29</x:f>
        <x:v>0</x:v>
      </x:c>
      <x:c r="Q29" s="37">
        <x:f>'교육용,R&amp;D,삼의원(잇다카페)'!J29+푸른솔!J29+의과대학!J29+중앙도서관!J29+학생회관!J29+멀티미디어관!J29+제2기숙사!J29+선승관!J29+예술디자인대!J29+공학관!J29</x:f>
        <x:v>4</x:v>
      </x:c>
      <x:c r="R29" s="37">
        <x:f>'교육용,R&amp;D,삼의원(잇다카페)'!K29+푸른솔!K29+의과대학!K29+중앙도서관!K29+학생회관!K29+멀티미디어관!K29+제2기숙사!K29+선승관!K29+예술디자인대!K29+공학관!K29</x:f>
        <x:v>0</x:v>
      </x:c>
      <x:c r="S29" s="37">
        <x:f>'교육용,R&amp;D,삼의원(잇다카페)'!L29+푸른솔!L29+의과대학!L29+중앙도서관!L29+학생회관!L29+멀티미디어관!L29+제2기숙사!L29+선승관!L29+예술디자인대!L29+공학관!L29</x:f>
        <x:v>0</x:v>
      </x:c>
      <x:c r="T29" s="38">
        <x:f>'교육용,R&amp;D,삼의원(잇다카페)'!M29+푸른솔!M29+의과대학!M29+중앙도서관!M29+학생회관!M29+멀티미디어관!M29+제2기숙사!M29+선승관!M29+예술디자인대!M29+공학관!M29</x:f>
        <x:v>0</x:v>
      </x:c>
      <x:c r="U29" s="157">
        <x:f t="shared" si="6"/>
        <x:v>4</x:v>
      </x:c>
      <x:c r="V29" s="157">
        <x:f t="shared" si="4"/>
        <x:v>8400</x:v>
      </x:c>
      <x:c r="W29" s="161">
        <x:f t="shared" si="5"/>
        <x:v>14</x:v>
      </x:c>
      <x:c r="X29" s="44">
        <x:f t="shared" si="0"/>
        <x:v>29400</x:v>
      </x:c>
      <x:c r="Y29" s="46"/>
      <x:c r="Z29" s="190">
        <x:v>0</x:v>
      </x:c>
      <x:c r="AA29" s="189">
        <x:f t="shared" si="1"/>
        <x:v>0</x:v>
      </x:c>
      <x:c r="AB29" s="227"/>
      <x:c r="AC29" s="221"/>
    </x:row>
    <x:row r="30" spans="1:29">
      <x:c r="A30" s="208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>
        <x:v>27</x:v>
      </x:c>
      <x:c r="I30" s="106">
        <x:v>0</x:v>
      </x:c>
      <x:c r="J30" s="107"/>
      <x:c r="K30" s="107"/>
      <x:c r="L30" s="107"/>
      <x:c r="M30" s="108"/>
      <x:c r="N30" s="94">
        <x:f t="shared" si="2"/>
        <x:v>0</x:v>
      </x:c>
      <x:c r="O30" s="141">
        <x:f t="shared" si="3"/>
        <x:v>0</x:v>
      </x:c>
      <x:c r="P30" s="136">
        <x:f>'교육용,R&amp;D,삼의원(잇다카페)'!I30+푸른솔!I30+의과대학!I30+중앙도서관!I30+학생회관!I30+멀티미디어관!I30+제2기숙사!I30+선승관!I30+예술디자인대!I30+공학관!I30</x:f>
        <x:v>18</x:v>
      </x:c>
      <x:c r="Q30" s="37">
        <x:f>'교육용,R&amp;D,삼의원(잇다카페)'!J30+푸른솔!J30+의과대학!J30+중앙도서관!J30+학생회관!J30+멀티미디어관!J30+제2기숙사!J30+선승관!J30+예술디자인대!J30+공학관!J30</x:f>
        <x:v>0</x:v>
      </x:c>
      <x:c r="R30" s="37">
        <x:f>'교육용,R&amp;D,삼의원(잇다카페)'!K30+푸른솔!K30+의과대학!K30+중앙도서관!K30+학생회관!K30+멀티미디어관!K30+제2기숙사!K30+선승관!K30+예술디자인대!K30+공학관!K30</x:f>
        <x:v>0</x:v>
      </x:c>
      <x:c r="S30" s="37">
        <x:f>'교육용,R&amp;D,삼의원(잇다카페)'!L30+푸른솔!L30+의과대학!L30+중앙도서관!L30+학생회관!L30+멀티미디어관!L30+제2기숙사!L30+선승관!L30+예술디자인대!L30+공학관!L30</x:f>
        <x:v>0</x:v>
      </x:c>
      <x:c r="T30" s="38">
        <x:f>'교육용,R&amp;D,삼의원(잇다카페)'!M30+푸른솔!M30+의과대학!M30+중앙도서관!M30+학생회관!M30+멀티미디어관!M30+제2기숙사!M30+선승관!M30+예술디자인대!M30+공학관!M30</x:f>
        <x:v>0</x:v>
      </x:c>
      <x:c r="U30" s="157">
        <x:f t="shared" si="6"/>
        <x:v>18</x:v>
      </x:c>
      <x:c r="V30" s="157">
        <x:f t="shared" si="4"/>
        <x:v>37800</x:v>
      </x:c>
      <x:c r="W30" s="161">
        <x:f t="shared" si="5"/>
        <x:v>9</x:v>
      </x:c>
      <x:c r="X30" s="44">
        <x:f t="shared" si="0"/>
        <x:v>18900</x:v>
      </x:c>
      <x:c r="Y30" s="46"/>
      <x:c r="Z30" s="190">
        <x:v>0</x:v>
      </x:c>
      <x:c r="AA30" s="189">
        <x:f t="shared" si="1"/>
        <x:v>0</x:v>
      </x:c>
      <x:c r="AB30" s="227"/>
      <x:c r="AC30" s="221"/>
    </x:row>
    <x:row r="31" spans="1:29">
      <x:c r="A31" s="208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>
        <x:v>19</x:v>
      </x:c>
      <x:c r="I31" s="106">
        <x:v>12</x:v>
      </x:c>
      <x:c r="J31" s="107"/>
      <x:c r="K31" s="107"/>
      <x:c r="L31" s="107"/>
      <x:c r="M31" s="108"/>
      <x:c r="N31" s="94">
        <x:f t="shared" si="2"/>
        <x:v>12</x:v>
      </x:c>
      <x:c r="O31" s="141">
        <x:f t="shared" si="3"/>
        <x:v>33600</x:v>
      </x:c>
      <x:c r="P31" s="136">
        <x:f>'교육용,R&amp;D,삼의원(잇다카페)'!I31+푸른솔!I31+의과대학!I31+중앙도서관!I31+학생회관!I31+멀티미디어관!I31+제2기숙사!I31+선승관!I31+예술디자인대!I31+공학관!I31</x:f>
        <x:v>3</x:v>
      </x:c>
      <x:c r="Q31" s="37">
        <x:f>'교육용,R&amp;D,삼의원(잇다카페)'!J31+푸른솔!J31+의과대학!J31+중앙도서관!J31+학생회관!J31+멀티미디어관!J31+제2기숙사!J31+선승관!J31+예술디자인대!J31+공학관!J31</x:f>
        <x:v>3</x:v>
      </x:c>
      <x:c r="R31" s="37">
        <x:f>'교육용,R&amp;D,삼의원(잇다카페)'!K31+푸른솔!K31+의과대학!K31+중앙도서관!K31+학생회관!K31+멀티미디어관!K31+제2기숙사!K31+선승관!K31+예술디자인대!K31+공학관!K31</x:f>
        <x:v>5</x:v>
      </x:c>
      <x:c r="S31" s="37">
        <x:f>'교육용,R&amp;D,삼의원(잇다카페)'!L31+푸른솔!L31+의과대학!L31+중앙도서관!L31+학생회관!L31+멀티미디어관!L31+제2기숙사!L31+선승관!L31+예술디자인대!L31+공학관!L31</x:f>
        <x:v>0</x:v>
      </x:c>
      <x:c r="T31" s="38">
        <x:f>'교육용,R&amp;D,삼의원(잇다카페)'!M31+푸른솔!M31+의과대학!M31+중앙도서관!M31+학생회관!M31+멀티미디어관!M31+제2기숙사!M31+선승관!M31+예술디자인대!M31+공학관!M31</x:f>
        <x:v>0</x:v>
      </x:c>
      <x:c r="U31" s="157">
        <x:f t="shared" si="6"/>
        <x:v>11</x:v>
      </x:c>
      <x:c r="V31" s="157">
        <x:f t="shared" si="4"/>
        <x:v>30800</x:v>
      </x:c>
      <x:c r="W31" s="161">
        <x:f t="shared" si="5"/>
        <x:v>20</x:v>
      </x:c>
      <x:c r="X31" s="44">
        <x:f t="shared" si="0"/>
        <x:v>56000</x:v>
      </x:c>
      <x:c r="Y31" s="46"/>
      <x:c r="Z31" s="190">
        <x:v>0</x:v>
      </x:c>
      <x:c r="AA31" s="189">
        <x:f t="shared" si="1"/>
        <x:v>0</x:v>
      </x:c>
      <x:c r="AB31" s="227"/>
      <x:c r="AC31" s="221"/>
    </x:row>
    <x:row r="32" spans="1:29">
      <x:c r="A32" s="208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>
        <x:v>140</x:v>
      </x:c>
      <x:c r="I32" s="106">
        <x:v>0</x:v>
      </x:c>
      <x:c r="J32" s="114"/>
      <x:c r="K32" s="107"/>
      <x:c r="L32" s="114"/>
      <x:c r="M32" s="115"/>
      <x:c r="N32" s="94">
        <x:f t="shared" si="2"/>
        <x:v>0</x:v>
      </x:c>
      <x:c r="O32" s="141">
        <x:f t="shared" si="3"/>
        <x:v>0</x:v>
      </x:c>
      <x:c r="P32" s="136">
        <x:f>'교육용,R&amp;D,삼의원(잇다카페)'!I32+푸른솔!I32+의과대학!I32+중앙도서관!I32+학생회관!I32+멀티미디어관!I32+제2기숙사!I32+선승관!I32+예술디자인대!I32+공학관!I32</x:f>
        <x:v>20</x:v>
      </x:c>
      <x:c r="Q32" s="37">
        <x:f>'교육용,R&amp;D,삼의원(잇다카페)'!J32+푸른솔!J32+의과대학!J32+중앙도서관!J32+학생회관!J32+멀티미디어관!J32+제2기숙사!J32+선승관!J32+예술디자인대!J32+공학관!J32</x:f>
        <x:v>20</x:v>
      </x:c>
      <x:c r="R32" s="37">
        <x:f>'교육용,R&amp;D,삼의원(잇다카페)'!K32+푸른솔!K32+의과대학!K32+중앙도서관!K32+학생회관!K32+멀티미디어관!K32+제2기숙사!K32+선승관!K32+예술디자인대!K32+공학관!K32</x:f>
        <x:v>0</x:v>
      </x:c>
      <x:c r="S32" s="37">
        <x:f>'교육용,R&amp;D,삼의원(잇다카페)'!L32+푸른솔!L32+의과대학!L32+중앙도서관!L32+학생회관!L32+멀티미디어관!L32+제2기숙사!L32+선승관!L32+예술디자인대!L32+공학관!L32</x:f>
        <x:v>0</x:v>
      </x:c>
      <x:c r="T32" s="38">
        <x:f>'교육용,R&amp;D,삼의원(잇다카페)'!M32+푸른솔!M32+의과대학!M32+중앙도서관!M32+학생회관!M32+멀티미디어관!M32+제2기숙사!M32+선승관!M32+예술디자인대!M32+공학관!M32</x:f>
        <x:v>0</x:v>
      </x:c>
      <x:c r="U32" s="157">
        <x:f t="shared" si="6"/>
        <x:v>40</x:v>
      </x:c>
      <x:c r="V32" s="157">
        <x:f t="shared" si="4"/>
        <x:v>16400</x:v>
      </x:c>
      <x:c r="W32" s="161">
        <x:f t="shared" si="5"/>
        <x:v>100</x:v>
      </x:c>
      <x:c r="X32" s="44">
        <x:f t="shared" si="0"/>
        <x:v>41000</x:v>
      </x:c>
      <x:c r="Y32" s="77"/>
      <x:c r="Z32" s="190">
        <x:v>0</x:v>
      </x:c>
      <x:c r="AA32" s="189">
        <x:f t="shared" si="1"/>
        <x:v>0</x:v>
      </x:c>
      <x:c r="AB32" s="227"/>
      <x:c r="AC32" s="221"/>
    </x:row>
    <x:row r="33" spans="1:29">
      <x:c r="A33" s="208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>
        <x:v>41</x:v>
      </x:c>
      <x:c r="I33" s="106">
        <x:v>120</x:v>
      </x:c>
      <x:c r="J33" s="114"/>
      <x:c r="K33" s="107"/>
      <x:c r="L33" s="114"/>
      <x:c r="M33" s="115"/>
      <x:c r="N33" s="94">
        <x:f t="shared" si="2"/>
        <x:v>120</x:v>
      </x:c>
      <x:c r="O33" s="141">
        <x:f t="shared" si="3"/>
        <x:v>864000</x:v>
      </x:c>
      <x:c r="P33" s="136">
        <x:f>'교육용,R&amp;D,삼의원(잇다카페)'!I33+푸른솔!I33+의과대학!I33+중앙도서관!I33+학생회관!I33+멀티미디어관!I33+제2기숙사!I33+선승관!I33+예술디자인대!I33+공학관!I33</x:f>
        <x:v>21</x:v>
      </x:c>
      <x:c r="Q33" s="37">
        <x:f>'교육용,R&amp;D,삼의원(잇다카페)'!J33+푸른솔!J33+의과대학!J33+중앙도서관!J33+학생회관!J33+멀티미디어관!J33+제2기숙사!J33+선승관!J33+예술디자인대!J33+공학관!J33</x:f>
        <x:v>20</x:v>
      </x:c>
      <x:c r="R33" s="37">
        <x:f>'교육용,R&amp;D,삼의원(잇다카페)'!K33+푸른솔!K33+의과대학!K33+중앙도서관!K33+학생회관!K33+멀티미디어관!K33+제2기숙사!K33+선승관!K33+예술디자인대!K33+공학관!K33</x:f>
        <x:v>17</x:v>
      </x:c>
      <x:c r="S33" s="37">
        <x:f>'교육용,R&amp;D,삼의원(잇다카페)'!L33+푸른솔!L33+의과대학!L33+중앙도서관!L33+학생회관!L33+멀티미디어관!L33+제2기숙사!L33+선승관!L33+예술디자인대!L33+공학관!L33</x:f>
        <x:v>0</x:v>
      </x:c>
      <x:c r="T33" s="38">
        <x:f>'교육용,R&amp;D,삼의원(잇다카페)'!M33+푸른솔!M33+의과대학!M33+중앙도서관!M33+학생회관!M33+멀티미디어관!M33+제2기숙사!M33+선승관!M33+예술디자인대!M33+공학관!M33</x:f>
        <x:v>0</x:v>
      </x:c>
      <x:c r="U33" s="157">
        <x:f t="shared" si="6"/>
        <x:v>58</x:v>
      </x:c>
      <x:c r="V33" s="157">
        <x:f t="shared" si="4"/>
        <x:v>417600</x:v>
      </x:c>
      <x:c r="W33" s="161">
        <x:f t="shared" si="5"/>
        <x:v>103</x:v>
      </x:c>
      <x:c r="X33" s="44">
        <x:f t="shared" si="0"/>
        <x:v>741600</x:v>
      </x:c>
      <x:c r="Y33" s="77"/>
      <x:c r="Z33" s="190">
        <x:v>0</x:v>
      </x:c>
      <x:c r="AA33" s="189">
        <x:f t="shared" si="1"/>
        <x:v>0</x:v>
      </x:c>
      <x:c r="AB33" s="227"/>
      <x:c r="AC33" s="221"/>
    </x:row>
    <x:row r="34" spans="1:29">
      <x:c r="A34" s="208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>
        <x:v>63</x:v>
      </x:c>
      <x:c r="I34" s="106">
        <x:v>60</x:v>
      </x:c>
      <x:c r="J34" s="114"/>
      <x:c r="K34" s="107"/>
      <x:c r="L34" s="114"/>
      <x:c r="M34" s="115"/>
      <x:c r="N34" s="94">
        <x:f t="shared" si="2"/>
        <x:v>60</x:v>
      </x:c>
      <x:c r="O34" s="141">
        <x:f t="shared" si="3"/>
        <x:v>81000</x:v>
      </x:c>
      <x:c r="P34" s="136">
        <x:f>'교육용,R&amp;D,삼의원(잇다카페)'!I34+푸른솔!I34+의과대학!I34+중앙도서관!I34+학생회관!I34+멀티미디어관!I34+제2기숙사!I34+선승관!I34+예술디자인대!I34+공학관!I34</x:f>
        <x:v>11</x:v>
      </x:c>
      <x:c r="Q34" s="37">
        <x:f>'교육용,R&amp;D,삼의원(잇다카페)'!J34+푸른솔!J34+의과대학!J34+중앙도서관!J34+학생회관!J34+멀티미디어관!J34+제2기숙사!J34+선승관!J34+예술디자인대!J34+공학관!J34</x:f>
        <x:v>10</x:v>
      </x:c>
      <x:c r="R34" s="37">
        <x:f>'교육용,R&amp;D,삼의원(잇다카페)'!K34+푸른솔!K34+의과대학!K34+중앙도서관!K34+학생회관!K34+멀티미디어관!K34+제2기숙사!K34+선승관!K34+예술디자인대!K34+공학관!K34</x:f>
        <x:v>13</x:v>
      </x:c>
      <x:c r="S34" s="37">
        <x:f>'교육용,R&amp;D,삼의원(잇다카페)'!L34+푸른솔!L34+의과대학!L34+중앙도서관!L34+학생회관!L34+멀티미디어관!L34+제2기숙사!L34+선승관!L34+예술디자인대!L34+공학관!L34</x:f>
        <x:v>0</x:v>
      </x:c>
      <x:c r="T34" s="38">
        <x:f>'교육용,R&amp;D,삼의원(잇다카페)'!M34+푸른솔!M34+의과대학!M34+중앙도서관!M34+학생회관!M34+멀티미디어관!M34+제2기숙사!M34+선승관!M34+예술디자인대!M34+공학관!M34</x:f>
        <x:v>0</x:v>
      </x:c>
      <x:c r="U34" s="157">
        <x:f t="shared" si="6"/>
        <x:v>34</x:v>
      </x:c>
      <x:c r="V34" s="157">
        <x:f t="shared" si="4"/>
        <x:v>45900</x:v>
      </x:c>
      <x:c r="W34" s="161">
        <x:f t="shared" si="5"/>
        <x:v>89</x:v>
      </x:c>
      <x:c r="X34" s="44">
        <x:f t="shared" si="0"/>
        <x:v>120150</x:v>
      </x:c>
      <x:c r="Y34" s="77"/>
      <x:c r="Z34" s="190">
        <x:v>0</x:v>
      </x:c>
      <x:c r="AA34" s="189">
        <x:f t="shared" si="1"/>
        <x:v>0</x:v>
      </x:c>
      <x:c r="AB34" s="227"/>
      <x:c r="AC34" s="221"/>
    </x:row>
    <x:row r="35" spans="1:29">
      <x:c r="A35" s="208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>
        <x:v>8</x:v>
      </x:c>
      <x:c r="I35" s="106">
        <x:v>64</x:v>
      </x:c>
      <x:c r="J35" s="107"/>
      <x:c r="K35" s="107"/>
      <x:c r="L35" s="107"/>
      <x:c r="M35" s="108"/>
      <x:c r="N35" s="94">
        <x:f t="shared" si="2"/>
        <x:v>64</x:v>
      </x:c>
      <x:c r="O35" s="141">
        <x:f t="shared" si="3"/>
        <x:v>439680</x:v>
      </x:c>
      <x:c r="P35" s="136">
        <x:f>'교육용,R&amp;D,삼의원(잇다카페)'!I35+푸른솔!I35+의과대학!I35+중앙도서관!I35+학생회관!I35+멀티미디어관!I35+제2기숙사!I35+선승관!I35+예술디자인대!I35+공학관!I35</x:f>
        <x:v>19</x:v>
      </x:c>
      <x:c r="Q35" s="37">
        <x:f>'교육용,R&amp;D,삼의원(잇다카페)'!J35+푸른솔!J35+의과대학!J35+중앙도서관!J35+학생회관!J35+멀티미디어관!J35+제2기숙사!J35+선승관!J35+예술디자인대!J35+공학관!J35</x:f>
        <x:v>8</x:v>
      </x:c>
      <x:c r="R35" s="37">
        <x:f>'교육용,R&amp;D,삼의원(잇다카페)'!K35+푸른솔!K35+의과대학!K35+중앙도서관!K35+학생회관!K35+멀티미디어관!K35+제2기숙사!K35+선승관!K35+예술디자인대!K35+공학관!K35</x:f>
        <x:v>20</x:v>
      </x:c>
      <x:c r="S35" s="37">
        <x:f>'교육용,R&amp;D,삼의원(잇다카페)'!L35+푸른솔!L35+의과대학!L35+중앙도서관!L35+학생회관!L35+멀티미디어관!L35+제2기숙사!L35+선승관!L35+예술디자인대!L35+공학관!L35</x:f>
        <x:v>0</x:v>
      </x:c>
      <x:c r="T35" s="38">
        <x:f>'교육용,R&amp;D,삼의원(잇다카페)'!M35+푸른솔!M35+의과대학!M35+중앙도서관!M35+학생회관!M35+멀티미디어관!M35+제2기숙사!M35+선승관!M35+예술디자인대!M35+공학관!M35</x:f>
        <x:v>0</x:v>
      </x:c>
      <x:c r="U35" s="157">
        <x:f t="shared" si="6"/>
        <x:v>47</x:v>
      </x:c>
      <x:c r="V35" s="157">
        <x:f t="shared" si="4"/>
        <x:v>322890</x:v>
      </x:c>
      <x:c r="W35" s="161">
        <x:f t="shared" si="5"/>
        <x:v>25</x:v>
      </x:c>
      <x:c r="X35" s="44">
        <x:f t="shared" si="0"/>
        <x:v>171750</x:v>
      </x:c>
      <x:c r="Y35" s="46"/>
      <x:c r="Z35" s="190">
        <x:v>0</x:v>
      </x:c>
      <x:c r="AA35" s="189">
        <x:f t="shared" si="1"/>
        <x:v>0</x:v>
      </x:c>
      <x:c r="AB35" s="227"/>
      <x:c r="AC35" s="221"/>
    </x:row>
    <x:row r="36" spans="1:29">
      <x:c r="A36" s="209"/>
      <x:c r="B36" s="26" t="s">
        <x:v>83</x:v>
      </x:c>
      <x:c r="C36" s="49" t="s">
        <x:v>70</x:v>
      </x:c>
      <x:c r="D36" s="49" t="s">
        <x:v>129</x:v>
      </x:c>
      <x:c r="E36" s="203">
        <x:v>6870</x:v>
      </x:c>
      <x:c r="F36" s="57">
        <x:v>8</x:v>
      </x:c>
      <x:c r="G36" s="58">
        <x:v>54960</x:v>
      </x:c>
      <x:c r="H36" s="59">
        <x:v>8</x:v>
      </x:c>
      <x:c r="I36" s="110">
        <x:v>24</x:v>
      </x:c>
      <x:c r="J36" s="111"/>
      <x:c r="K36" s="107"/>
      <x:c r="L36" s="111"/>
      <x:c r="M36" s="112"/>
      <x:c r="N36" s="96">
        <x:f t="shared" si="2"/>
        <x:v>24</x:v>
      </x:c>
      <x:c r="O36" s="139">
        <x:f t="shared" si="3"/>
        <x:v>164880</x:v>
      </x:c>
      <x:c r="P36" s="129">
        <x:f>'교육용,R&amp;D,삼의원(잇다카페)'!I36+푸른솔!I36+의과대학!I36+중앙도서관!I36+학생회관!I36+멀티미디어관!I36+제2기숙사!I36+선승관!I36+예술디자인대!I36+공학관!I36</x:f>
        <x:v>4</x:v>
      </x:c>
      <x:c r="Q36" s="57">
        <x:f>'교육용,R&amp;D,삼의원(잇다카페)'!J36+푸른솔!J36+의과대학!J36+중앙도서관!J36+학생회관!J36+멀티미디어관!J36+제2기숙사!J36+선승관!J36+예술디자인대!J36+공학관!J36</x:f>
        <x:v>4</x:v>
      </x:c>
      <x:c r="R36" s="57">
        <x:f>'교육용,R&amp;D,삼의원(잇다카페)'!K36+푸른솔!K36+의과대학!K36+중앙도서관!K36+학생회관!K36+멀티미디어관!K36+제2기숙사!K36+선승관!K36+예술디자인대!K36+공학관!K36</x:f>
        <x:v>2</x:v>
      </x:c>
      <x:c r="S36" s="57">
        <x:f>'교육용,R&amp;D,삼의원(잇다카페)'!L36+푸른솔!L36+의과대학!L36+중앙도서관!L36+학생회관!L36+멀티미디어관!L36+제2기숙사!L36+선승관!L36+예술디자인대!L36+공학관!L36</x:f>
        <x:v>0</x:v>
      </x:c>
      <x:c r="T36" s="58">
        <x:f>'교육용,R&amp;D,삼의원(잇다카페)'!M36+푸른솔!M36+의과대학!M36+중앙도서관!M36+학생회관!M36+멀티미디어관!M36+제2기숙사!M36+선승관!M36+예술디자인대!M36+공학관!M36</x:f>
        <x:v>0</x:v>
      </x:c>
      <x:c r="U36" s="158">
        <x:f t="shared" si="6"/>
        <x:v>10</x:v>
      </x:c>
      <x:c r="V36" s="158">
        <x:f t="shared" si="4"/>
        <x:v>68700</x:v>
      </x:c>
      <x:c r="W36" s="162">
        <x:f t="shared" si="5"/>
        <x:v>22</x:v>
      </x:c>
      <x:c r="X36" s="51">
        <x:f t="shared" si="0"/>
        <x:v>151140</x:v>
      </x:c>
      <x:c r="Y36" s="63"/>
      <x:c r="Z36" s="190">
        <x:v>0</x:v>
      </x:c>
      <x:c r="AA36" s="204">
        <x:f t="shared" si="1"/>
        <x:v>0</x:v>
      </x:c>
      <x:c r="AB36" s="228"/>
      <x:c r="AC36" s="222"/>
    </x:row>
    <x:row r="37" spans="1:29">
      <x:c r="A37" s="207" t="s">
        <x:v>41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>
        <x:v>20500</x:v>
      </x:c>
      <x:c r="I37" s="100"/>
      <x:c r="J37" s="101"/>
      <x:c r="K37" s="101"/>
      <x:c r="L37" s="101"/>
      <x:c r="M37" s="102"/>
      <x:c r="N37" s="93">
        <x:f t="shared" si="2"/>
        <x:v>0</x:v>
      </x:c>
      <x:c r="O37" s="142">
        <x:f t="shared" si="3"/>
        <x:v>0</x:v>
      </x:c>
      <x:c r="P37" s="128">
        <x:f>'교육용,R&amp;D,삼의원(잇다카페)'!I37+푸른솔!I37+의과대학!I37+중앙도서관!I37+학생회관!I37+멀티미디어관!I37+제2기숙사!I37+선승관!I37+예술디자인대!I37+공학관!I37</x:f>
        <x:v>200</x:v>
      </x:c>
      <x:c r="Q37" s="55">
        <x:f>'교육용,R&amp;D,삼의원(잇다카페)'!J37+푸른솔!J37+의과대학!J37+중앙도서관!J37+학생회관!J37+멀티미디어관!J37+제2기숙사!J37+선승관!J37+예술디자인대!J37+공학관!J37</x:f>
        <x:v>100</x:v>
      </x:c>
      <x:c r="R37" s="55">
        <x:f>'교육용,R&amp;D,삼의원(잇다카페)'!K37+푸른솔!K37+의과대학!K37+중앙도서관!K37+학생회관!K37+멀티미디어관!K37+제2기숙사!K37+선승관!K37+예술디자인대!K37+공학관!K37</x:f>
        <x:v>0</x:v>
      </x:c>
      <x:c r="S37" s="55">
        <x:f>'교육용,R&amp;D,삼의원(잇다카페)'!L37+푸른솔!L37+의과대학!L37+중앙도서관!L37+학생회관!L37+멀티미디어관!L37+제2기숙사!L37+선승관!L37+예술디자인대!L37+공학관!L37</x:f>
        <x:v>0</x:v>
      </x:c>
      <x:c r="T37" s="155">
        <x:f>'교육용,R&amp;D,삼의원(잇다카페)'!M37+푸른솔!M37+의과대학!M37+중앙도서관!M37+학생회관!M37+멀티미디어관!M37+제2기숙사!M37+선승관!M37+예술디자인대!M37+공학관!M37</x:f>
        <x:v>0</x:v>
      </x:c>
      <x:c r="U37" s="156">
        <x:f t="shared" si="6"/>
        <x:v>300</x:v>
      </x:c>
      <x:c r="V37" s="156">
        <x:f t="shared" si="4"/>
        <x:v>1920</x:v>
      </x:c>
      <x:c r="W37" s="160">
        <x:f t="shared" si="5"/>
        <x:v>20200</x:v>
      </x:c>
      <x:c r="X37" s="24">
        <x:f t="shared" ref="X37:X64" si="7">E37*W37</x:f>
        <x:v>129280</x:v>
      </x:c>
      <x:c r="Y37" s="48"/>
      <x:c r="Z37" s="191">
        <x:v>0</x:v>
      </x:c>
      <x:c r="AA37" s="192">
        <x:f t="shared" si="1"/>
        <x:v>0</x:v>
      </x:c>
      <x:c r="AB37" s="226">
        <x:f>SUM(AA37:AA38)</x:f>
        <x:v>0</x:v>
      </x:c>
      <x:c r="AC37" s="220">
        <x:f>AB37*1.1</x:f>
        <x:v>0</x:v>
      </x:c>
    </x:row>
    <x:row r="38" spans="1:29">
      <x:c r="A38" s="21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>
        <x:v>3580</x:v>
      </x:c>
      <x:c r="I38" s="103"/>
      <x:c r="J38" s="104"/>
      <x:c r="K38" s="104"/>
      <x:c r="L38" s="104"/>
      <x:c r="M38" s="105"/>
      <x:c r="N38" s="96">
        <x:f t="shared" si="2"/>
        <x:v>0</x:v>
      </x:c>
      <x:c r="O38" s="139">
        <x:f t="shared" si="3"/>
        <x:v>0</x:v>
      </x:c>
      <x:c r="P38" s="127">
        <x:f>'교육용,R&amp;D,삼의원(잇다카페)'!I38+푸른솔!I38+의과대학!I38+중앙도서관!I38+학생회관!I38+멀티미디어관!I38+제2기숙사!I38+선승관!I38+예술디자인대!I38+공학관!I38</x:f>
        <x:v>0</x:v>
      </x:c>
      <x:c r="Q38" s="27">
        <x:f>'교육용,R&amp;D,삼의원(잇다카페)'!J38+푸른솔!J38+의과대학!J38+중앙도서관!J38+학생회관!J38+멀티미디어관!J38+제2기숙사!J38+선승관!J38+예술디자인대!J38+공학관!J38</x:f>
        <x:v>0</x:v>
      </x:c>
      <x:c r="R38" s="27">
        <x:f>'교육용,R&amp;D,삼의원(잇다카페)'!K38+푸른솔!K38+의과대학!K38+중앙도서관!K38+학생회관!K38+멀티미디어관!K38+제2기숙사!K38+선승관!K38+예술디자인대!K38+공학관!K38</x:f>
        <x:v>0</x:v>
      </x:c>
      <x:c r="S38" s="27">
        <x:f>'교육용,R&amp;D,삼의원(잇다카페)'!L38+푸른솔!L38+의과대학!L38+중앙도서관!L38+학생회관!L38+멀티미디어관!L38+제2기숙사!L38+선승관!L38+예술디자인대!L38+공학관!L38</x:f>
        <x:v>0</x:v>
      </x:c>
      <x:c r="T38" s="28">
        <x:f>'교육용,R&amp;D,삼의원(잇다카페)'!M38+푸른솔!M38+의과대학!M38+중앙도서관!M38+학생회관!M38+멀티미디어관!M38+제2기숙사!M38+선승관!M38+예술디자인대!M38+공학관!M38</x:f>
        <x:v>0</x:v>
      </x:c>
      <x:c r="U38" s="158">
        <x:f t="shared" si="6"/>
        <x:v>0</x:v>
      </x:c>
      <x:c r="V38" s="158">
        <x:f t="shared" si="4"/>
        <x:v>0</x:v>
      </x:c>
      <x:c r="W38" s="162">
        <x:f t="shared" si="5"/>
        <x:v>3580</x:v>
      </x:c>
      <x:c r="X38" s="51">
        <x:f t="shared" si="7"/>
        <x:v>16790.200000000001</x:v>
      </x:c>
      <x:c r="Y38" s="47"/>
      <x:c r="Z38" s="193">
        <x:v>0</x:v>
      </x:c>
      <x:c r="AA38" s="194">
        <x:f>Z38*E38</x:f>
        <x:v>0</x:v>
      </x:c>
      <x:c r="AB38" s="228"/>
      <x:c r="AC38" s="222"/>
    </x:row>
    <x:row r="39" spans="1:29">
      <x:c r="A39" s="214" t="s">
        <x:v>108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>
        <x:v>19</x:v>
      </x:c>
      <x:c r="I39" s="100"/>
      <x:c r="J39" s="101"/>
      <x:c r="K39" s="101"/>
      <x:c r="L39" s="101"/>
      <x:c r="M39" s="102"/>
      <x:c r="N39" s="97">
        <x:f t="shared" si="2"/>
        <x:v>0</x:v>
      </x:c>
      <x:c r="O39" s="142">
        <x:f t="shared" si="3"/>
        <x:v>0</x:v>
      </x:c>
      <x:c r="P39" s="137">
        <x:f>'교육용,R&amp;D,삼의원(잇다카페)'!I39+푸른솔!I39+의과대학!I39+중앙도서관!I39+학생회관!I39+멀티미디어관!I39+제2기숙사!I39+선승관!I39+예술디자인대!I39+공학관!I39</x:f>
        <x:v>4</x:v>
      </x:c>
      <x:c r="Q39" s="17">
        <x:f>'교육용,R&amp;D,삼의원(잇다카페)'!J39+푸른솔!J39+의과대학!J39+중앙도서관!J39+학생회관!J39+멀티미디어관!J39+제2기숙사!J39+선승관!J39+예술디자인대!J39+공학관!J39</x:f>
        <x:v>0</x:v>
      </x:c>
      <x:c r="R39" s="17">
        <x:f>'교육용,R&amp;D,삼의원(잇다카페)'!K39+푸른솔!K39+의과대학!K39+중앙도서관!K39+학생회관!K39+멀티미디어관!K39+제2기숙사!K39+선승관!K39+예술디자인대!K39+공학관!K39</x:f>
        <x:v>2</x:v>
      </x:c>
      <x:c r="S39" s="17">
        <x:f>'교육용,R&amp;D,삼의원(잇다카페)'!L39+푸른솔!L39+의과대학!L39+중앙도서관!L39+학생회관!L39+멀티미디어관!L39+제2기숙사!L39+선승관!L39+예술디자인대!L39+공학관!L39</x:f>
        <x:v>0</x:v>
      </x:c>
      <x:c r="T39" s="18">
        <x:f>'교육용,R&amp;D,삼의원(잇다카페)'!M39+푸른솔!M39+의과대학!M39+중앙도서관!M39+학생회관!M39+멀티미디어관!M39+제2기숙사!M39+선승관!M39+예술디자인대!M39+공학관!M39</x:f>
        <x:v>0</x:v>
      </x:c>
      <x:c r="U39" s="156">
        <x:f t="shared" si="6"/>
        <x:v>6</x:v>
      </x:c>
      <x:c r="V39" s="156">
        <x:f t="shared" si="4"/>
        <x:v>46200</x:v>
      </x:c>
      <x:c r="W39" s="160">
        <x:f>(H39+N39)-U39</x:f>
        <x:v>13</x:v>
      </x:c>
      <x:c r="X39" s="24">
        <x:f t="shared" si="7"/>
        <x:v>100100</x:v>
      </x:c>
      <x:c r="Y39" s="48"/>
      <x:c r="Z39" s="190">
        <x:v>0</x:v>
      </x:c>
      <x:c r="AA39" s="189">
        <x:f t="shared" ref="AA39:AA64" si="8">Z39*E39</x:f>
        <x:v>0</x:v>
      </x:c>
      <x:c r="AB39" s="229">
        <x:f>SUM(AA39:AA48)</x:f>
        <x:v>0</x:v>
      </x:c>
      <x:c r="AC39" s="231">
        <x:f>AB39*1.1</x:f>
        <x:v>0</x:v>
      </x:c>
    </x:row>
    <x:row r="40" spans="1:29">
      <x:c r="A40" s="216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>
        <x:v>33</x:v>
      </x:c>
      <x:c r="I40" s="106"/>
      <x:c r="J40" s="107"/>
      <x:c r="K40" s="107"/>
      <x:c r="L40" s="107"/>
      <x:c r="M40" s="108"/>
      <x:c r="N40" s="94">
        <x:f t="shared" si="2"/>
        <x:v>0</x:v>
      </x:c>
      <x:c r="O40" s="141">
        <x:f t="shared" si="3"/>
        <x:v>0</x:v>
      </x:c>
      <x:c r="P40" s="136">
        <x:f>'교육용,R&amp;D,삼의원(잇다카페)'!I40+푸른솔!I40+의과대학!I40+중앙도서관!I40+학생회관!I40+멀티미디어관!I40+제2기숙사!I40+선승관!I40+예술디자인대!I40+공학관!I40</x:f>
        <x:v>11</x:v>
      </x:c>
      <x:c r="Q40" s="37">
        <x:f>'교육용,R&amp;D,삼의원(잇다카페)'!J40+푸른솔!J40+의과대학!J40+중앙도서관!J40+학생회관!J40+멀티미디어관!J40+제2기숙사!J40+선승관!J40+예술디자인대!J40+공학관!J40</x:f>
        <x:v>5</x:v>
      </x:c>
      <x:c r="R40" s="37">
        <x:f>'교육용,R&amp;D,삼의원(잇다카페)'!K40+푸른솔!K40+의과대학!K40+중앙도서관!K40+학생회관!K40+멀티미디어관!K40+제2기숙사!K40+선승관!K40+예술디자인대!K40+공학관!K40</x:f>
        <x:v>8</x:v>
      </x:c>
      <x:c r="S40" s="37">
        <x:f>'교육용,R&amp;D,삼의원(잇다카페)'!L40+푸른솔!L40+의과대학!L40+중앙도서관!L40+학생회관!L40+멀티미디어관!L40+제2기숙사!L40+선승관!L40+예술디자인대!L40+공학관!L40</x:f>
        <x:v>0</x:v>
      </x:c>
      <x:c r="T40" s="38">
        <x:f>'교육용,R&amp;D,삼의원(잇다카페)'!M40+푸른솔!M40+의과대학!M40+중앙도서관!M40+학생회관!M40+멀티미디어관!M40+제2기숙사!M40+선승관!M40+예술디자인대!M40+공학관!M40</x:f>
        <x:v>0</x:v>
      </x:c>
      <x:c r="U40" s="157">
        <x:f t="shared" si="6"/>
        <x:v>24</x:v>
      </x:c>
      <x:c r="V40" s="157">
        <x:f t="shared" si="4"/>
        <x:v>148800</x:v>
      </x:c>
      <x:c r="W40" s="161">
        <x:f t="shared" si="5"/>
        <x:v>9</x:v>
      </x:c>
      <x:c r="X40" s="44">
        <x:f t="shared" si="7"/>
        <x:v>55800</x:v>
      </x:c>
      <x:c r="Y40" s="46"/>
      <x:c r="Z40" s="190">
        <x:v>0</x:v>
      </x:c>
      <x:c r="AA40" s="189">
        <x:f t="shared" si="8"/>
        <x:v>0</x:v>
      </x:c>
      <x:c r="AB40" s="230"/>
      <x:c r="AC40" s="232"/>
    </x:row>
    <x:row r="41" spans="1:29">
      <x:c r="A41" s="216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>
        <x:v>39</x:v>
      </x:c>
      <x:c r="I41" s="106"/>
      <x:c r="J41" s="107"/>
      <x:c r="K41" s="107"/>
      <x:c r="L41" s="107"/>
      <x:c r="M41" s="108"/>
      <x:c r="N41" s="94">
        <x:f t="shared" si="2"/>
        <x:v>0</x:v>
      </x:c>
      <x:c r="O41" s="141">
        <x:f t="shared" si="3"/>
        <x:v>0</x:v>
      </x:c>
      <x:c r="P41" s="136">
        <x:f>'교육용,R&amp;D,삼의원(잇다카페)'!I41+푸른솔!I41+의과대학!I41+중앙도서관!I41+학생회관!I41+멀티미디어관!I41+제2기숙사!I41+선승관!I41+예술디자인대!I41+공학관!I41</x:f>
        <x:v>4</x:v>
      </x:c>
      <x:c r="Q41" s="37">
        <x:f>'교육용,R&amp;D,삼의원(잇다카페)'!J41+푸른솔!J41+의과대학!J41+중앙도서관!J41+학생회관!J41+멀티미디어관!J41+제2기숙사!J41+선승관!J41+예술디자인대!J41+공학관!J41</x:f>
        <x:v>6</x:v>
      </x:c>
      <x:c r="R41" s="37">
        <x:f>'교육용,R&amp;D,삼의원(잇다카페)'!K41+푸른솔!K41+의과대학!K41+중앙도서관!K41+학생회관!K41+멀티미디어관!K41+제2기숙사!K41+선승관!K41+예술디자인대!K41+공학관!K41</x:f>
        <x:v>7</x:v>
      </x:c>
      <x:c r="S41" s="37">
        <x:f>'교육용,R&amp;D,삼의원(잇다카페)'!L41+푸른솔!L41+의과대학!L41+중앙도서관!L41+학생회관!L41+멀티미디어관!L41+제2기숙사!L41+선승관!L41+예술디자인대!L41+공학관!L41</x:f>
        <x:v>0</x:v>
      </x:c>
      <x:c r="T41" s="38">
        <x:f>'교육용,R&amp;D,삼의원(잇다카페)'!M41+푸른솔!M41+의과대학!M41+중앙도서관!M41+학생회관!M41+멀티미디어관!M41+제2기숙사!M41+선승관!M41+예술디자인대!M41+공학관!M41</x:f>
        <x:v>0</x:v>
      </x:c>
      <x:c r="U41" s="157">
        <x:f t="shared" si="6"/>
        <x:v>17</x:v>
      </x:c>
      <x:c r="V41" s="157">
        <x:f t="shared" si="4"/>
        <x:v>113900</x:v>
      </x:c>
      <x:c r="W41" s="161">
        <x:f t="shared" si="5"/>
        <x:v>22</x:v>
      </x:c>
      <x:c r="X41" s="44">
        <x:f t="shared" si="7"/>
        <x:v>147400</x:v>
      </x:c>
      <x:c r="Y41" s="46"/>
      <x:c r="Z41" s="190">
        <x:v>0</x:v>
      </x:c>
      <x:c r="AA41" s="189">
        <x:f t="shared" si="8"/>
        <x:v>0</x:v>
      </x:c>
      <x:c r="AB41" s="230"/>
      <x:c r="AC41" s="232"/>
    </x:row>
    <x:row r="42" spans="1:29" ht="17.25" customHeight="1">
      <x:c r="A42" s="216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>
        <x:v>50</x:v>
      </x:c>
      <x:c r="I42" s="106"/>
      <x:c r="J42" s="107"/>
      <x:c r="K42" s="107"/>
      <x:c r="L42" s="107"/>
      <x:c r="M42" s="108"/>
      <x:c r="N42" s="94">
        <x:f t="shared" si="2"/>
        <x:v>0</x:v>
      </x:c>
      <x:c r="O42" s="141">
        <x:f t="shared" si="3"/>
        <x:v>0</x:v>
      </x:c>
      <x:c r="P42" s="136">
        <x:f>'교육용,R&amp;D,삼의원(잇다카페)'!I42+푸른솔!I42+의과대학!I42+중앙도서관!I42+학생회관!I42+멀티미디어관!I42+제2기숙사!I42+선승관!I42+예술디자인대!I42+공학관!I42</x:f>
        <x:v>3</x:v>
      </x:c>
      <x:c r="Q42" s="37">
        <x:f>'교육용,R&amp;D,삼의원(잇다카페)'!J42+푸른솔!J42+의과대학!J42+중앙도서관!J42+학생회관!J42+멀티미디어관!J42+제2기숙사!J42+선승관!J42+예술디자인대!J42+공학관!J42</x:f>
        <x:v>3</x:v>
      </x:c>
      <x:c r="R42" s="37">
        <x:f>'교육용,R&amp;D,삼의원(잇다카페)'!K42+푸른솔!K42+의과대학!K42+중앙도서관!K42+학생회관!K42+멀티미디어관!K42+제2기숙사!K42+선승관!K42+예술디자인대!K42+공학관!K42</x:f>
        <x:v>5</x:v>
      </x:c>
      <x:c r="S42" s="37">
        <x:f>'교육용,R&amp;D,삼의원(잇다카페)'!L42+푸른솔!L42+의과대학!L42+중앙도서관!L42+학생회관!L42+멀티미디어관!L42+제2기숙사!L42+선승관!L42+예술디자인대!L42+공학관!L42</x:f>
        <x:v>0</x:v>
      </x:c>
      <x:c r="T42" s="38">
        <x:f>'교육용,R&amp;D,삼의원(잇다카페)'!M42+푸른솔!M42+의과대학!M42+중앙도서관!M42+학생회관!M42+멀티미디어관!M42+제2기숙사!M42+선승관!M42+예술디자인대!M42+공학관!M42</x:f>
        <x:v>0</x:v>
      </x:c>
      <x:c r="U42" s="157">
        <x:f t="shared" si="6"/>
        <x:v>11</x:v>
      </x:c>
      <x:c r="V42" s="157">
        <x:f t="shared" si="4"/>
        <x:v>79750</x:v>
      </x:c>
      <x:c r="W42" s="161">
        <x:f t="shared" si="5"/>
        <x:v>39</x:v>
      </x:c>
      <x:c r="X42" s="44">
        <x:f t="shared" si="7"/>
        <x:v>282750</x:v>
      </x:c>
      <x:c r="Y42" s="46"/>
      <x:c r="Z42" s="190">
        <x:v>0</x:v>
      </x:c>
      <x:c r="AA42" s="189">
        <x:f t="shared" si="8"/>
        <x:v>0</x:v>
      </x:c>
      <x:c r="AB42" s="230"/>
      <x:c r="AC42" s="232"/>
    </x:row>
    <x:row r="43" spans="1:29">
      <x:c r="A43" s="216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>
        <x:v>13</x:v>
      </x:c>
      <x:c r="I43" s="106"/>
      <x:c r="J43" s="107"/>
      <x:c r="K43" s="107"/>
      <x:c r="L43" s="107"/>
      <x:c r="M43" s="108"/>
      <x:c r="N43" s="94">
        <x:f t="shared" si="2"/>
        <x:v>0</x:v>
      </x:c>
      <x:c r="O43" s="141">
        <x:f t="shared" si="3"/>
        <x:v>0</x:v>
      </x:c>
      <x:c r="P43" s="136">
        <x:f>'교육용,R&amp;D,삼의원(잇다카페)'!I43+푸른솔!I43+의과대학!I43+중앙도서관!I43+학생회관!I43+멀티미디어관!I43+제2기숙사!I43+선승관!I43+예술디자인대!I43+공학관!I43</x:f>
        <x:v>1</x:v>
      </x:c>
      <x:c r="Q43" s="37">
        <x:f>'교육용,R&amp;D,삼의원(잇다카페)'!J43+푸른솔!J43+의과대학!J43+중앙도서관!J43+학생회관!J43+멀티미디어관!J43+제2기숙사!J43+선승관!J43+예술디자인대!J43+공학관!J43</x:f>
        <x:v>2</x:v>
      </x:c>
      <x:c r="R43" s="37">
        <x:f>'교육용,R&amp;D,삼의원(잇다카페)'!K43+푸른솔!K43+의과대학!K43+중앙도서관!K43+학생회관!K43+멀티미디어관!K43+제2기숙사!K43+선승관!K43+예술디자인대!K43+공학관!K43</x:f>
        <x:v>1</x:v>
      </x:c>
      <x:c r="S43" s="37">
        <x:f>'교육용,R&amp;D,삼의원(잇다카페)'!L43+푸른솔!L43+의과대학!L43+중앙도서관!L43+학생회관!L43+멀티미디어관!L43+제2기숙사!L43+선승관!L43+예술디자인대!L43+공학관!L43</x:f>
        <x:v>0</x:v>
      </x:c>
      <x:c r="T43" s="38">
        <x:f>'교육용,R&amp;D,삼의원(잇다카페)'!M43+푸른솔!M43+의과대학!M43+중앙도서관!M43+학생회관!M43+멀티미디어관!M43+제2기숙사!M43+선승관!M43+예술디자인대!M43+공학관!M43</x:f>
        <x:v>0</x:v>
      </x:c>
      <x:c r="U43" s="157">
        <x:f t="shared" si="6"/>
        <x:v>4</x:v>
      </x:c>
      <x:c r="V43" s="157">
        <x:f t="shared" si="4"/>
        <x:v>21200</x:v>
      </x:c>
      <x:c r="W43" s="161">
        <x:f t="shared" si="5"/>
        <x:v>9</x:v>
      </x:c>
      <x:c r="X43" s="44">
        <x:f t="shared" si="7"/>
        <x:v>47700</x:v>
      </x:c>
      <x:c r="Y43" s="46"/>
      <x:c r="Z43" s="190">
        <x:v>0</x:v>
      </x:c>
      <x:c r="AA43" s="189">
        <x:f t="shared" si="8"/>
        <x:v>0</x:v>
      </x:c>
      <x:c r="AB43" s="230"/>
      <x:c r="AC43" s="232"/>
    </x:row>
    <x:row r="44" spans="1:29">
      <x:c r="A44" s="216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>
        <x:v>24</x:v>
      </x:c>
      <x:c r="I44" s="106"/>
      <x:c r="J44" s="107"/>
      <x:c r="K44" s="107"/>
      <x:c r="L44" s="107"/>
      <x:c r="M44" s="108"/>
      <x:c r="N44" s="94">
        <x:f t="shared" si="2"/>
        <x:v>0</x:v>
      </x:c>
      <x:c r="O44" s="141">
        <x:f t="shared" si="3"/>
        <x:v>0</x:v>
      </x:c>
      <x:c r="P44" s="136">
        <x:f>'교육용,R&amp;D,삼의원(잇다카페)'!I44+푸른솔!I44+의과대학!I44+중앙도서관!I44+학생회관!I44+멀티미디어관!I44+제2기숙사!I44+선승관!I44+예술디자인대!I44+공학관!I44</x:f>
        <x:v>6</x:v>
      </x:c>
      <x:c r="Q44" s="37">
        <x:f>'교육용,R&amp;D,삼의원(잇다카페)'!J44+푸른솔!J44+의과대학!J44+중앙도서관!J44+학생회관!J44+멀티미디어관!J44+제2기숙사!J44+선승관!J44+예술디자인대!J44+공학관!J44</x:f>
        <x:v>1</x:v>
      </x:c>
      <x:c r="R44" s="37">
        <x:f>'교육용,R&amp;D,삼의원(잇다카페)'!K44+푸른솔!K44+의과대학!K44+중앙도서관!K44+학생회관!K44+멀티미디어관!K44+제2기숙사!K44+선승관!K44+예술디자인대!K44+공학관!K44</x:f>
        <x:v>3</x:v>
      </x:c>
      <x:c r="S44" s="37">
        <x:f>'교육용,R&amp;D,삼의원(잇다카페)'!L44+푸른솔!L44+의과대학!L44+중앙도서관!L44+학생회관!L44+멀티미디어관!L44+제2기숙사!L44+선승관!L44+예술디자인대!L44+공학관!L44</x:f>
        <x:v>0</x:v>
      </x:c>
      <x:c r="T44" s="38">
        <x:f>'교육용,R&amp;D,삼의원(잇다카페)'!M44+푸른솔!M44+의과대학!M44+중앙도서관!M44+학생회관!M44+멀티미디어관!M44+제2기숙사!M44+선승관!M44+예술디자인대!M44+공학관!M44</x:f>
        <x:v>0</x:v>
      </x:c>
      <x:c r="U44" s="157">
        <x:f t="shared" si="6"/>
        <x:v>10</x:v>
      </x:c>
      <x:c r="V44" s="157">
        <x:f t="shared" si="4"/>
        <x:v>66000</x:v>
      </x:c>
      <x:c r="W44" s="161">
        <x:f t="shared" si="5"/>
        <x:v>14</x:v>
      </x:c>
      <x:c r="X44" s="44">
        <x:f t="shared" si="7"/>
        <x:v>92400</x:v>
      </x:c>
      <x:c r="Y44" s="46"/>
      <x:c r="Z44" s="190">
        <x:v>0</x:v>
      </x:c>
      <x:c r="AA44" s="189">
        <x:f t="shared" si="8"/>
        <x:v>0</x:v>
      </x:c>
      <x:c r="AB44" s="230"/>
      <x:c r="AC44" s="232"/>
    </x:row>
    <x:row r="45" spans="1:29">
      <x:c r="A45" s="216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>
        <x:v>12</x:v>
      </x:c>
      <x:c r="I45" s="106"/>
      <x:c r="J45" s="107"/>
      <x:c r="K45" s="107"/>
      <x:c r="L45" s="107"/>
      <x:c r="M45" s="108"/>
      <x:c r="N45" s="94">
        <x:f t="shared" si="2"/>
        <x:v>0</x:v>
      </x:c>
      <x:c r="O45" s="141">
        <x:f t="shared" si="3"/>
        <x:v>0</x:v>
      </x:c>
      <x:c r="P45" s="136">
        <x:f>'교육용,R&amp;D,삼의원(잇다카페)'!I45+푸른솔!I45+의과대학!I45+중앙도서관!I45+학생회관!I45+멀티미디어관!I45+제2기숙사!I45+선승관!I45+예술디자인대!I45+공학관!I45</x:f>
        <x:v>6</x:v>
      </x:c>
      <x:c r="Q45" s="37">
        <x:f>'교육용,R&amp;D,삼의원(잇다카페)'!J45+푸른솔!J45+의과대학!J45+중앙도서관!J45+학생회관!J45+멀티미디어관!J45+제2기숙사!J45+선승관!J45+예술디자인대!J45+공학관!J45</x:f>
        <x:v>0</x:v>
      </x:c>
      <x:c r="R45" s="37">
        <x:f>'교육용,R&amp;D,삼의원(잇다카페)'!K45+푸른솔!K45+의과대학!K45+중앙도서관!K45+학생회관!K45+멀티미디어관!K45+제2기숙사!K45+선승관!K45+예술디자인대!K45+공학관!K45</x:f>
        <x:v>6</x:v>
      </x:c>
      <x:c r="S45" s="37">
        <x:f>'교육용,R&amp;D,삼의원(잇다카페)'!L45+푸른솔!L45+의과대학!L45+중앙도서관!L45+학생회관!L45+멀티미디어관!L45+제2기숙사!L45+선승관!L45+예술디자인대!L45+공학관!L45</x:f>
        <x:v>0</x:v>
      </x:c>
      <x:c r="T45" s="38">
        <x:f>'교육용,R&amp;D,삼의원(잇다카페)'!M45+푸른솔!M45+의과대학!M45+중앙도서관!M45+학생회관!M45+멀티미디어관!M45+제2기숙사!M45+선승관!M45+예술디자인대!M45+공학관!M45</x:f>
        <x:v>0</x:v>
      </x:c>
      <x:c r="U45" s="157">
        <x:f t="shared" si="6"/>
        <x:v>12</x:v>
      </x:c>
      <x:c r="V45" s="157">
        <x:f t="shared" si="4"/>
        <x:v>174000</x:v>
      </x:c>
      <x:c r="W45" s="161">
        <x:f t="shared" si="5"/>
        <x:v>0</x:v>
      </x:c>
      <x:c r="X45" s="44">
        <x:f t="shared" si="7"/>
        <x:v>0</x:v>
      </x:c>
      <x:c r="Y45" s="46"/>
      <x:c r="Z45" s="190">
        <x:v>0</x:v>
      </x:c>
      <x:c r="AA45" s="189">
        <x:f t="shared" si="8"/>
        <x:v>0</x:v>
      </x:c>
      <x:c r="AB45" s="230"/>
      <x:c r="AC45" s="232"/>
    </x:row>
    <x:row r="46" spans="1:29">
      <x:c r="A46" s="216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>
        <x:v>14</x:v>
      </x:c>
      <x:c r="I46" s="106"/>
      <x:c r="J46" s="107"/>
      <x:c r="K46" s="107"/>
      <x:c r="L46" s="107"/>
      <x:c r="M46" s="108"/>
      <x:c r="N46" s="94">
        <x:f t="shared" si="2"/>
        <x:v>0</x:v>
      </x:c>
      <x:c r="O46" s="141">
        <x:f t="shared" si="3"/>
        <x:v>0</x:v>
      </x:c>
      <x:c r="P46" s="136">
        <x:f>'교육용,R&amp;D,삼의원(잇다카페)'!I46+푸른솔!I46+의과대학!I46+중앙도서관!I46+학생회관!I46+멀티미디어관!I46+제2기숙사!I46+선승관!I46+예술디자인대!I46+공학관!I46</x:f>
        <x:v>0</x:v>
      </x:c>
      <x:c r="Q46" s="37">
        <x:f>'교육용,R&amp;D,삼의원(잇다카페)'!J46+푸른솔!J46+의과대학!J46+중앙도서관!J46+학생회관!J46+멀티미디어관!J46+제2기숙사!J46+선승관!J46+예술디자인대!J46+공학관!J46</x:f>
        <x:v>1</x:v>
      </x:c>
      <x:c r="R46" s="37">
        <x:f>'교육용,R&amp;D,삼의원(잇다카페)'!K46+푸른솔!K46+의과대학!K46+중앙도서관!K46+학생회관!K46+멀티미디어관!K46+제2기숙사!K46+선승관!K46+예술디자인대!K46+공학관!K46</x:f>
        <x:v>0</x:v>
      </x:c>
      <x:c r="S46" s="37">
        <x:f>'교육용,R&amp;D,삼의원(잇다카페)'!L46+푸른솔!L46+의과대학!L46+중앙도서관!L46+학생회관!L46+멀티미디어관!L46+제2기숙사!L46+선승관!L46+예술디자인대!L46+공학관!L46</x:f>
        <x:v>0</x:v>
      </x:c>
      <x:c r="T46" s="38">
        <x:f>'교육용,R&amp;D,삼의원(잇다카페)'!M46+푸른솔!M46+의과대학!M46+중앙도서관!M46+학생회관!M46+멀티미디어관!M46+제2기숙사!M46+선승관!M46+예술디자인대!M46+공학관!M46</x:f>
        <x:v>0</x:v>
      </x:c>
      <x:c r="U46" s="157">
        <x:f t="shared" si="6"/>
        <x:v>1</x:v>
      </x:c>
      <x:c r="V46" s="157">
        <x:f t="shared" si="4"/>
        <x:v>11000</x:v>
      </x:c>
      <x:c r="W46" s="161">
        <x:f t="shared" si="5"/>
        <x:v>13</x:v>
      </x:c>
      <x:c r="X46" s="44">
        <x:f t="shared" si="7"/>
        <x:v>143000</x:v>
      </x:c>
      <x:c r="Y46" s="46"/>
      <x:c r="Z46" s="190">
        <x:v>0</x:v>
      </x:c>
      <x:c r="AA46" s="189">
        <x:f t="shared" si="8"/>
        <x:v>0</x:v>
      </x:c>
      <x:c r="AB46" s="230"/>
      <x:c r="AC46" s="232"/>
    </x:row>
    <x:row r="47" spans="1:29">
      <x:c r="A47" s="216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>
        <x:v>16</x:v>
      </x:c>
      <x:c r="I47" s="106"/>
      <x:c r="J47" s="107"/>
      <x:c r="K47" s="107"/>
      <x:c r="L47" s="107"/>
      <x:c r="M47" s="108"/>
      <x:c r="N47" s="94">
        <x:f t="shared" si="2"/>
        <x:v>0</x:v>
      </x:c>
      <x:c r="O47" s="141">
        <x:f t="shared" si="3"/>
        <x:v>0</x:v>
      </x:c>
      <x:c r="P47" s="136">
        <x:f>'교육용,R&amp;D,삼의원(잇다카페)'!I47+푸른솔!I47+의과대학!I47+중앙도서관!I47+학생회관!I47+멀티미디어관!I47+제2기숙사!I47+선승관!I47+예술디자인대!I47+공학관!I47</x:f>
        <x:v>5</x:v>
      </x:c>
      <x:c r="Q47" s="37">
        <x:f>'교육용,R&amp;D,삼의원(잇다카페)'!J47+푸른솔!J47+의과대학!J47+중앙도서관!J47+학생회관!J47+멀티미디어관!J47+제2기숙사!J47+선승관!J47+예술디자인대!J47+공학관!J47</x:f>
        <x:v>1</x:v>
      </x:c>
      <x:c r="R47" s="37">
        <x:f>'교육용,R&amp;D,삼의원(잇다카페)'!K47+푸른솔!K47+의과대학!K47+중앙도서관!K47+학생회관!K47+멀티미디어관!K47+제2기숙사!K47+선승관!K47+예술디자인대!K47+공학관!K47</x:f>
        <x:v>5</x:v>
      </x:c>
      <x:c r="S47" s="37">
        <x:f>'교육용,R&amp;D,삼의원(잇다카페)'!L47+푸른솔!L47+의과대학!L47+중앙도서관!L47+학생회관!L47+멀티미디어관!L47+제2기숙사!L47+선승관!L47+예술디자인대!L47+공학관!L47</x:f>
        <x:v>0</x:v>
      </x:c>
      <x:c r="T47" s="38">
        <x:f>'교육용,R&amp;D,삼의원(잇다카페)'!M47+푸른솔!M47+의과대학!M47+중앙도서관!M47+학생회관!M47+멀티미디어관!M47+제2기숙사!M47+선승관!M47+예술디자인대!M47+공학관!M47</x:f>
        <x:v>0</x:v>
      </x:c>
      <x:c r="U47" s="157">
        <x:f t="shared" si="6"/>
        <x:v>11</x:v>
      </x:c>
      <x:c r="V47" s="157">
        <x:f t="shared" si="4"/>
        <x:v>49500</x:v>
      </x:c>
      <x:c r="W47" s="161">
        <x:f t="shared" si="5"/>
        <x:v>5</x:v>
      </x:c>
      <x:c r="X47" s="44">
        <x:f t="shared" si="7"/>
        <x:v>22500</x:v>
      </x:c>
      <x:c r="Y47" s="46"/>
      <x:c r="Z47" s="190">
        <x:v>0</x:v>
      </x:c>
      <x:c r="AA47" s="189">
        <x:f t="shared" si="8"/>
        <x:v>0</x:v>
      </x:c>
      <x:c r="AB47" s="230"/>
      <x:c r="AC47" s="232"/>
    </x:row>
    <x:row r="48" spans="1:29">
      <x:c r="A48" s="216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>
        <x:v>28</x:v>
      </x:c>
      <x:c r="I48" s="106"/>
      <x:c r="J48" s="104"/>
      <x:c r="K48" s="104"/>
      <x:c r="L48" s="104"/>
      <x:c r="M48" s="105"/>
      <x:c r="N48" s="95">
        <x:f t="shared" si="2"/>
        <x:v>0</x:v>
      </x:c>
      <x:c r="O48" s="139">
        <x:f t="shared" si="3"/>
        <x:v>0</x:v>
      </x:c>
      <x:c r="P48" s="129">
        <x:f>'교육용,R&amp;D,삼의원(잇다카페)'!I48+푸른솔!I48+의과대학!I48+중앙도서관!I48+학생회관!I48+멀티미디어관!I48+제2기숙사!I48+선승관!I48+예술디자인대!I48+공학관!I48</x:f>
        <x:v>6</x:v>
      </x:c>
      <x:c r="Q48" s="57">
        <x:f>'교육용,R&amp;D,삼의원(잇다카페)'!J48+푸른솔!J48+의과대학!J48+중앙도서관!J48+학생회관!J48+멀티미디어관!J48+제2기숙사!J48+선승관!J48+예술디자인대!J48+공학관!J48</x:f>
        <x:v>3</x:v>
      </x:c>
      <x:c r="R48" s="57">
        <x:f>'교육용,R&amp;D,삼의원(잇다카페)'!K48+푸른솔!K48+의과대학!K48+중앙도서관!K48+학생회관!K48+멀티미디어관!K48+제2기숙사!K48+선승관!K48+예술디자인대!K48+공학관!K48</x:f>
        <x:v>7</x:v>
      </x:c>
      <x:c r="S48" s="57">
        <x:f>'교육용,R&amp;D,삼의원(잇다카페)'!L48+푸른솔!L48+의과대학!L48+중앙도서관!L48+학생회관!L48+멀티미디어관!L48+제2기숙사!L48+선승관!L48+예술디자인대!L48+공학관!L48</x:f>
        <x:v>0</x:v>
      </x:c>
      <x:c r="T48" s="58">
        <x:f>'교육용,R&amp;D,삼의원(잇다카페)'!M48+푸른솔!M48+의과대학!M48+중앙도서관!M48+학생회관!M48+멀티미디어관!M48+제2기숙사!M48+선승관!M48+예술디자인대!M48+공학관!M48</x:f>
        <x:v>0</x:v>
      </x:c>
      <x:c r="U48" s="158">
        <x:f t="shared" si="6"/>
        <x:v>16</x:v>
      </x:c>
      <x:c r="V48" s="158">
        <x:f t="shared" si="4"/>
        <x:v>107200</x:v>
      </x:c>
      <x:c r="W48" s="162">
        <x:f t="shared" si="5"/>
        <x:v>12</x:v>
      </x:c>
      <x:c r="X48" s="51">
        <x:f t="shared" si="7"/>
        <x:v>80400</x:v>
      </x:c>
      <x:c r="Y48" s="47"/>
      <x:c r="Z48" s="195">
        <x:v>0</x:v>
      </x:c>
      <x:c r="AA48" s="196">
        <x:f t="shared" si="8"/>
        <x:v>0</x:v>
      </x:c>
      <x:c r="AB48" s="230"/>
      <x:c r="AC48" s="232"/>
    </x:row>
    <x:row r="49" spans="1:29">
      <x:c r="A49" s="207" t="s">
        <x:v>38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>
        <x:v>23</x:v>
      </x:c>
      <x:c r="I49" s="109">
        <x:v>0</x:v>
      </x:c>
      <x:c r="J49" s="101"/>
      <x:c r="K49" s="101"/>
      <x:c r="L49" s="101"/>
      <x:c r="M49" s="102"/>
      <x:c r="N49" s="93">
        <x:f t="shared" si="2"/>
        <x:v>0</x:v>
      </x:c>
      <x:c r="O49" s="138">
        <x:f t="shared" si="3"/>
        <x:v>0</x:v>
      </x:c>
      <x:c r="P49" s="128">
        <x:f>'교육용,R&amp;D,삼의원(잇다카페)'!I49+푸른솔!I49+의과대학!I49+중앙도서관!I49+학생회관!I49+멀티미디어관!I49+제2기숙사!I49+선승관!I49+예술디자인대!I49+공학관!I49</x:f>
        <x:v>5</x:v>
      </x:c>
      <x:c r="Q49" s="55">
        <x:f>'교육용,R&amp;D,삼의원(잇다카페)'!J49+푸른솔!J49+의과대학!J49+중앙도서관!J49+학생회관!J49+멀티미디어관!J49+제2기숙사!J49+선승관!J49+예술디자인대!J49+공학관!J49</x:f>
        <x:v>2</x:v>
      </x:c>
      <x:c r="R49" s="55">
        <x:f>'교육용,R&amp;D,삼의원(잇다카페)'!K49+푸른솔!K49+의과대학!K49+중앙도서관!K49+학생회관!K49+멀티미디어관!K49+제2기숙사!K49+선승관!K49+예술디자인대!K49+공학관!K49</x:f>
        <x:v>2</x:v>
      </x:c>
      <x:c r="S49" s="55">
        <x:f>'교육용,R&amp;D,삼의원(잇다카페)'!L49+푸른솔!L49+의과대학!L49+중앙도서관!L49+학생회관!L49+멀티미디어관!L49+제2기숙사!L49+선승관!L49+예술디자인대!L49+공학관!L49</x:f>
        <x:v>0</x:v>
      </x:c>
      <x:c r="T49" s="155">
        <x:f>'교육용,R&amp;D,삼의원(잇다카페)'!M49+푸른솔!M49+의과대학!M49+중앙도서관!M49+학생회관!M49+멀티미디어관!M49+제2기숙사!M49+선승관!M49+예술디자인대!M49+공학관!M49</x:f>
        <x:v>0</x:v>
      </x:c>
      <x:c r="U49" s="156">
        <x:f t="shared" si="6"/>
        <x:v>9</x:v>
      </x:c>
      <x:c r="V49" s="156">
        <x:f t="shared" si="4"/>
        <x:v>62100</x:v>
      </x:c>
      <x:c r="W49" s="160">
        <x:f t="shared" si="5"/>
        <x:v>14</x:v>
      </x:c>
      <x:c r="X49" s="24">
        <x:f t="shared" si="7"/>
        <x:v>96600</x:v>
      </x:c>
      <x:c r="Y49" s="48"/>
      <x:c r="Z49" s="191">
        <x:v>0</x:v>
      </x:c>
      <x:c r="AA49" s="197">
        <x:f t="shared" si="8"/>
        <x:v>0</x:v>
      </x:c>
      <x:c r="AB49" s="226">
        <x:f>SUM(AA49:AA58)</x:f>
        <x:v>0</x:v>
      </x:c>
      <x:c r="AC49" s="220">
        <x:f>AB49*1.1</x:f>
        <x:v>0</x:v>
      </x:c>
    </x:row>
    <x:row r="50" spans="1:29">
      <x:c r="A50" s="208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>
        <x:v>25</x:v>
      </x:c>
      <x:c r="I50" s="106">
        <x:v>0</x:v>
      </x:c>
      <x:c r="J50" s="107"/>
      <x:c r="K50" s="107"/>
      <x:c r="L50" s="107"/>
      <x:c r="M50" s="108"/>
      <x:c r="N50" s="94">
        <x:f t="shared" si="2"/>
        <x:v>0</x:v>
      </x:c>
      <x:c r="O50" s="141">
        <x:f t="shared" si="3"/>
        <x:v>0</x:v>
      </x:c>
      <x:c r="P50" s="136">
        <x:f>'교육용,R&amp;D,삼의원(잇다카페)'!I50+푸른솔!I50+의과대학!I50+중앙도서관!I50+학생회관!I50+멀티미디어관!I50+제2기숙사!I50+선승관!I50+예술디자인대!I50+공학관!I50</x:f>
        <x:v>2</x:v>
      </x:c>
      <x:c r="Q50" s="37">
        <x:f>'교육용,R&amp;D,삼의원(잇다카페)'!J50+푸른솔!J50+의과대학!J50+중앙도서관!J50+학생회관!J50+멀티미디어관!J50+제2기숙사!J50+선승관!J50+예술디자인대!J50+공학관!J50</x:f>
        <x:v>0</x:v>
      </x:c>
      <x:c r="R50" s="37">
        <x:f>'교육용,R&amp;D,삼의원(잇다카페)'!K50+푸른솔!K50+의과대학!K50+중앙도서관!K50+학생회관!K50+멀티미디어관!K50+제2기숙사!K50+선승관!K50+예술디자인대!K50+공학관!K50</x:f>
        <x:v>2</x:v>
      </x:c>
      <x:c r="S50" s="37">
        <x:f>'교육용,R&amp;D,삼의원(잇다카페)'!L50+푸른솔!L50+의과대학!L50+중앙도서관!L50+학생회관!L50+멀티미디어관!L50+제2기숙사!L50+선승관!L50+예술디자인대!L50+공학관!L50</x:f>
        <x:v>0</x:v>
      </x:c>
      <x:c r="T50" s="38">
        <x:f>'교육용,R&amp;D,삼의원(잇다카페)'!M50+푸른솔!M50+의과대학!M50+중앙도서관!M50+학생회관!M50+멀티미디어관!M50+제2기숙사!M50+선승관!M50+예술디자인대!M50+공학관!M50</x:f>
        <x:v>0</x:v>
      </x:c>
      <x:c r="U50" s="157">
        <x:f t="shared" si="6"/>
        <x:v>4</x:v>
      </x:c>
      <x:c r="V50" s="157">
        <x:f t="shared" si="4"/>
        <x:v>27600</x:v>
      </x:c>
      <x:c r="W50" s="161">
        <x:f t="shared" si="5"/>
        <x:v>21</x:v>
      </x:c>
      <x:c r="X50" s="44">
        <x:f t="shared" si="7"/>
        <x:v>144900</x:v>
      </x:c>
      <x:c r="Y50" s="46"/>
      <x:c r="Z50" s="190">
        <x:v>0</x:v>
      </x:c>
      <x:c r="AA50" s="189">
        <x:f t="shared" si="8"/>
        <x:v>0</x:v>
      </x:c>
      <x:c r="AB50" s="227"/>
      <x:c r="AC50" s="221"/>
    </x:row>
    <x:row r="51" spans="1:29">
      <x:c r="A51" s="208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>
        <x:v>27</x:v>
      </x:c>
      <x:c r="I51" s="106">
        <x:v>0</x:v>
      </x:c>
      <x:c r="J51" s="107"/>
      <x:c r="K51" s="107"/>
      <x:c r="L51" s="107"/>
      <x:c r="M51" s="108"/>
      <x:c r="N51" s="94">
        <x:f t="shared" si="2"/>
        <x:v>0</x:v>
      </x:c>
      <x:c r="O51" s="141">
        <x:f t="shared" si="3"/>
        <x:v>0</x:v>
      </x:c>
      <x:c r="P51" s="136">
        <x:f>'교육용,R&amp;D,삼의원(잇다카페)'!I51+푸른솔!I51+의과대학!I51+중앙도서관!I51+학생회관!I51+멀티미디어관!I51+제2기숙사!I51+선승관!I51+예술디자인대!I51+공학관!I51</x:f>
        <x:v>3</x:v>
      </x:c>
      <x:c r="Q51" s="37">
        <x:f>'교육용,R&amp;D,삼의원(잇다카페)'!J51+푸른솔!J51+의과대학!J51+중앙도서관!J51+학생회관!J51+멀티미디어관!J51+제2기숙사!J51+선승관!J51+예술디자인대!J51+공학관!J51</x:f>
        <x:v>1</x:v>
      </x:c>
      <x:c r="R51" s="37">
        <x:f>'교육용,R&amp;D,삼의원(잇다카페)'!K51+푸른솔!K51+의과대학!K51+중앙도서관!K51+학생회관!K51+멀티미디어관!K51+제2기숙사!K51+선승관!K51+예술디자인대!K51+공학관!K51</x:f>
        <x:v>2</x:v>
      </x:c>
      <x:c r="S51" s="37">
        <x:f>'교육용,R&amp;D,삼의원(잇다카페)'!L51+푸른솔!L51+의과대학!L51+중앙도서관!L51+학생회관!L51+멀티미디어관!L51+제2기숙사!L51+선승관!L51+예술디자인대!L51+공학관!L51</x:f>
        <x:v>0</x:v>
      </x:c>
      <x:c r="T51" s="38">
        <x:f>'교육용,R&amp;D,삼의원(잇다카페)'!M51+푸른솔!M51+의과대학!M51+중앙도서관!M51+학생회관!M51+멀티미디어관!M51+제2기숙사!M51+선승관!M51+예술디자인대!M51+공학관!M51</x:f>
        <x:v>0</x:v>
      </x:c>
      <x:c r="U51" s="157">
        <x:f t="shared" si="6"/>
        <x:v>6</x:v>
      </x:c>
      <x:c r="V51" s="157">
        <x:f t="shared" si="4"/>
        <x:v>40800</x:v>
      </x:c>
      <x:c r="W51" s="161">
        <x:f t="shared" si="5"/>
        <x:v>21</x:v>
      </x:c>
      <x:c r="X51" s="44">
        <x:f t="shared" si="7"/>
        <x:v>142800</x:v>
      </x:c>
      <x:c r="Y51" s="46"/>
      <x:c r="Z51" s="190">
        <x:v>0</x:v>
      </x:c>
      <x:c r="AA51" s="189">
        <x:f t="shared" si="8"/>
        <x:v>0</x:v>
      </x:c>
      <x:c r="AB51" s="227"/>
      <x:c r="AC51" s="221"/>
    </x:row>
    <x:row r="52" spans="1:29">
      <x:c r="A52" s="208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>
        <x:v>18</x:v>
      </x:c>
      <x:c r="I52" s="106">
        <x:v>20</x:v>
      </x:c>
      <x:c r="J52" s="107"/>
      <x:c r="K52" s="107"/>
      <x:c r="L52" s="107"/>
      <x:c r="M52" s="108"/>
      <x:c r="N52" s="94">
        <x:f t="shared" si="2"/>
        <x:v>20</x:v>
      </x:c>
      <x:c r="O52" s="141">
        <x:f t="shared" si="3"/>
        <x:v>300000</x:v>
      </x:c>
      <x:c r="P52" s="136">
        <x:f>'교육용,R&amp;D,삼의원(잇다카페)'!I52+푸른솔!I52+의과대학!I52+중앙도서관!I52+학생회관!I52+멀티미디어관!I52+제2기숙사!I52+선승관!I52+예술디자인대!I52+공학관!I52</x:f>
        <x:v>4</x:v>
      </x:c>
      <x:c r="Q52" s="37">
        <x:f>'교육용,R&amp;D,삼의원(잇다카페)'!J52+푸른솔!J52+의과대학!J52+중앙도서관!J52+학생회관!J52+멀티미디어관!J52+제2기숙사!J52+선승관!J52+예술디자인대!J52+공학관!J52</x:f>
        <x:v>5</x:v>
      </x:c>
      <x:c r="R52" s="37">
        <x:f>'교육용,R&amp;D,삼의원(잇다카페)'!K52+푸른솔!K52+의과대학!K52+중앙도서관!K52+학생회관!K52+멀티미디어관!K52+제2기숙사!K52+선승관!K52+예술디자인대!K52+공학관!K52</x:f>
        <x:v>9</x:v>
      </x:c>
      <x:c r="S52" s="37">
        <x:f>'교육용,R&amp;D,삼의원(잇다카페)'!L52+푸른솔!L52+의과대학!L52+중앙도서관!L52+학생회관!L52+멀티미디어관!L52+제2기숙사!L52+선승관!L52+예술디자인대!L52+공학관!L52</x:f>
        <x:v>0</x:v>
      </x:c>
      <x:c r="T52" s="38">
        <x:f>'교육용,R&amp;D,삼의원(잇다카페)'!M52+푸른솔!M52+의과대학!M52+중앙도서관!M52+학생회관!M52+멀티미디어관!M52+제2기숙사!M52+선승관!M52+예술디자인대!M52+공학관!M52</x:f>
        <x:v>0</x:v>
      </x:c>
      <x:c r="U52" s="157">
        <x:f t="shared" si="6"/>
        <x:v>18</x:v>
      </x:c>
      <x:c r="V52" s="157">
        <x:f t="shared" si="4"/>
        <x:v>270000</x:v>
      </x:c>
      <x:c r="W52" s="161">
        <x:f t="shared" si="5"/>
        <x:v>20</x:v>
      </x:c>
      <x:c r="X52" s="44">
        <x:f t="shared" si="7"/>
        <x:v>300000</x:v>
      </x:c>
      <x:c r="Y52" s="46"/>
      <x:c r="Z52" s="190">
        <x:v>0</x:v>
      </x:c>
      <x:c r="AA52" s="189">
        <x:f t="shared" si="8"/>
        <x:v>0</x:v>
      </x:c>
      <x:c r="AB52" s="227"/>
      <x:c r="AC52" s="221"/>
    </x:row>
    <x:row r="53" spans="1:29">
      <x:c r="A53" s="208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>
        <x:v>8</x:v>
      </x:c>
      <x:c r="I53" s="106">
        <x:v>30</x:v>
      </x:c>
      <x:c r="J53" s="107"/>
      <x:c r="K53" s="107"/>
      <x:c r="L53" s="107"/>
      <x:c r="M53" s="108"/>
      <x:c r="N53" s="94">
        <x:f t="shared" si="2"/>
        <x:v>30</x:v>
      </x:c>
      <x:c r="O53" s="141">
        <x:f t="shared" si="3"/>
        <x:v>159000</x:v>
      </x:c>
      <x:c r="P53" s="136">
        <x:f>'교육용,R&amp;D,삼의원(잇다카페)'!I53+푸른솔!I53+의과대학!I53+중앙도서관!I53+학생회관!I53+멀티미디어관!I53+제2기숙사!I53+선승관!I53+예술디자인대!I53+공학관!I53</x:f>
        <x:v>13</x:v>
      </x:c>
      <x:c r="Q53" s="37">
        <x:f>'교육용,R&amp;D,삼의원(잇다카페)'!J53+푸른솔!J53+의과대학!J53+중앙도서관!J53+학생회관!J53+멀티미디어관!J53+제2기숙사!J53+선승관!J53+예술디자인대!J53+공학관!J53</x:f>
        <x:v>7</x:v>
      </x:c>
      <x:c r="R53" s="37">
        <x:f>'교육용,R&amp;D,삼의원(잇다카페)'!K53+푸른솔!K53+의과대학!K53+중앙도서관!K53+학생회관!K53+멀티미디어관!K53+제2기숙사!K53+선승관!K53+예술디자인대!K53+공학관!K53</x:f>
        <x:v>14</x:v>
      </x:c>
      <x:c r="S53" s="37">
        <x:f>'교육용,R&amp;D,삼의원(잇다카페)'!L53+푸른솔!L53+의과대학!L53+중앙도서관!L53+학생회관!L53+멀티미디어관!L53+제2기숙사!L53+선승관!L53+예술디자인대!L53+공학관!L53</x:f>
        <x:v>0</x:v>
      </x:c>
      <x:c r="T53" s="38">
        <x:f>'교육용,R&amp;D,삼의원(잇다카페)'!M53+푸른솔!M53+의과대학!M53+중앙도서관!M53+학생회관!M53+멀티미디어관!M53+제2기숙사!M53+선승관!M53+예술디자인대!M53+공학관!M53</x:f>
        <x:v>0</x:v>
      </x:c>
      <x:c r="U53" s="157">
        <x:f t="shared" si="6"/>
        <x:v>34</x:v>
      </x:c>
      <x:c r="V53" s="157">
        <x:f t="shared" si="4"/>
        <x:v>180200</x:v>
      </x:c>
      <x:c r="W53" s="161">
        <x:f t="shared" si="5"/>
        <x:v>4</x:v>
      </x:c>
      <x:c r="X53" s="44">
        <x:f t="shared" si="7"/>
        <x:v>21200</x:v>
      </x:c>
      <x:c r="Y53" s="46"/>
      <x:c r="Z53" s="190">
        <x:v>0</x:v>
      </x:c>
      <x:c r="AA53" s="189">
        <x:f t="shared" si="8"/>
        <x:v>0</x:v>
      </x:c>
      <x:c r="AB53" s="227"/>
      <x:c r="AC53" s="221"/>
    </x:row>
    <x:row r="54" spans="1:29">
      <x:c r="A54" s="208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>
        <x:v>20</x:v>
      </x:c>
      <x:c r="I54" s="106">
        <x:v>12</x:v>
      </x:c>
      <x:c r="J54" s="107"/>
      <x:c r="K54" s="107"/>
      <x:c r="L54" s="107"/>
      <x:c r="M54" s="108"/>
      <x:c r="N54" s="94">
        <x:f t="shared" si="2"/>
        <x:v>12</x:v>
      </x:c>
      <x:c r="O54" s="141">
        <x:f t="shared" si="3"/>
        <x:v>79200</x:v>
      </x:c>
      <x:c r="P54" s="136">
        <x:f>'교육용,R&amp;D,삼의원(잇다카페)'!I54+푸른솔!I54+의과대학!I54+중앙도서관!I54+학생회관!I54+멀티미디어관!I54+제2기숙사!I54+선승관!I54+예술디자인대!I54+공학관!I54</x:f>
        <x:v>6</x:v>
      </x:c>
      <x:c r="Q54" s="37">
        <x:f>'교육용,R&amp;D,삼의원(잇다카페)'!J54+푸른솔!J54+의과대학!J54+중앙도서관!J54+학생회관!J54+멀티미디어관!J54+제2기숙사!J54+선승관!J54+예술디자인대!J54+공학관!J54</x:f>
        <x:v>4</x:v>
      </x:c>
      <x:c r="R54" s="37">
        <x:f>'교육용,R&amp;D,삼의원(잇다카페)'!K54+푸른솔!K54+의과대학!K54+중앙도서관!K54+학생회관!K54+멀티미디어관!K54+제2기숙사!K54+선승관!K54+예술디자인대!K54+공학관!K54</x:f>
        <x:v>11</x:v>
      </x:c>
      <x:c r="S54" s="37">
        <x:f>'교육용,R&amp;D,삼의원(잇다카페)'!L54+푸른솔!L54+의과대학!L54+중앙도서관!L54+학생회관!L54+멀티미디어관!L54+제2기숙사!L54+선승관!L54+예술디자인대!L54+공학관!L54</x:f>
        <x:v>0</x:v>
      </x:c>
      <x:c r="T54" s="38">
        <x:f>'교육용,R&amp;D,삼의원(잇다카페)'!M54+푸른솔!M54+의과대학!M54+중앙도서관!M54+학생회관!M54+멀티미디어관!M54+제2기숙사!M54+선승관!M54+예술디자인대!M54+공학관!M54</x:f>
        <x:v>0</x:v>
      </x:c>
      <x:c r="U54" s="157">
        <x:f t="shared" si="6"/>
        <x:v>21</x:v>
      </x:c>
      <x:c r="V54" s="157">
        <x:f t="shared" si="4"/>
        <x:v>138600</x:v>
      </x:c>
      <x:c r="W54" s="161">
        <x:f t="shared" si="5"/>
        <x:v>11</x:v>
      </x:c>
      <x:c r="X54" s="44">
        <x:f t="shared" si="7"/>
        <x:v>72600</x:v>
      </x:c>
      <x:c r="Y54" s="46"/>
      <x:c r="Z54" s="190">
        <x:v>0</x:v>
      </x:c>
      <x:c r="AA54" s="189">
        <x:f t="shared" si="8"/>
        <x:v>0</x:v>
      </x:c>
      <x:c r="AB54" s="227"/>
      <x:c r="AC54" s="221"/>
    </x:row>
    <x:row r="55" spans="1:29">
      <x:c r="A55" s="208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>
        <x:v>12</x:v>
      </x:c>
      <x:c r="I55" s="106">
        <x:v>20</x:v>
      </x:c>
      <x:c r="J55" s="107"/>
      <x:c r="K55" s="107"/>
      <x:c r="L55" s="107"/>
      <x:c r="M55" s="108"/>
      <x:c r="N55" s="94">
        <x:f t="shared" si="2"/>
        <x:v>20</x:v>
      </x:c>
      <x:c r="O55" s="141">
        <x:f t="shared" si="3"/>
        <x:v>112000</x:v>
      </x:c>
      <x:c r="P55" s="136">
        <x:f>'교육용,R&amp;D,삼의원(잇다카페)'!I55+푸른솔!I55+의과대학!I55+중앙도서관!I55+학생회관!I55+멀티미디어관!I55+제2기숙사!I55+선승관!I55+예술디자인대!I55+공학관!I55</x:f>
        <x:v>7</x:v>
      </x:c>
      <x:c r="Q55" s="37">
        <x:f>'교육용,R&amp;D,삼의원(잇다카페)'!J55+푸른솔!J55+의과대학!J55+중앙도서관!J55+학생회관!J55+멀티미디어관!J55+제2기숙사!J55+선승관!J55+예술디자인대!J55+공학관!J55</x:f>
        <x:v>6</x:v>
      </x:c>
      <x:c r="R55" s="37">
        <x:f>'교육용,R&amp;D,삼의원(잇다카페)'!K55+푸른솔!K55+의과대학!K55+중앙도서관!K55+학생회관!K55+멀티미디어관!K55+제2기숙사!K55+선승관!K55+예술디자인대!K55+공학관!K55</x:f>
        <x:v>11</x:v>
      </x:c>
      <x:c r="S55" s="37">
        <x:f>'교육용,R&amp;D,삼의원(잇다카페)'!L55+푸른솔!L55+의과대학!L55+중앙도서관!L55+학생회관!L55+멀티미디어관!L55+제2기숙사!L55+선승관!L55+예술디자인대!L55+공학관!L55</x:f>
        <x:v>0</x:v>
      </x:c>
      <x:c r="T55" s="38">
        <x:f>'교육용,R&amp;D,삼의원(잇다카페)'!M55+푸른솔!M55+의과대학!M55+중앙도서관!M55+학생회관!M55+멀티미디어관!M55+제2기숙사!M55+선승관!M55+예술디자인대!M55+공학관!M55</x:f>
        <x:v>0</x:v>
      </x:c>
      <x:c r="U55" s="157">
        <x:f t="shared" si="6"/>
        <x:v>24</x:v>
      </x:c>
      <x:c r="V55" s="157">
        <x:f t="shared" si="4"/>
        <x:v>134400</x:v>
      </x:c>
      <x:c r="W55" s="161">
        <x:f t="shared" si="5"/>
        <x:v>8</x:v>
      </x:c>
      <x:c r="X55" s="44">
        <x:f t="shared" si="7"/>
        <x:v>44800</x:v>
      </x:c>
      <x:c r="Y55" s="46"/>
      <x:c r="Z55" s="190">
        <x:v>0</x:v>
      </x:c>
      <x:c r="AA55" s="189">
        <x:f t="shared" si="8"/>
        <x:v>0</x:v>
      </x:c>
      <x:c r="AB55" s="227"/>
      <x:c r="AC55" s="221"/>
    </x:row>
    <x:row r="56" spans="1:29">
      <x:c r="A56" s="208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>
        <x:v>18</x:v>
      </x:c>
      <x:c r="I56" s="106">
        <x:v>8</x:v>
      </x:c>
      <x:c r="J56" s="107"/>
      <x:c r="K56" s="107"/>
      <x:c r="L56" s="107"/>
      <x:c r="M56" s="108"/>
      <x:c r="N56" s="94">
        <x:f t="shared" si="2"/>
        <x:v>8</x:v>
      </x:c>
      <x:c r="O56" s="141">
        <x:f t="shared" si="3"/>
        <x:v>112800</x:v>
      </x:c>
      <x:c r="P56" s="136">
        <x:f>'교육용,R&amp;D,삼의원(잇다카페)'!I56+푸른솔!I56+의과대학!I56+중앙도서관!I56+학생회관!I56+멀티미디어관!I56+제2기숙사!I56+선승관!I56+예술디자인대!I56+공학관!I56</x:f>
        <x:v>2</x:v>
      </x:c>
      <x:c r="Q56" s="37">
        <x:f>'교육용,R&amp;D,삼의원(잇다카페)'!J56+푸른솔!J56+의과대학!J56+중앙도서관!J56+학생회관!J56+멀티미디어관!J56+제2기숙사!J56+선승관!J56+예술디자인대!J56+공학관!J56</x:f>
        <x:v>2</x:v>
      </x:c>
      <x:c r="R56" s="37">
        <x:f>'교육용,R&amp;D,삼의원(잇다카페)'!K56+푸른솔!K56+의과대학!K56+중앙도서관!K56+학생회관!K56+멀티미디어관!K56+제2기숙사!K56+선승관!K56+예술디자인대!K56+공학관!K56</x:f>
        <x:v>5</x:v>
      </x:c>
      <x:c r="S56" s="37">
        <x:f>'교육용,R&amp;D,삼의원(잇다카페)'!L56+푸른솔!L56+의과대학!L56+중앙도서관!L56+학생회관!L56+멀티미디어관!L56+제2기숙사!L56+선승관!L56+예술디자인대!L56+공학관!L56</x:f>
        <x:v>0</x:v>
      </x:c>
      <x:c r="T56" s="38">
        <x:f>'교육용,R&amp;D,삼의원(잇다카페)'!M56+푸른솔!M56+의과대학!M56+중앙도서관!M56+학생회관!M56+멀티미디어관!M56+제2기숙사!M56+선승관!M56+예술디자인대!M56+공학관!M56</x:f>
        <x:v>0</x:v>
      </x:c>
      <x:c r="U56" s="157">
        <x:f t="shared" si="6"/>
        <x:v>9</x:v>
      </x:c>
      <x:c r="V56" s="157">
        <x:f t="shared" si="4"/>
        <x:v>126900</x:v>
      </x:c>
      <x:c r="W56" s="161">
        <x:f t="shared" si="5"/>
        <x:v>17</x:v>
      </x:c>
      <x:c r="X56" s="44">
        <x:f t="shared" si="7"/>
        <x:v>239700</x:v>
      </x:c>
      <x:c r="Y56" s="46"/>
      <x:c r="Z56" s="190">
        <x:v>0</x:v>
      </x:c>
      <x:c r="AA56" s="189">
        <x:f t="shared" si="8"/>
        <x:v>0</x:v>
      </x:c>
      <x:c r="AB56" s="227"/>
      <x:c r="AC56" s="221"/>
    </x:row>
    <x:row r="57" spans="1:29">
      <x:c r="A57" s="208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>
        <x:v>0</x:v>
      </x:c>
      <x:c r="I57" s="106">
        <x:v>12</x:v>
      </x:c>
      <x:c r="J57" s="107"/>
      <x:c r="K57" s="107"/>
      <x:c r="L57" s="107"/>
      <x:c r="M57" s="108"/>
      <x:c r="N57" s="94">
        <x:f t="shared" si="2"/>
        <x:v>12</x:v>
      </x:c>
      <x:c r="O57" s="141">
        <x:f t="shared" si="3"/>
        <x:v>181200</x:v>
      </x:c>
      <x:c r="P57" s="136">
        <x:f>'교육용,R&amp;D,삼의원(잇다카페)'!I57+푸른솔!I57+의과대학!I57+중앙도서관!I57+학생회관!I57+멀티미디어관!I57+제2기숙사!I57+선승관!I57+예술디자인대!I57+공학관!I57</x:f>
        <x:v>2</x:v>
      </x:c>
      <x:c r="Q57" s="37">
        <x:f>'교육용,R&amp;D,삼의원(잇다카페)'!J57+푸른솔!J57+의과대학!J57+중앙도서관!J57+학생회관!J57+멀티미디어관!J57+제2기숙사!J57+선승관!J57+예술디자인대!J57+공학관!J57</x:f>
        <x:v>2</x:v>
      </x:c>
      <x:c r="R57" s="37">
        <x:f>'교육용,R&amp;D,삼의원(잇다카페)'!K57+푸른솔!K57+의과대학!K57+중앙도서관!K57+학생회관!K57+멀티미디어관!K57+제2기숙사!K57+선승관!K57+예술디자인대!K57+공학관!K57</x:f>
        <x:v>3</x:v>
      </x:c>
      <x:c r="S57" s="37">
        <x:f>'교육용,R&amp;D,삼의원(잇다카페)'!L57+푸른솔!L57+의과대학!L57+중앙도서관!L57+학생회관!L57+멀티미디어관!L57+제2기숙사!L57+선승관!L57+예술디자인대!L57+공학관!L57</x:f>
        <x:v>0</x:v>
      </x:c>
      <x:c r="T57" s="38">
        <x:f>'교육용,R&amp;D,삼의원(잇다카페)'!M57+푸른솔!M57+의과대학!M57+중앙도서관!M57+학생회관!M57+멀티미디어관!M57+제2기숙사!M57+선승관!M57+예술디자인대!M57+공학관!M57</x:f>
        <x:v>0</x:v>
      </x:c>
      <x:c r="U57" s="157">
        <x:f t="shared" si="6"/>
        <x:v>7</x:v>
      </x:c>
      <x:c r="V57" s="157">
        <x:f t="shared" si="4"/>
        <x:v>105700</x:v>
      </x:c>
      <x:c r="W57" s="161">
        <x:f t="shared" si="5"/>
        <x:v>5</x:v>
      </x:c>
      <x:c r="X57" s="44">
        <x:f t="shared" si="7"/>
        <x:v>75500</x:v>
      </x:c>
      <x:c r="Y57" s="46"/>
      <x:c r="Z57" s="190">
        <x:v>0</x:v>
      </x:c>
      <x:c r="AA57" s="189">
        <x:f t="shared" si="8"/>
        <x:v>0</x:v>
      </x:c>
      <x:c r="AB57" s="227"/>
      <x:c r="AC57" s="221"/>
    </x:row>
    <x:row r="58" spans="1:29">
      <x:c r="A58" s="209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>
        <x:v>23</x:v>
      </x:c>
      <x:c r="I58" s="106">
        <x:v>0</x:v>
      </x:c>
      <x:c r="J58" s="104"/>
      <x:c r="K58" s="104"/>
      <x:c r="L58" s="104"/>
      <x:c r="M58" s="105"/>
      <x:c r="N58" s="96">
        <x:f t="shared" si="2"/>
        <x:v>0</x:v>
      </x:c>
      <x:c r="O58" s="140">
        <x:f t="shared" si="3"/>
        <x:v>0</x:v>
      </x:c>
      <x:c r="P58" s="127">
        <x:f>'교육용,R&amp;D,삼의원(잇다카페)'!I58+푸른솔!I58+의과대학!I58+중앙도서관!I58+학생회관!I58+멀티미디어관!I58+제2기숙사!I58+선승관!I58+예술디자인대!I58+공학관!I58</x:f>
        <x:v>2</x:v>
      </x:c>
      <x:c r="Q58" s="27">
        <x:f>'교육용,R&amp;D,삼의원(잇다카페)'!J58+푸른솔!J58+의과대학!J58+중앙도서관!J58+학생회관!J58+멀티미디어관!J58+제2기숙사!J58+선승관!J58+예술디자인대!J58+공학관!J58</x:f>
        <x:v>2</x:v>
      </x:c>
      <x:c r="R58" s="27">
        <x:f>'교육용,R&amp;D,삼의원(잇다카페)'!K58+푸른솔!K58+의과대학!K58+중앙도서관!K58+학생회관!K58+멀티미디어관!K58+제2기숙사!K58+선승관!K58+예술디자인대!K58+공학관!K58</x:f>
        <x:v>6</x:v>
      </x:c>
      <x:c r="S58" s="27">
        <x:f>'교육용,R&amp;D,삼의원(잇다카페)'!L58+푸른솔!L58+의과대학!L58+중앙도서관!L58+학생회관!L58+멀티미디어관!L58+제2기숙사!L58+선승관!L58+예술디자인대!L58+공학관!L58</x:f>
        <x:v>0</x:v>
      </x:c>
      <x:c r="T58" s="28">
        <x:f>'교육용,R&amp;D,삼의원(잇다카페)'!M58+푸른솔!M58+의과대학!M58+중앙도서관!M58+학생회관!M58+멀티미디어관!M58+제2기숙사!M58+선승관!M58+예술디자인대!M58+공학관!M58</x:f>
        <x:v>0</x:v>
      </x:c>
      <x:c r="U58" s="158">
        <x:f t="shared" si="6"/>
        <x:v>10</x:v>
      </x:c>
      <x:c r="V58" s="158">
        <x:f t="shared" si="4"/>
        <x:v>153000</x:v>
      </x:c>
      <x:c r="W58" s="162">
        <x:f t="shared" si="5"/>
        <x:v>13</x:v>
      </x:c>
      <x:c r="X58" s="51">
        <x:f t="shared" si="7"/>
        <x:v>198900</x:v>
      </x:c>
      <x:c r="Y58" s="47"/>
      <x:c r="Z58" s="190">
        <x:v>0</x:v>
      </x:c>
      <x:c r="AA58" s="198">
        <x:f t="shared" si="8"/>
        <x:v>0</x:v>
      </x:c>
      <x:c r="AB58" s="228"/>
      <x:c r="AC58" s="222"/>
    </x:row>
    <x:row r="59" spans="1:29">
      <x:c r="A59" s="214" t="s">
        <x:v>36</x:v>
      </x:c>
      <x:c r="B59" s="15" t="s">
        <x:v>46</x:v>
      </x:c>
      <x:c r="C59" s="205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>
        <x:v>75</x:v>
      </x:c>
      <x:c r="I59" s="109">
        <x:v>300</x:v>
      </x:c>
      <x:c r="J59" s="101"/>
      <x:c r="K59" s="101"/>
      <x:c r="L59" s="101"/>
      <x:c r="M59" s="102"/>
      <x:c r="N59" s="93">
        <x:f t="shared" si="2"/>
        <x:v>300</x:v>
      </x:c>
      <x:c r="O59" s="142">
        <x:f t="shared" si="3"/>
        <x:v>3300000</x:v>
      </x:c>
      <x:c r="P59" s="137">
        <x:f>'교육용,R&amp;D,삼의원(잇다카페)'!I59+푸른솔!I59+의과대학!I59+중앙도서관!I59+학생회관!I59+멀티미디어관!I59+제2기숙사!I59+선승관!I59+예술디자인대!I59+공학관!I59</x:f>
        <x:v>64</x:v>
      </x:c>
      <x:c r="Q59" s="17">
        <x:f>'교육용,R&amp;D,삼의원(잇다카페)'!J59+푸른솔!J59+의과대학!J59+중앙도서관!J59+학생회관!J59+멀티미디어관!J59+제2기숙사!J59+선승관!J59+예술디자인대!J59+공학관!J59</x:f>
        <x:v>54</x:v>
      </x:c>
      <x:c r="R59" s="17">
        <x:f>'교육용,R&amp;D,삼의원(잇다카페)'!K59+푸른솔!K59+의과대학!K59+중앙도서관!K59+학생회관!K59+멀티미디어관!K59+제2기숙사!K59+선승관!K59+예술디자인대!K59+공학관!K59</x:f>
        <x:v>82</x:v>
      </x:c>
      <x:c r="S59" s="17">
        <x:f>'교육용,R&amp;D,삼의원(잇다카페)'!L59+푸른솔!L59+의과대학!L59+중앙도서관!L59+학생회관!L59+멀티미디어관!L59+제2기숙사!L59+선승관!L59+예술디자인대!L59+공학관!L59</x:f>
        <x:v>0</x:v>
      </x:c>
      <x:c r="T59" s="18">
        <x:f>'교육용,R&amp;D,삼의원(잇다카페)'!M59+푸른솔!M59+의과대학!M59+중앙도서관!M59+학생회관!M59+멀티미디어관!M59+제2기숙사!M59+선승관!M59+예술디자인대!M59+공학관!M59</x:f>
        <x:v>0</x:v>
      </x:c>
      <x:c r="U59" s="156">
        <x:f t="shared" si="6"/>
        <x:v>200</x:v>
      </x:c>
      <x:c r="V59" s="156">
        <x:f t="shared" si="4"/>
        <x:v>2200000</x:v>
      </x:c>
      <x:c r="W59" s="160">
        <x:f t="shared" si="5"/>
        <x:v>175</x:v>
      </x:c>
      <x:c r="X59" s="24">
        <x:f t="shared" si="7"/>
        <x:v>1925000</x:v>
      </x:c>
      <x:c r="Y59" s="48"/>
      <x:c r="Z59" s="191">
        <x:v>0</x:v>
      </x:c>
      <x:c r="AA59" s="192">
        <x:f t="shared" si="8"/>
        <x:v>0</x:v>
      </x:c>
      <x:c r="AB59" s="199">
        <x:f>SUM(AA59)</x:f>
        <x:v>0</x:v>
      </x:c>
      <x:c r="AC59" s="200">
        <x:f>AB59*1.1</x:f>
        <x:v>0</x:v>
      </x:c>
    </x:row>
    <x:row r="60" spans="1:29">
      <x:c r="A60" s="215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>
        <x:v>20</x:v>
      </x:c>
      <x:c r="I60" s="116"/>
      <x:c r="J60" s="111"/>
      <x:c r="K60" s="111"/>
      <x:c r="L60" s="111"/>
      <x:c r="M60" s="112"/>
      <x:c r="N60" s="96">
        <x:f t="shared" si="2"/>
        <x:v>0</x:v>
      </x:c>
      <x:c r="O60" s="139">
        <x:f t="shared" si="3"/>
        <x:v>0</x:v>
      </x:c>
      <x:c r="P60" s="129">
        <x:f>'교육용,R&amp;D,삼의원(잇다카페)'!I60+푸른솔!I60+의과대학!I60+중앙도서관!I60+학생회관!I60+멀티미디어관!I60+제2기숙사!I60+선승관!I60+예술디자인대!I60+공학관!I60</x:f>
        <x:v>6</x:v>
      </x:c>
      <x:c r="Q60" s="57">
        <x:f>'교육용,R&amp;D,삼의원(잇다카페)'!J60+푸른솔!J60+의과대학!J60+중앙도서관!J60+학생회관!J60+멀티미디어관!J60+제2기숙사!J60+선승관!J60+예술디자인대!J60+공학관!J60</x:f>
        <x:v>1</x:v>
      </x:c>
      <x:c r="R60" s="57">
        <x:f>'교육용,R&amp;D,삼의원(잇다카페)'!K60+푸른솔!K60+의과대학!K60+중앙도서관!K60+학생회관!K60+멀티미디어관!K60+제2기숙사!K60+선승관!K60+예술디자인대!K60+공학관!K60</x:f>
        <x:v>2</x:v>
      </x:c>
      <x:c r="S60" s="57">
        <x:f>'교육용,R&amp;D,삼의원(잇다카페)'!L60+푸른솔!L60+의과대학!L60+중앙도서관!L60+학생회관!L60+멀티미디어관!L60+제2기숙사!L60+선승관!L60+예술디자인대!L60+공학관!L60</x:f>
        <x:v>0</x:v>
      </x:c>
      <x:c r="T60" s="58">
        <x:f>'교육용,R&amp;D,삼의원(잇다카페)'!M60+푸른솔!M60+의과대학!M60+중앙도서관!M60+학생회관!M60+멀티미디어관!M60+제2기숙사!M60+선승관!M60+예술디자인대!M60+공학관!M60</x:f>
        <x:v>0</x:v>
      </x:c>
      <x:c r="U60" s="158">
        <x:f t="shared" si="6"/>
        <x:v>9</x:v>
      </x:c>
      <x:c r="V60" s="158">
        <x:f t="shared" si="4"/>
        <x:v>171000</x:v>
      </x:c>
      <x:c r="W60" s="162">
        <x:f t="shared" si="5"/>
        <x:v>11</x:v>
      </x:c>
      <x:c r="X60" s="51">
        <x:f t="shared" si="7"/>
        <x:v>209000</x:v>
      </x:c>
      <x:c r="Y60" s="63"/>
      <x:c r="Z60" s="193">
        <x:v>0</x:v>
      </x:c>
      <x:c r="AA60" s="204">
        <x:f t="shared" si="8"/>
        <x:v>0</x:v>
      </x:c>
      <x:c r="AB60" s="201">
        <x:f>SUM(AA60)</x:f>
        <x:v>0</x:v>
      </x:c>
      <x:c r="AC60" s="202">
        <x:f>AB60*1.1</x:f>
        <x:v>0</x:v>
      </x:c>
    </x:row>
    <x:row r="61" spans="1:29" ht="16.7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9">
        <x:v>5</x:v>
      </x:c>
      <x:c r="I61" s="20"/>
      <x:c r="J61" s="21"/>
      <x:c r="K61" s="21"/>
      <x:c r="L61" s="21"/>
      <x:c r="M61" s="22"/>
      <x:c r="N61" s="97">
        <x:f t="shared" si="2"/>
        <x:v>0</x:v>
      </x:c>
      <x:c r="O61" s="138">
        <x:f t="shared" si="3"/>
        <x:v>0</x:v>
      </x:c>
      <x:c r="P61" s="128">
        <x:f>'교육용,R&amp;D,삼의원(잇다카페)'!I61+푸른솔!I61+의과대학!I61+중앙도서관!I61+학생회관!I61+멀티미디어관!I61+제2기숙사!I61+선승관!I61+예술디자인대!I61+공학관!I61</x:f>
        <x:v>3</x:v>
      </x:c>
      <x:c r="Q61" s="55">
        <x:f>'교육용,R&amp;D,삼의원(잇다카페)'!J61+푸른솔!J61+의과대학!J61+중앙도서관!J61+학생회관!J61+멀티미디어관!J61+제2기숙사!J61+선승관!J61+예술디자인대!J61+공학관!J61</x:f>
        <x:v>2</x:v>
      </x:c>
      <x:c r="R61" s="55">
        <x:f>'교육용,R&amp;D,삼의원(잇다카페)'!K61+푸른솔!K61+의과대학!K61+중앙도서관!K61+학생회관!K61+멀티미디어관!K61+제2기숙사!K61+선승관!K61+예술디자인대!K61+공학관!K61</x:f>
        <x:v>0</x:v>
      </x:c>
      <x:c r="S61" s="55">
        <x:f>'교육용,R&amp;D,삼의원(잇다카페)'!L61+푸른솔!L61+의과대학!L61+중앙도서관!L61+학생회관!L61+멀티미디어관!L61+제2기숙사!L61+선승관!L61+예술디자인대!L61+공학관!L61</x:f>
        <x:v>0</x:v>
      </x:c>
      <x:c r="T61" s="155">
        <x:f>'교육용,R&amp;D,삼의원(잇다카페)'!M61+푸른솔!M61+의과대학!M61+중앙도서관!M61+학생회관!M61+멀티미디어관!M61+제2기숙사!M61+선승관!M61+예술디자인대!M61+공학관!M61</x:f>
        <x:v>0</x:v>
      </x:c>
      <x:c r="U61" s="156">
        <x:f t="shared" si="6"/>
        <x:v>5</x:v>
      </x:c>
      <x:c r="V61" s="156">
        <x:f t="shared" si="4"/>
        <x:v>20000</x:v>
      </x:c>
      <x:c r="W61" s="160">
        <x:f t="shared" si="5"/>
        <x:v>0</x:v>
      </x:c>
      <x:c r="X61" s="24">
        <x:f t="shared" si="7"/>
        <x:v>0</x:v>
      </x:c>
      <x:c r="Y61" s="48"/>
      <x:c r="Z61" s="25">
        <x:v>0</x:v>
      </x:c>
      <x:c r="AA61" s="90">
        <x:f t="shared" si="8"/>
        <x:v>0</x:v>
      </x:c>
      <x:c r="AB61" s="217">
        <x:f>SUM(AA61:AA64)</x:f>
        <x:v>0</x:v>
      </x:c>
      <x:c r="AC61" s="223">
        <x:f>AB61*1.1</x:f>
        <x:v>0</x:v>
      </x:c>
    </x:row>
    <x:row r="62" spans="1:29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39">
        <x:v>38</x:v>
      </x:c>
      <x:c r="I62" s="40"/>
      <x:c r="J62" s="41"/>
      <x:c r="K62" s="41"/>
      <x:c r="L62" s="41"/>
      <x:c r="M62" s="42"/>
      <x:c r="N62" s="94">
        <x:f t="shared" si="2"/>
        <x:v>0</x:v>
      </x:c>
      <x:c r="O62" s="141">
        <x:f t="shared" si="3"/>
        <x:v>0</x:v>
      </x:c>
      <x:c r="P62" s="136">
        <x:f>'교육용,R&amp;D,삼의원(잇다카페)'!I62+푸른솔!I62+의과대학!I62+중앙도서관!I62+학생회관!I62+멀티미디어관!I62+제2기숙사!I62+선승관!I62+예술디자인대!I62+공학관!I62</x:f>
        <x:v>1</x:v>
      </x:c>
      <x:c r="Q62" s="37">
        <x:f>'교육용,R&amp;D,삼의원(잇다카페)'!J62+푸른솔!J62+의과대학!J62+중앙도서관!J62+학생회관!J62+멀티미디어관!J62+제2기숙사!J62+선승관!J62+예술디자인대!J62+공학관!J62</x:f>
        <x:v>1</x:v>
      </x:c>
      <x:c r="R62" s="37">
        <x:f>'교육용,R&amp;D,삼의원(잇다카페)'!K62+푸른솔!K62+의과대학!K62+중앙도서관!K62+학생회관!K62+멀티미디어관!K62+제2기숙사!K62+선승관!K62+예술디자인대!K62+공학관!K62</x:f>
        <x:v>2</x:v>
      </x:c>
      <x:c r="S62" s="37">
        <x:f>'교육용,R&amp;D,삼의원(잇다카페)'!L62+푸른솔!L62+의과대학!L62+중앙도서관!L62+학생회관!L62+멀티미디어관!L62+제2기숙사!L62+선승관!L62+예술디자인대!L62+공학관!L62</x:f>
        <x:v>0</x:v>
      </x:c>
      <x:c r="T62" s="38">
        <x:f>'교육용,R&amp;D,삼의원(잇다카페)'!M62+푸른솔!M62+의과대학!M62+중앙도서관!M62+학생회관!M62+멀티미디어관!M62+제2기숙사!M62+선승관!M62+예술디자인대!M62+공학관!M62</x:f>
        <x:v>0</x:v>
      </x:c>
      <x:c r="U62" s="157">
        <x:f t="shared" si="6"/>
        <x:v>4</x:v>
      </x:c>
      <x:c r="V62" s="157">
        <x:f t="shared" si="4"/>
        <x:v>16000</x:v>
      </x:c>
      <x:c r="W62" s="161">
        <x:f t="shared" si="5"/>
        <x:v>34</x:v>
      </x:c>
      <x:c r="X62" s="44">
        <x:f t="shared" si="7"/>
        <x:v>136000</x:v>
      </x:c>
      <x:c r="Y62" s="46"/>
      <x:c r="Z62" s="89">
        <x:v>0</x:v>
      </x:c>
      <x:c r="AA62" s="34">
        <x:f t="shared" si="8"/>
        <x:v>0</x:v>
      </x:c>
      <x:c r="AB62" s="218"/>
      <x:c r="AC62" s="224"/>
    </x:row>
    <x:row r="63" spans="1:29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39">
        <x:v>22</x:v>
      </x:c>
      <x:c r="I63" s="40"/>
      <x:c r="J63" s="41"/>
      <x:c r="K63" s="41"/>
      <x:c r="L63" s="41"/>
      <x:c r="M63" s="42"/>
      <x:c r="N63" s="94">
        <x:f t="shared" si="2"/>
        <x:v>0</x:v>
      </x:c>
      <x:c r="O63" s="141">
        <x:f t="shared" si="3"/>
        <x:v>0</x:v>
      </x:c>
      <x:c r="P63" s="136">
        <x:f>'교육용,R&amp;D,삼의원(잇다카페)'!I63+푸른솔!I63+의과대학!I63+중앙도서관!I63+학생회관!I63+멀티미디어관!I63+제2기숙사!I63+선승관!I63+예술디자인대!I63+공학관!I63</x:f>
        <x:v>2</x:v>
      </x:c>
      <x:c r="Q63" s="37">
        <x:f>'교육용,R&amp;D,삼의원(잇다카페)'!J63+푸른솔!J63+의과대학!J63+중앙도서관!J63+학생회관!J63+멀티미디어관!J63+제2기숙사!J63+선승관!J63+예술디자인대!J63+공학관!J63</x:f>
        <x:v>3</x:v>
      </x:c>
      <x:c r="R63" s="37">
        <x:f>'교육용,R&amp;D,삼의원(잇다카페)'!K63+푸른솔!K63+의과대학!K63+중앙도서관!K63+학생회관!K63+멀티미디어관!K63+제2기숙사!K63+선승관!K63+예술디자인대!K63+공학관!K63</x:f>
        <x:v>1</x:v>
      </x:c>
      <x:c r="S63" s="37">
        <x:f>'교육용,R&amp;D,삼의원(잇다카페)'!L63+푸른솔!L63+의과대학!L63+중앙도서관!L63+학생회관!L63+멀티미디어관!L63+제2기숙사!L63+선승관!L63+예술디자인대!L63+공학관!L63</x:f>
        <x:v>0</x:v>
      </x:c>
      <x:c r="T63" s="38">
        <x:f>'교육용,R&amp;D,삼의원(잇다카페)'!M63+푸른솔!M63+의과대학!M63+중앙도서관!M63+학생회관!M63+멀티미디어관!M63+제2기숙사!M63+선승관!M63+예술디자인대!M63+공학관!M63</x:f>
        <x:v>0</x:v>
      </x:c>
      <x:c r="U63" s="157">
        <x:f t="shared" si="6"/>
        <x:v>6</x:v>
      </x:c>
      <x:c r="V63" s="157">
        <x:f t="shared" si="4"/>
        <x:v>24000</x:v>
      </x:c>
      <x:c r="W63" s="161">
        <x:f t="shared" si="5"/>
        <x:v>16</x:v>
      </x:c>
      <x:c r="X63" s="44">
        <x:f t="shared" si="7"/>
        <x:v>64000</x:v>
      </x:c>
      <x:c r="Y63" s="46"/>
      <x:c r="Z63" s="45">
        <x:v>0</x:v>
      </x:c>
      <x:c r="AA63" s="34">
        <x:f t="shared" si="8"/>
        <x:v>0</x:v>
      </x:c>
      <x:c r="AB63" s="218"/>
      <x:c r="AC63" s="224"/>
    </x:row>
    <x:row r="64" spans="1:29" ht="16.7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59">
        <x:v>12</x:v>
      </x:c>
      <x:c r="I64" s="60"/>
      <x:c r="J64" s="61"/>
      <x:c r="K64" s="61"/>
      <x:c r="L64" s="61"/>
      <x:c r="M64" s="62"/>
      <x:c r="N64" s="96">
        <x:f t="shared" si="2"/>
        <x:v>0</x:v>
      </x:c>
      <x:c r="O64" s="139">
        <x:f t="shared" si="3"/>
        <x:v>0</x:v>
      </x:c>
      <x:c r="P64" s="129">
        <x:f>'교육용,R&amp;D,삼의원(잇다카페)'!I64+푸른솔!I64+의과대학!I64+중앙도서관!I64+학생회관!I64+멀티미디어관!I64+제2기숙사!I64+선승관!I64+예술디자인대!I64+공학관!I64</x:f>
        <x:v>1</x:v>
      </x:c>
      <x:c r="Q64" s="57">
        <x:f>'교육용,R&amp;D,삼의원(잇다카페)'!J64+푸른솔!J64+의과대학!J64+중앙도서관!J64+학생회관!J64+멀티미디어관!J64+제2기숙사!J64+선승관!J64+예술디자인대!J64+공학관!J64</x:f>
        <x:v>0</x:v>
      </x:c>
      <x:c r="R64" s="57">
        <x:f>'교육용,R&amp;D,삼의원(잇다카페)'!K64+푸른솔!K64+의과대학!K64+중앙도서관!K64+학생회관!K64+멀티미디어관!K64+제2기숙사!K64+선승관!K64+예술디자인대!K64+공학관!K64</x:f>
        <x:v>2</x:v>
      </x:c>
      <x:c r="S64" s="57">
        <x:f>'교육용,R&amp;D,삼의원(잇다카페)'!L64+푸른솔!L64+의과대학!L64+중앙도서관!L64+학생회관!L64+멀티미디어관!L64+제2기숙사!L64+선승관!L64+예술디자인대!L64+공학관!L64</x:f>
        <x:v>0</x:v>
      </x:c>
      <x:c r="T64" s="58">
        <x:f>'교육용,R&amp;D,삼의원(잇다카페)'!M64+푸른솔!M64+의과대학!M64+중앙도서관!M64+학생회관!M64+멀티미디어관!M64+제2기숙사!M64+선승관!M64+예술디자인대!M64+공학관!M64</x:f>
        <x:v>0</x:v>
      </x:c>
      <x:c r="U64" s="158">
        <x:f t="shared" si="6"/>
        <x:v>3</x:v>
      </x:c>
      <x:c r="V64" s="158">
        <x:f t="shared" si="4"/>
        <x:v>12900</x:v>
      </x:c>
      <x:c r="W64" s="162">
        <x:f t="shared" si="5"/>
        <x:v>9</x:v>
      </x:c>
      <x:c r="X64" s="51">
        <x:f t="shared" si="7"/>
        <x:v>38700</x:v>
      </x:c>
      <x:c r="Y64" s="63"/>
      <x:c r="Z64" s="91">
        <x:v>0</x:v>
      </x:c>
      <x:c r="AA64" s="163">
        <x:f t="shared" si="8"/>
        <x:v>0</x:v>
      </x:c>
      <x:c r="AB64" s="219"/>
      <x:c r="AC64" s="225"/>
    </x:row>
    <x:row r="65" spans="1:29" ht="15.75" customHeight="1">
      <x:c r="A65" s="64"/>
      <x:c r="B65" s="64"/>
      <x:c r="C65" s="64"/>
      <x:c r="D65" s="64"/>
      <x:c r="E65" s="64"/>
      <x:c r="F65" s="64"/>
      <x:c r="G65" s="64"/>
      <x:c r="H65" s="64">
        <x:f t="shared" ref="H65:AA65" si="9">SUM(H5:H64)</x:f>
        <x:v>163198</x:v>
      </x:c>
      <x:c r="I65" s="64">
        <x:f t="shared" si="9"/>
        <x:v>53706</x:v>
      </x:c>
      <x:c r="J65" s="64">
        <x:f t="shared" si="9"/>
        <x:v>0</x:v>
      </x:c>
      <x:c r="K65" s="64">
        <x:f t="shared" si="9"/>
        <x:v>0</x:v>
      </x:c>
      <x:c r="L65" s="64">
        <x:f t="shared" si="9"/>
        <x:v>0</x:v>
      </x:c>
      <x:c r="M65" s="64">
        <x:f t="shared" si="9"/>
        <x:v>0</x:v>
      </x:c>
      <x:c r="N65" s="92">
        <x:f t="shared" si="9"/>
        <x:v>53706</x:v>
      </x:c>
      <x:c r="O65" s="98">
        <x:f t="shared" si="9"/>
        <x:v>6924760</x:v>
      </x:c>
      <x:c r="P65" s="64">
        <x:f t="shared" si="9"/>
        <x:v>15066</x:v>
      </x:c>
      <x:c r="Q65" s="64">
        <x:f t="shared" si="9"/>
        <x:v>11533</x:v>
      </x:c>
      <x:c r="R65" s="64">
        <x:f t="shared" si="9"/>
        <x:v>18505</x:v>
      </x:c>
      <x:c r="S65" s="64">
        <x:f t="shared" si="9"/>
        <x:v>0</x:v>
      </x:c>
      <x:c r="T65" s="64">
        <x:f>SUM(T5:T64)</x:f>
        <x:v>0</x:v>
      </x:c>
      <x:c r="U65" s="92">
        <x:f>SUM(U5:U64)</x:f>
        <x:v>45104</x:v>
      </x:c>
      <x:c r="V65" s="98">
        <x:f t="shared" si="9"/>
        <x:v>6533535</x:v>
      </x:c>
      <x:c r="W65" s="159">
        <x:f t="shared" si="9"/>
        <x:v>171800</x:v>
      </x:c>
      <x:c r="X65" s="98">
        <x:f t="shared" si="9"/>
        <x:v>8676237.6999999993</x:v>
      </x:c>
      <x:c r="Y65" s="64">
        <x:f t="shared" si="9"/>
        <x:v>0</x:v>
      </x:c>
      <x:c r="Z65" s="64">
        <x:f t="shared" si="9"/>
        <x:v>0</x:v>
      </x:c>
      <x:c r="AA65" s="164">
        <x:f t="shared" si="9"/>
        <x:v>0</x:v>
      </x:c>
      <x:c r="AB65" s="2"/>
      <x:c r="AC65" s="2"/>
    </x:row>
    <x:row r="66" spans="22:22">
      <x:c r="V66" s="165">
        <x:f>'교육용,R&amp;D,삼의원(잇다카페)'!O65+푸른솔!O65+의과대학!O65+중앙도서관!O65+학생회관!O65+멀티미디어관!O65+제2기숙사!O65+선승관!O65+예술디자인대!O65+공학관!O65</x:f>
        <x:v>6533535</x:v>
      </x:c>
    </x:row>
  </x:sheetData>
  <x:mergeCells count="17">
    <x:mergeCell ref="A1:Y2"/>
    <x:mergeCell ref="A49:A58"/>
    <x:mergeCell ref="A61:A64"/>
    <x:mergeCell ref="A5:A36"/>
    <x:mergeCell ref="A37:A38"/>
    <x:mergeCell ref="A59:A60"/>
    <x:mergeCell ref="A39:A48"/>
    <x:mergeCell ref="AB61:AB64"/>
    <x:mergeCell ref="AC5:AC36"/>
    <x:mergeCell ref="AC37:AC38"/>
    <x:mergeCell ref="AC49:AC58"/>
    <x:mergeCell ref="AC61:AC64"/>
    <x:mergeCell ref="AB5:AB36"/>
    <x:mergeCell ref="AB37:AB38"/>
    <x:mergeCell ref="AB49:AB58"/>
    <x:mergeCell ref="AB39:AB48"/>
    <x:mergeCell ref="AC39:AC48"/>
  </x:mergeCells>
  <x:conditionalFormatting sqref="W5:W64">
    <x:cfRule type="cellIs" dxfId="12" priority="6" operator="lessThan">
      <x:formula>0</x:formula>
    </x:cfRule>
    <x:cfRule type="cellIs" dxfId="13" priority="5" operator="lessThan">
      <x:formula>0</x:formula>
    </x:cfRule>
    <x:cfRule type="cellIs" dxfId="14" priority="4" operator="lessThan">
      <x:formula>0</x:formula>
    </x:cfRule>
    <x:cfRule type="cellIs" dxfId="15" priority="3" operator="lessThan">
      <x:formula>0</x:formula>
    </x:cfRule>
    <x:cfRule type="cellIs" dxfId="16" priority="2" operator="lessThan">
      <x:formula>0</x:formula>
    </x:cfRule>
    <x:cfRule type="cellIs" dxfId="17" priority="1" operator="lessThan">
      <x:formula>0</x:formula>
    </x:cfRule>
  </x:conditionalFormatting>
  <x:pageMargins left="0.69986110925674438" right="0.69986110925674438" top="0.75" bottom="0.75" header="0.30000001192092896" footer="0.30000001192092896"/>
  <x:pageSetup paperSize="9" scale="52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6e0b3"/>
  </x:sheetPr>
  <x:dimension ref="A1:O65"/>
  <x:sheetViews>
    <x:sheetView topLeftCell="A1" zoomScale="70" zoomScaleNormal="70" zoomScaleSheetLayoutView="75" workbookViewId="0">
      <x:selection activeCell="A3" activeCellId="0" sqref="A3:A3"/>
    </x:sheetView>
  </x:sheetViews>
  <x:sheetFormatPr defaultColWidth="8.66015625" defaultRowHeight="16.5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89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 ht="17.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ht="17.2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/>
      <x:c r="I5" s="20"/>
      <x:c r="J5" s="21"/>
      <x:c r="K5" s="2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/>
      <x:c r="I6" s="40"/>
      <x:c r="J6" s="41"/>
      <x:c r="K6" s="41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/>
      <x:c r="I7" s="40"/>
      <x:c r="J7" s="41"/>
      <x:c r="K7" s="41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/>
      <x:c r="I8" s="40"/>
      <x:c r="J8" s="75"/>
      <x:c r="K8" s="75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/>
      <x:c r="I9" s="40"/>
      <x:c r="J9" s="41"/>
      <x:c r="K9" s="41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/>
      <x:c r="I10" s="40"/>
      <x:c r="J10" s="41"/>
      <x:c r="K10" s="41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/>
      <x:c r="I11" s="40"/>
      <x:c r="J11" s="75"/>
      <x:c r="K11" s="75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/>
      <x:c r="I12" s="40"/>
      <x:c r="J12" s="41"/>
      <x:c r="K12" s="41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/>
      <x:c r="I13" s="40"/>
      <x:c r="J13" s="41"/>
      <x:c r="K13" s="41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72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/>
      <x:c r="I14" s="40"/>
      <x:c r="J14" s="41"/>
      <x:c r="K14" s="41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4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/>
      <x:c r="I15" s="40"/>
      <x:c r="J15" s="41"/>
      <x:c r="K15" s="41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/>
      <x:c r="I16" s="40"/>
      <x:c r="J16" s="41"/>
      <x:c r="K16" s="41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/>
      <x:c r="I17" s="40"/>
      <x:c r="J17" s="75"/>
      <x:c r="K17" s="75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/>
      <x:c r="I18" s="40"/>
      <x:c r="J18" s="41"/>
      <x:c r="K18" s="41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/>
      <x:c r="I19" s="40"/>
      <x:c r="J19" s="41"/>
      <x:c r="K19" s="41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/>
      <x:c r="I20" s="40"/>
      <x:c r="J20" s="75"/>
      <x:c r="K20" s="75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/>
      <x:c r="I21" s="40"/>
      <x:c r="J21" s="41"/>
      <x:c r="K21" s="41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/>
      <x:c r="I22" s="40"/>
      <x:c r="J22" s="41"/>
      <x:c r="K22" s="41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/>
      <x:c r="I23" s="40"/>
      <x:c r="J23" s="75"/>
      <x:c r="K23" s="75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/>
      <x:c r="I24" s="40"/>
      <x:c r="J24" s="41"/>
      <x:c r="K24" s="41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/>
      <x:c r="I25" s="40"/>
      <x:c r="J25" s="41"/>
      <x:c r="K25" s="41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/>
      <x:c r="I26" s="40"/>
      <x:c r="J26" s="41"/>
      <x:c r="K26" s="41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/>
      <x:c r="I27" s="40"/>
      <x:c r="J27" s="41"/>
      <x:c r="K27" s="41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/>
      <x:c r="I28" s="40"/>
      <x:c r="J28" s="75"/>
      <x:c r="K28" s="75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/>
      <x:c r="I29" s="40"/>
      <x:c r="J29" s="41"/>
      <x:c r="K29" s="41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/>
      <x:c r="I30" s="40"/>
      <x:c r="J30" s="41"/>
      <x:c r="K30" s="41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/>
      <x:c r="I31" s="40"/>
      <x:c r="J31" s="41"/>
      <x:c r="K31" s="41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/>
      <x:c r="I32" s="40"/>
      <x:c r="J32" s="75"/>
      <x:c r="K32" s="75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/>
      <x:c r="I33" s="40"/>
      <x:c r="J33" s="75"/>
      <x:c r="K33" s="75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/>
      <x:c r="I34" s="40"/>
      <x:c r="J34" s="75"/>
      <x:c r="K34" s="75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/>
      <x:c r="I35" s="40"/>
      <x:c r="J35" s="41"/>
      <x:c r="K35" s="41"/>
      <x:c r="L35" s="41"/>
      <x:c r="M35" s="42"/>
      <x:c r="N35" s="94">
        <x:f t="shared" si="0"/>
        <x:v>0</x:v>
      </x:c>
      <x:c r="O35" s="43">
        <x:f t="shared" si="1"/>
        <x:v>0</x:v>
      </x:c>
    </x:row>
    <x:row r="36" spans="1:15" ht="17.2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29"/>
      <x:c r="I36" s="30"/>
      <x:c r="J36" s="31"/>
      <x:c r="K36" s="31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/>
      <x:c r="I37" s="20"/>
      <x:c r="J37" s="21"/>
      <x:c r="K37" s="2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 ht="17.2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/>
      <x:c r="I38" s="30"/>
      <x:c r="J38" s="31"/>
      <x:c r="K38" s="31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/>
      <x:c r="I39" s="20"/>
      <x:c r="J39" s="21"/>
      <x:c r="K39" s="2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/>
      <x:c r="I40" s="40"/>
      <x:c r="J40" s="41"/>
      <x:c r="K40" s="41"/>
      <x:c r="L40" s="41"/>
      <x:c r="M40" s="42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/>
      <x:c r="I41" s="40"/>
      <x:c r="J41" s="41"/>
      <x:c r="K41" s="41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/>
      <x:c r="I42" s="40"/>
      <x:c r="J42" s="41"/>
      <x:c r="K42" s="41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/>
      <x:c r="I43" s="40"/>
      <x:c r="J43" s="41"/>
      <x:c r="K43" s="41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/>
      <x:c r="I44" s="40"/>
      <x:c r="J44" s="41"/>
      <x:c r="K44" s="41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/>
      <x:c r="I45" s="40"/>
      <x:c r="J45" s="41"/>
      <x:c r="K45" s="41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/>
      <x:c r="I46" s="40"/>
      <x:c r="J46" s="41"/>
      <x:c r="K46" s="41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/>
      <x:c r="I47" s="40"/>
      <x:c r="J47" s="41"/>
      <x:c r="K47" s="41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 ht="17.2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/>
      <x:c r="I48" s="40"/>
      <x:c r="J48" s="31"/>
      <x:c r="K48" s="31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/>
      <x:c r="I49" s="53"/>
      <x:c r="J49" s="21"/>
      <x:c r="K49" s="2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/>
      <x:c r="I50" s="40"/>
      <x:c r="J50" s="41"/>
      <x:c r="K50" s="41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/>
      <x:c r="I51" s="40"/>
      <x:c r="J51" s="41"/>
      <x:c r="K51" s="41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/>
      <x:c r="I52" s="40"/>
      <x:c r="J52" s="41"/>
      <x:c r="K52" s="41"/>
      <x:c r="L52" s="41"/>
      <x:c r="M52" s="42"/>
      <x:c r="N52" s="94">
        <x:f t="shared" si="0"/>
        <x:v>0</x:v>
      </x:c>
      <x:c r="O52" s="43">
        <x:f t="shared" si="1"/>
        <x:v>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/>
      <x:c r="I53" s="40"/>
      <x:c r="J53" s="41"/>
      <x:c r="K53" s="41"/>
      <x:c r="L53" s="41"/>
      <x:c r="M53" s="42"/>
      <x:c r="N53" s="94">
        <x:f t="shared" si="0"/>
        <x:v>0</x:v>
      </x:c>
      <x:c r="O53" s="43">
        <x:f t="shared" si="1"/>
        <x:v>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/>
      <x:c r="I54" s="40"/>
      <x:c r="J54" s="41"/>
      <x:c r="K54" s="41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/>
      <x:c r="I55" s="40"/>
      <x:c r="J55" s="41"/>
      <x:c r="K55" s="41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/>
      <x:c r="I56" s="40"/>
      <x:c r="J56" s="41"/>
      <x:c r="K56" s="41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/>
      <x:c r="I57" s="40"/>
      <x:c r="J57" s="41"/>
      <x:c r="K57" s="41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 ht="17.2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/>
      <x:c r="I58" s="40"/>
      <x:c r="J58" s="31"/>
      <x:c r="K58" s="31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/>
      <x:c r="I59" s="53"/>
      <x:c r="J59" s="21"/>
      <x:c r="K59" s="21"/>
      <x:c r="L59" s="21"/>
      <x:c r="M59" s="22"/>
      <x:c r="N59" s="93">
        <x:f t="shared" si="0"/>
        <x:v>0</x:v>
      </x:c>
      <x:c r="O59" s="23">
        <x:f t="shared" si="1"/>
        <x:v>0</x:v>
      </x:c>
    </x:row>
    <x:row r="60" spans="1:15" ht="17.2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/>
      <x:c r="I60" s="79"/>
      <x:c r="J60" s="61"/>
      <x:c r="K60" s="6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9"/>
      <x:c r="I61" s="20"/>
      <x:c r="J61" s="21"/>
      <x:c r="K61" s="2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39"/>
      <x:c r="I62" s="40"/>
      <x:c r="J62" s="41"/>
      <x:c r="K62" s="41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39"/>
      <x:c r="I63" s="40"/>
      <x:c r="J63" s="41"/>
      <x:c r="K63" s="41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 ht="17.2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59"/>
      <x:c r="I64" s="60"/>
      <x:c r="J64" s="61"/>
      <x:c r="K64" s="6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 ht="17.2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0</x:v>
      </x:c>
      <x:c r="I65" s="64">
        <x:f t="shared" si="2"/>
        <x:v>0</x:v>
      </x:c>
      <x:c r="J65" s="64">
        <x:f t="shared" si="2"/>
        <x:v>0</x:v>
      </x:c>
      <x:c r="K65" s="64">
        <x:f t="shared" si="2"/>
        <x:v>0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0</x:v>
      </x:c>
      <x:c r="O65" s="98">
        <x:f t="shared" si="2"/>
        <x:v>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bed7ee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5.75" customHeight="1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 customHeight="1">
      <x:c r="A1" s="206" t="s">
        <x:v>124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 customHeight="1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 customHeight="1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 customHeight="1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/>
      <x:c r="I5" s="100"/>
      <x:c r="J5" s="101"/>
      <x:c r="K5" s="101"/>
      <x:c r="L5" s="101"/>
      <x:c r="M5" s="102"/>
      <x:c r="N5" s="93">
        <x:f>I5+J5+K5+L5+M5</x:f>
        <x:v>0</x:v>
      </x:c>
      <x:c r="O5" s="23">
        <x:f>E5*N5</x:f>
        <x:v>0</x:v>
      </x:c>
    </x:row>
    <x:row r="6" spans="1:15" customHeight="1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>
        <x:f>26*50</x:f>
        <x:v>1300</x:v>
      </x:c>
      <x:c r="I6" s="106">
        <x:v>1000</x:v>
      </x:c>
      <x:c r="J6" s="107"/>
      <x:c r="K6" s="107"/>
      <x:c r="L6" s="107"/>
      <x:c r="M6" s="108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 customHeight="1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>
        <x:f>50*26</x:f>
        <x:v>1300</x:v>
      </x:c>
      <x:c r="I7" s="106">
        <x:v>1000</x:v>
      </x:c>
      <x:c r="J7" s="107"/>
      <x:c r="K7" s="107"/>
      <x:c r="L7" s="107"/>
      <x:c r="M7" s="108"/>
      <x:c r="N7" s="94">
        <x:f t="shared" si="0"/>
        <x:v>1000</x:v>
      </x:c>
      <x:c r="O7" s="43">
        <x:f t="shared" si="1"/>
        <x:v>20000</x:v>
      </x:c>
    </x:row>
    <x:row r="8" spans="1:15" customHeight="1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/>
      <x:c r="I8" s="106"/>
      <x:c r="J8" s="114"/>
      <x:c r="K8" s="114"/>
      <x:c r="L8" s="114"/>
      <x:c r="M8" s="115"/>
      <x:c r="N8" s="94">
        <x:f t="shared" si="0"/>
        <x:v>0</x:v>
      </x:c>
      <x:c r="O8" s="43">
        <x:f t="shared" si="1"/>
        <x:v>0</x:v>
      </x:c>
    </x:row>
    <x:row r="9" spans="1:15" customHeight="1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/>
      <x:c r="I9" s="106">
        <x:v>1000</x:v>
      </x:c>
      <x:c r="J9" s="107"/>
      <x:c r="K9" s="107"/>
      <x:c r="L9" s="107"/>
      <x:c r="M9" s="108"/>
      <x:c r="N9" s="94">
        <x:f t="shared" si="0"/>
        <x:v>1000</x:v>
      </x:c>
      <x:c r="O9" s="43">
        <x:f t="shared" si="1"/>
        <x:v>53000</x:v>
      </x:c>
    </x:row>
    <x:row r="10" spans="1:15" customHeight="1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/>
      <x:c r="I10" s="106"/>
      <x:c r="J10" s="107"/>
      <x:c r="K10" s="107"/>
      <x:c r="L10" s="107"/>
      <x:c r="M10" s="108"/>
      <x:c r="N10" s="94">
        <x:f t="shared" si="0"/>
        <x:v>0</x:v>
      </x:c>
      <x:c r="O10" s="43">
        <x:f t="shared" si="1"/>
        <x:v>0</x:v>
      </x:c>
    </x:row>
    <x:row r="11" spans="1:15" customHeight="1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/>
      <x:c r="I11" s="106">
        <x:v>1000</x:v>
      </x:c>
      <x:c r="J11" s="114"/>
      <x:c r="K11" s="114"/>
      <x:c r="L11" s="114"/>
      <x:c r="M11" s="115"/>
      <x:c r="N11" s="94">
        <x:f t="shared" si="0"/>
        <x:v>1000</x:v>
      </x:c>
      <x:c r="O11" s="43">
        <x:f t="shared" si="1"/>
        <x:v>18500</x:v>
      </x:c>
    </x:row>
    <x:row r="12" spans="1:15" customHeight="1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>
        <x:f>50*8</x:f>
        <x:v>400</x:v>
      </x:c>
      <x:c r="I12" s="106"/>
      <x:c r="J12" s="107"/>
      <x:c r="K12" s="107"/>
      <x:c r="L12" s="107"/>
      <x:c r="M12" s="108"/>
      <x:c r="N12" s="94">
        <x:f t="shared" si="0"/>
        <x:v>0</x:v>
      </x:c>
      <x:c r="O12" s="43">
        <x:f t="shared" si="1"/>
        <x:v>0</x:v>
      </x:c>
    </x:row>
    <x:row r="13" spans="1:15" customHeight="1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107"/>
      <x:c r="M13" s="108"/>
      <x:c r="N13" s="94">
        <x:f t="shared" si="0"/>
        <x:v>0</x:v>
      </x:c>
      <x:c r="O13" s="43">
        <x:f t="shared" si="1"/>
        <x:v>0</x:v>
      </x:c>
    </x:row>
    <x:row r="14" spans="1:15" customHeight="1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107"/>
      <x:c r="M14" s="108"/>
      <x:c r="N14" s="94">
        <x:f t="shared" si="0"/>
        <x:v>0</x:v>
      </x:c>
      <x:c r="O14" s="43">
        <x:f t="shared" si="1"/>
        <x:v>0</x:v>
      </x:c>
    </x:row>
    <x:row r="15" spans="1:15" customHeight="1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/>
      <x:c r="I15" s="106">
        <x:v>1000</x:v>
      </x:c>
      <x:c r="J15" s="107"/>
      <x:c r="K15" s="107"/>
      <x:c r="L15" s="107"/>
      <x:c r="M15" s="108"/>
      <x:c r="N15" s="94">
        <x:f t="shared" si="0"/>
        <x:v>1000</x:v>
      </x:c>
      <x:c r="O15" s="43">
        <x:f t="shared" si="1"/>
        <x:v>18000</x:v>
      </x:c>
    </x:row>
    <x:row r="16" spans="1:15" customHeight="1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/>
      <x:c r="I16" s="106">
        <x:v>500</x:v>
      </x:c>
      <x:c r="J16" s="107"/>
      <x:c r="K16" s="107"/>
      <x:c r="L16" s="107"/>
      <x:c r="M16" s="108"/>
      <x:c r="N16" s="94">
        <x:f t="shared" si="0"/>
        <x:v>500</x:v>
      </x:c>
      <x:c r="O16" s="43">
        <x:f t="shared" si="1"/>
        <x:v>3450</x:v>
      </x:c>
    </x:row>
    <x:row r="17" spans="1:15" customHeight="1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>
        <x:v>200</x:v>
      </x:c>
      <x:c r="I17" s="106"/>
      <x:c r="J17" s="114"/>
      <x:c r="K17" s="114"/>
      <x:c r="L17" s="114"/>
      <x:c r="M17" s="115"/>
      <x:c r="N17" s="94">
        <x:f t="shared" si="0"/>
        <x:v>0</x:v>
      </x:c>
      <x:c r="O17" s="43">
        <x:f t="shared" si="1"/>
        <x:v>0</x:v>
      </x:c>
    </x:row>
    <x:row r="18" spans="1:15" customHeight="1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>
        <x:v>500</x:v>
      </x:c>
      <x:c r="I18" s="106"/>
      <x:c r="J18" s="107"/>
      <x:c r="K18" s="107"/>
      <x:c r="L18" s="107"/>
      <x:c r="M18" s="108"/>
      <x:c r="N18" s="94">
        <x:f t="shared" si="0"/>
        <x:v>0</x:v>
      </x:c>
      <x:c r="O18" s="43">
        <x:f t="shared" si="1"/>
        <x:v>0</x:v>
      </x:c>
    </x:row>
    <x:row r="19" spans="1:15" customHeight="1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/>
      <x:c r="I19" s="106"/>
      <x:c r="J19" s="107"/>
      <x:c r="K19" s="107">
        <x:v>250</x:v>
      </x:c>
      <x:c r="L19" s="107"/>
      <x:c r="M19" s="108"/>
      <x:c r="N19" s="94">
        <x:f t="shared" si="0"/>
        <x:v>250</x:v>
      </x:c>
      <x:c r="O19" s="43">
        <x:f t="shared" si="1"/>
        <x:v>4500</x:v>
      </x:c>
    </x:row>
    <x:row r="20" spans="1:15" customHeight="1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>
        <x:v>200</x:v>
      </x:c>
      <x:c r="I20" s="106"/>
      <x:c r="J20" s="114"/>
      <x:c r="K20" s="114"/>
      <x:c r="L20" s="114"/>
      <x:c r="M20" s="115"/>
      <x:c r="N20" s="94">
        <x:f t="shared" si="0"/>
        <x:v>0</x:v>
      </x:c>
      <x:c r="O20" s="43">
        <x:f t="shared" si="1"/>
        <x:v>0</x:v>
      </x:c>
    </x:row>
    <x:row r="21" spans="1:15" customHeight="1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>
        <x:v>200</x:v>
      </x:c>
      <x:c r="I21" s="106"/>
      <x:c r="J21" s="107"/>
      <x:c r="K21" s="107"/>
      <x:c r="L21" s="107"/>
      <x:c r="M21" s="108"/>
      <x:c r="N21" s="94">
        <x:f t="shared" si="0"/>
        <x:v>0</x:v>
      </x:c>
      <x:c r="O21" s="43">
        <x:f t="shared" si="1"/>
        <x:v>0</x:v>
      </x:c>
    </x:row>
    <x:row r="22" spans="1:15" customHeight="1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>
        <x:v>200</x:v>
      </x:c>
      <x:c r="I22" s="106"/>
      <x:c r="J22" s="107"/>
      <x:c r="K22" s="107"/>
      <x:c r="L22" s="107"/>
      <x:c r="M22" s="108"/>
      <x:c r="N22" s="94">
        <x:f t="shared" si="0"/>
        <x:v>0</x:v>
      </x:c>
      <x:c r="O22" s="43">
        <x:f t="shared" si="1"/>
        <x:v>0</x:v>
      </x:c>
    </x:row>
    <x:row r="23" spans="1:15" customHeight="1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>
        <x:f>400*24</x:f>
        <x:v>9600</x:v>
      </x:c>
      <x:c r="I23" s="106"/>
      <x:c r="J23" s="114"/>
      <x:c r="K23" s="114"/>
      <x:c r="L23" s="114"/>
      <x:c r="M23" s="115"/>
      <x:c r="N23" s="94">
        <x:f t="shared" si="0"/>
        <x:v>0</x:v>
      </x:c>
      <x:c r="O23" s="43">
        <x:f t="shared" si="1"/>
        <x:v>0</x:v>
      </x:c>
    </x:row>
    <x:row r="24" spans="1:15" customHeight="1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107"/>
      <x:c r="M24" s="108"/>
      <x:c r="N24" s="94">
        <x:f t="shared" si="0"/>
        <x:v>0</x:v>
      </x:c>
      <x:c r="O24" s="43">
        <x:f t="shared" si="1"/>
        <x:v>0</x:v>
      </x:c>
    </x:row>
    <x:row r="25" spans="1:15" customHeight="1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>
        <x:v>2000</x:v>
      </x:c>
      <x:c r="I25" s="106"/>
      <x:c r="J25" s="107"/>
      <x:c r="K25" s="107"/>
      <x:c r="L25" s="107"/>
      <x:c r="M25" s="108"/>
      <x:c r="N25" s="94">
        <x:f t="shared" si="0"/>
        <x:v>0</x:v>
      </x:c>
      <x:c r="O25" s="43">
        <x:f t="shared" si="1"/>
        <x:v>0</x:v>
      </x:c>
    </x:row>
    <x:row r="26" spans="1:15" customHeight="1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107"/>
      <x:c r="M26" s="108"/>
      <x:c r="N26" s="94">
        <x:f t="shared" si="0"/>
        <x:v>0</x:v>
      </x:c>
      <x:c r="O26" s="43">
        <x:f t="shared" si="1"/>
        <x:v>0</x:v>
      </x:c>
    </x:row>
    <x:row r="27" spans="1:15" customHeight="1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107"/>
      <x:c r="M27" s="108"/>
      <x:c r="N27" s="94">
        <x:f t="shared" si="0"/>
        <x:v>0</x:v>
      </x:c>
      <x:c r="O27" s="43">
        <x:f t="shared" si="1"/>
        <x:v>0</x:v>
      </x:c>
    </x:row>
    <x:row r="28" spans="1:15" customHeight="1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>
        <x:v>4</x:v>
      </x:c>
      <x:c r="I28" s="106"/>
      <x:c r="J28" s="114"/>
      <x:c r="K28" s="114"/>
      <x:c r="L28" s="114"/>
      <x:c r="M28" s="115"/>
      <x:c r="N28" s="94">
        <x:f t="shared" si="0"/>
        <x:v>0</x:v>
      </x:c>
      <x:c r="O28" s="43">
        <x:f t="shared" si="1"/>
        <x:v>0</x:v>
      </x:c>
    </x:row>
    <x:row r="29" spans="1:15" customHeight="1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>
        <x:v>4</x:v>
      </x:c>
      <x:c r="I29" s="106"/>
      <x:c r="J29" s="107"/>
      <x:c r="K29" s="107"/>
      <x:c r="L29" s="107"/>
      <x:c r="M29" s="108"/>
      <x:c r="N29" s="94">
        <x:f t="shared" si="0"/>
        <x:v>0</x:v>
      </x:c>
      <x:c r="O29" s="43">
        <x:f t="shared" si="1"/>
        <x:v>0</x:v>
      </x:c>
    </x:row>
    <x:row r="30" spans="1:15" customHeight="1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>
        <x:v>8</x:v>
      </x:c>
      <x:c r="I30" s="106">
        <x:v>18</x:v>
      </x:c>
      <x:c r="J30" s="107"/>
      <x:c r="K30" s="107"/>
      <x:c r="L30" s="107"/>
      <x:c r="M30" s="108"/>
      <x:c r="N30" s="94">
        <x:f t="shared" si="0"/>
        <x:v>18</x:v>
      </x:c>
      <x:c r="O30" s="43">
        <x:f t="shared" si="1"/>
        <x:v>37800</x:v>
      </x:c>
    </x:row>
    <x:row r="31" spans="1:15" customHeight="1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>
        <x:v>5</x:v>
      </x:c>
      <x:c r="I31" s="106"/>
      <x:c r="J31" s="107"/>
      <x:c r="K31" s="107"/>
      <x:c r="L31" s="107"/>
      <x:c r="M31" s="108"/>
      <x:c r="N31" s="94">
        <x:f t="shared" si="0"/>
        <x:v>0</x:v>
      </x:c>
      <x:c r="O31" s="43">
        <x:f t="shared" si="1"/>
        <x:v>0</x:v>
      </x:c>
    </x:row>
    <x:row r="32" spans="1:15" customHeight="1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/>
      <x:c r="I32" s="106"/>
      <x:c r="J32" s="114"/>
      <x:c r="K32" s="114"/>
      <x:c r="L32" s="114"/>
      <x:c r="M32" s="115"/>
      <x:c r="N32" s="94">
        <x:f t="shared" si="0"/>
        <x:v>0</x:v>
      </x:c>
      <x:c r="O32" s="43">
        <x:f t="shared" si="1"/>
        <x:v>0</x:v>
      </x:c>
    </x:row>
    <x:row r="33" spans="1:15" customHeight="1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>
        <x:v>13</x:v>
      </x:c>
      <x:c r="I33" s="106"/>
      <x:c r="J33" s="114"/>
      <x:c r="K33" s="114"/>
      <x:c r="L33" s="114"/>
      <x:c r="M33" s="115"/>
      <x:c r="N33" s="94">
        <x:f t="shared" si="0"/>
        <x:v>0</x:v>
      </x:c>
      <x:c r="O33" s="43">
        <x:f t="shared" si="1"/>
        <x:v>0</x:v>
      </x:c>
    </x:row>
    <x:row r="34" spans="1:15" customHeight="1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/>
      <x:c r="I34" s="106">
        <x:v>3</x:v>
      </x:c>
      <x:c r="J34" s="114">
        <x:v>3</x:v>
      </x:c>
      <x:c r="K34" s="114">
        <x:v>2</x:v>
      </x:c>
      <x:c r="L34" s="114"/>
      <x:c r="M34" s="115"/>
      <x:c r="N34" s="94">
        <x:f t="shared" si="0"/>
        <x:v>8</x:v>
      </x:c>
      <x:c r="O34" s="43">
        <x:f t="shared" si="1"/>
        <x:v>10800</x:v>
      </x:c>
    </x:row>
    <x:row r="35" spans="1:15" customHeight="1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>
        <x:v>1</x:v>
      </x:c>
      <x:c r="I35" s="106"/>
      <x:c r="J35" s="107">
        <x:v>2</x:v>
      </x:c>
      <x:c r="K35" s="107">
        <x:v>3</x:v>
      </x:c>
      <x:c r="L35" s="107"/>
      <x:c r="M35" s="108"/>
      <x:c r="N35" s="94">
        <x:f t="shared" si="0"/>
        <x:v>5</x:v>
      </x:c>
      <x:c r="O35" s="43">
        <x:f t="shared" si="1"/>
        <x:v>34350</x:v>
      </x:c>
    </x:row>
    <x:row r="36" spans="1:15" customHeight="1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29">
        <x:v>1</x:v>
      </x:c>
      <x:c r="I36" s="103">
        <x:v>1</x:v>
      </x:c>
      <x:c r="J36" s="104">
        <x:v>2</x:v>
      </x:c>
      <x:c r="K36" s="104"/>
      <x:c r="L36" s="104"/>
      <x:c r="M36" s="105"/>
      <x:c r="N36" s="95">
        <x:f t="shared" si="0"/>
        <x:v>3</x:v>
      </x:c>
      <x:c r="O36" s="33">
        <x:f t="shared" si="1"/>
        <x:v>20610</x:v>
      </x:c>
    </x:row>
    <x:row r="37" spans="1:15" customHeight="1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/>
      <x:c r="L37" s="101"/>
      <x:c r="M37" s="102"/>
      <x:c r="N37" s="93">
        <x:f t="shared" si="0"/>
        <x:v>0</x:v>
      </x:c>
      <x:c r="O37" s="23">
        <x:f t="shared" si="1"/>
        <x:v>0</x:v>
      </x:c>
    </x:row>
    <x:row r="38" spans="1:15" customHeight="1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104"/>
      <x:c r="M38" s="105"/>
      <x:c r="N38" s="96">
        <x:f t="shared" si="0"/>
        <x:v>0</x:v>
      </x:c>
      <x:c r="O38" s="50">
        <x:f t="shared" si="1"/>
        <x:v>0</x:v>
      </x:c>
    </x:row>
    <x:row r="39" spans="1:15" customHeight="1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>
        <x:v>2</x:v>
      </x:c>
      <x:c r="I39" s="100"/>
      <x:c r="J39" s="101"/>
      <x:c r="K39" s="101"/>
      <x:c r="L39" s="101"/>
      <x:c r="M39" s="102"/>
      <x:c r="N39" s="97">
        <x:f t="shared" si="0"/>
        <x:v>0</x:v>
      </x:c>
      <x:c r="O39" s="23">
        <x:f t="shared" si="1"/>
        <x:v>0</x:v>
      </x:c>
    </x:row>
    <x:row r="40" spans="1:15" customHeight="1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>
        <x:v>4</x:v>
      </x:c>
      <x:c r="I40" s="106"/>
      <x:c r="J40" s="107"/>
      <x:c r="K40" s="107">
        <x:v>1</x:v>
      </x:c>
      <x:c r="L40" s="107"/>
      <x:c r="M40" s="108"/>
      <x:c r="N40" s="94">
        <x:f t="shared" si="0"/>
        <x:v>1</x:v>
      </x:c>
      <x:c r="O40" s="43">
        <x:f t="shared" si="1"/>
        <x:v>6200</x:v>
      </x:c>
    </x:row>
    <x:row r="41" spans="1:15" customHeight="1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>
        <x:v>4</x:v>
      </x:c>
      <x:c r="I41" s="106">
        <x:v>2</x:v>
      </x:c>
      <x:c r="J41" s="107">
        <x:v>2</x:v>
      </x:c>
      <x:c r="K41" s="107">
        <x:v>1</x:v>
      </x:c>
      <x:c r="L41" s="107"/>
      <x:c r="M41" s="108"/>
      <x:c r="N41" s="94">
        <x:f t="shared" si="0"/>
        <x:v>5</x:v>
      </x:c>
      <x:c r="O41" s="43">
        <x:f t="shared" si="1"/>
        <x:v>33500</x:v>
      </x:c>
    </x:row>
    <x:row r="42" spans="1:15" customHeight="1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>
        <x:v>6</x:v>
      </x:c>
      <x:c r="I42" s="106"/>
      <x:c r="J42" s="107"/>
      <x:c r="K42" s="107"/>
      <x:c r="L42" s="107"/>
      <x:c r="M42" s="108"/>
      <x:c r="N42" s="94">
        <x:f t="shared" si="0"/>
        <x:v>0</x:v>
      </x:c>
      <x:c r="O42" s="43">
        <x:f t="shared" si="1"/>
        <x:v>0</x:v>
      </x:c>
    </x:row>
    <x:row r="43" spans="1:15" customHeight="1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/>
      <x:c r="J43" s="107"/>
      <x:c r="K43" s="107"/>
      <x:c r="L43" s="107"/>
      <x:c r="M43" s="108"/>
      <x:c r="N43" s="94">
        <x:f t="shared" si="0"/>
        <x:v>0</x:v>
      </x:c>
      <x:c r="O43" s="43">
        <x:f t="shared" si="1"/>
        <x:v>0</x:v>
      </x:c>
    </x:row>
    <x:row r="44" spans="1:15" customHeight="1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>
        <x:v>2</x:v>
      </x:c>
      <x:c r="I44" s="106"/>
      <x:c r="J44" s="107"/>
      <x:c r="K44" s="107"/>
      <x:c r="L44" s="107"/>
      <x:c r="M44" s="108"/>
      <x:c r="N44" s="94">
        <x:f t="shared" si="0"/>
        <x:v>0</x:v>
      </x:c>
      <x:c r="O44" s="43">
        <x:f t="shared" si="1"/>
        <x:v>0</x:v>
      </x:c>
    </x:row>
    <x:row r="45" spans="1:15" customHeight="1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>
        <x:v>3</x:v>
      </x:c>
      <x:c r="I45" s="106"/>
      <x:c r="J45" s="107"/>
      <x:c r="K45" s="107">
        <x:v>1</x:v>
      </x:c>
      <x:c r="L45" s="107"/>
      <x:c r="M45" s="108"/>
      <x:c r="N45" s="94">
        <x:f t="shared" si="0"/>
        <x:v>1</x:v>
      </x:c>
      <x:c r="O45" s="43">
        <x:f t="shared" si="1"/>
        <x:v>14500</x:v>
      </x:c>
    </x:row>
    <x:row r="46" spans="1:15" customHeight="1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>
        <x:v>4</x:v>
      </x:c>
      <x:c r="I46" s="106"/>
      <x:c r="J46" s="107"/>
      <x:c r="K46" s="107"/>
      <x:c r="L46" s="107"/>
      <x:c r="M46" s="108"/>
      <x:c r="N46" s="94">
        <x:f t="shared" si="0"/>
        <x:v>0</x:v>
      </x:c>
      <x:c r="O46" s="43">
        <x:f t="shared" si="1"/>
        <x:v>0</x:v>
      </x:c>
    </x:row>
    <x:row r="47" spans="1:15" customHeight="1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>
        <x:v>1</x:v>
      </x:c>
      <x:c r="I47" s="106">
        <x:v>1</x:v>
      </x:c>
      <x:c r="J47" s="107"/>
      <x:c r="K47" s="107">
        <x:v>1</x:v>
      </x:c>
      <x:c r="L47" s="107"/>
      <x:c r="M47" s="108"/>
      <x:c r="N47" s="94">
        <x:f t="shared" si="0"/>
        <x:v>2</x:v>
      </x:c>
      <x:c r="O47" s="43">
        <x:f t="shared" si="1"/>
        <x:v>9000</x:v>
      </x:c>
    </x:row>
    <x:row r="48" spans="1:15" customHeight="1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>
        <x:v>2</x:v>
      </x:c>
      <x:c r="I48" s="106"/>
      <x:c r="J48" s="104"/>
      <x:c r="K48" s="104"/>
      <x:c r="L48" s="104"/>
      <x:c r="M48" s="105"/>
      <x:c r="N48" s="95">
        <x:f t="shared" si="0"/>
        <x:v>0</x:v>
      </x:c>
      <x:c r="O48" s="50">
        <x:f t="shared" si="1"/>
        <x:v>0</x:v>
      </x:c>
    </x:row>
    <x:row r="49" spans="1:15" customHeight="1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>
        <x:v>2</x:v>
      </x:c>
      <x:c r="I49" s="109"/>
      <x:c r="J49" s="101"/>
      <x:c r="K49" s="101"/>
      <x:c r="L49" s="101"/>
      <x:c r="M49" s="102"/>
      <x:c r="N49" s="93">
        <x:f t="shared" si="0"/>
        <x:v>0</x:v>
      </x:c>
      <x:c r="O49" s="99">
        <x:f t="shared" si="1"/>
        <x:v>0</x:v>
      </x:c>
    </x:row>
    <x:row r="50" spans="1:15" customHeight="1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>
        <x:v>1</x:v>
      </x:c>
      <x:c r="I50" s="106"/>
      <x:c r="J50" s="107"/>
      <x:c r="K50" s="107">
        <x:v>1</x:v>
      </x:c>
      <x:c r="L50" s="107"/>
      <x:c r="M50" s="108"/>
      <x:c r="N50" s="94">
        <x:f t="shared" si="0"/>
        <x:v>1</x:v>
      </x:c>
      <x:c r="O50" s="43">
        <x:f t="shared" si="1"/>
        <x:v>6900</x:v>
      </x:c>
    </x:row>
    <x:row r="51" spans="1:15" customHeight="1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>
        <x:v>1</x:v>
      </x:c>
      <x:c r="I51" s="106"/>
      <x:c r="J51" s="107"/>
      <x:c r="K51" s="107"/>
      <x:c r="L51" s="107"/>
      <x:c r="M51" s="108"/>
      <x:c r="N51" s="94">
        <x:f t="shared" si="0"/>
        <x:v>0</x:v>
      </x:c>
      <x:c r="O51" s="43">
        <x:f t="shared" si="1"/>
        <x:v>0</x:v>
      </x:c>
    </x:row>
    <x:row r="52" spans="1:15" customHeight="1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>
        <x:v>3</x:v>
      </x:c>
      <x:c r="I52" s="106"/>
      <x:c r="J52" s="107"/>
      <x:c r="K52" s="107">
        <x:v>1</x:v>
      </x:c>
      <x:c r="L52" s="107"/>
      <x:c r="M52" s="108"/>
      <x:c r="N52" s="94">
        <x:f t="shared" si="0"/>
        <x:v>1</x:v>
      </x:c>
      <x:c r="O52" s="43">
        <x:f t="shared" si="1"/>
        <x:v>15000</x:v>
      </x:c>
    </x:row>
    <x:row r="53" spans="1:15" customHeight="1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>
        <x:v>1</x:v>
      </x:c>
      <x:c r="I53" s="106"/>
      <x:c r="J53" s="107">
        <x:v>2</x:v>
      </x:c>
      <x:c r="K53" s="107">
        <x:v>2</x:v>
      </x:c>
      <x:c r="L53" s="107"/>
      <x:c r="M53" s="108"/>
      <x:c r="N53" s="94">
        <x:f t="shared" si="0"/>
        <x:v>4</x:v>
      </x:c>
      <x:c r="O53" s="43">
        <x:f t="shared" si="1"/>
        <x:v>21200</x:v>
      </x:c>
    </x:row>
    <x:row r="54" spans="1:15" customHeight="1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>
        <x:v>2</x:v>
      </x:c>
      <x:c r="I54" s="106"/>
      <x:c r="J54" s="107"/>
      <x:c r="K54" s="107">
        <x:v>1</x:v>
      </x:c>
      <x:c r="L54" s="107"/>
      <x:c r="M54" s="108"/>
      <x:c r="N54" s="94">
        <x:f t="shared" si="0"/>
        <x:v>1</x:v>
      </x:c>
      <x:c r="O54" s="43">
        <x:f t="shared" si="1"/>
        <x:v>6600</x:v>
      </x:c>
    </x:row>
    <x:row r="55" spans="1:15" customHeight="1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>
        <x:v>2</x:v>
      </x:c>
      <x:c r="I55" s="106">
        <x:v>1</x:v>
      </x:c>
      <x:c r="J55" s="107"/>
      <x:c r="K55" s="107">
        <x:v>2</x:v>
      </x:c>
      <x:c r="L55" s="107"/>
      <x:c r="M55" s="108"/>
      <x:c r="N55" s="94">
        <x:f t="shared" si="0"/>
        <x:v>3</x:v>
      </x:c>
      <x:c r="O55" s="43">
        <x:f t="shared" si="1"/>
        <x:v>16800</x:v>
      </x:c>
    </x:row>
    <x:row r="56" spans="1:15" customHeight="1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/>
      <x:c r="I56" s="106"/>
      <x:c r="J56" s="107"/>
      <x:c r="K56" s="107">
        <x:v>1</x:v>
      </x:c>
      <x:c r="L56" s="107"/>
      <x:c r="M56" s="108"/>
      <x:c r="N56" s="94">
        <x:f t="shared" si="0"/>
        <x:v>1</x:v>
      </x:c>
      <x:c r="O56" s="43">
        <x:f t="shared" si="1"/>
        <x:v>14100</x:v>
      </x:c>
    </x:row>
    <x:row r="57" spans="1:15" customHeight="1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/>
      <x:c r="I57" s="106"/>
      <x:c r="J57" s="107">
        <x:v>1</x:v>
      </x:c>
      <x:c r="K57" s="107"/>
      <x:c r="L57" s="107"/>
      <x:c r="M57" s="108"/>
      <x:c r="N57" s="94">
        <x:f t="shared" si="0"/>
        <x:v>1</x:v>
      </x:c>
      <x:c r="O57" s="43">
        <x:f t="shared" si="1"/>
        <x:v>15100</x:v>
      </x:c>
    </x:row>
    <x:row r="58" spans="1:15" customHeight="1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>
        <x:v>1</x:v>
      </x:c>
      <x:c r="I58" s="106"/>
      <x:c r="J58" s="104"/>
      <x:c r="K58" s="104">
        <x:v>1</x:v>
      </x:c>
      <x:c r="L58" s="104"/>
      <x:c r="M58" s="105"/>
      <x:c r="N58" s="96">
        <x:f t="shared" si="0"/>
        <x:v>1</x:v>
      </x:c>
      <x:c r="O58" s="33">
        <x:f t="shared" si="1"/>
        <x:v>15300</x:v>
      </x:c>
    </x:row>
    <x:row r="59" spans="1:15" customHeight="1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>
        <x:v>18</x:v>
      </x:c>
      <x:c r="I59" s="109">
        <x:v>5</x:v>
      </x:c>
      <x:c r="J59" s="101">
        <x:v>5</x:v>
      </x:c>
      <x:c r="K59" s="101">
        <x:v>10</x:v>
      </x:c>
      <x:c r="L59" s="101"/>
      <x:c r="M59" s="102"/>
      <x:c r="N59" s="93">
        <x:f t="shared" si="0"/>
        <x:v>20</x:v>
      </x:c>
      <x:c r="O59" s="23">
        <x:f t="shared" si="1"/>
        <x:v>220000</x:v>
      </x:c>
    </x:row>
    <x:row r="60" spans="1:15" customHeight="1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/>
      <x:c r="I60" s="116">
        <x:v>1</x:v>
      </x:c>
      <x:c r="J60" s="111"/>
      <x:c r="K60" s="111"/>
      <x:c r="L60" s="111"/>
      <x:c r="M60" s="112"/>
      <x:c r="N60" s="96">
        <x:f t="shared" si="0"/>
        <x:v>1</x:v>
      </x:c>
      <x:c r="O60" s="50">
        <x:f t="shared" si="1"/>
        <x:v>19000</x:v>
      </x:c>
    </x:row>
    <x:row r="61" spans="1:15" customHeight="1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23">
        <x:v>1.1299999999999999</x:v>
      </x:c>
      <x:c r="I61" s="100"/>
      <x:c r="J61" s="101"/>
      <x:c r="K61" s="101"/>
      <x:c r="L61" s="101"/>
      <x:c r="M61" s="102"/>
      <x:c r="N61" s="97">
        <x:f t="shared" si="0"/>
        <x:v>0</x:v>
      </x:c>
      <x:c r="O61" s="99">
        <x:f t="shared" si="1"/>
        <x:v>0</x:v>
      </x:c>
    </x:row>
    <x:row r="62" spans="1:15" customHeight="1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18">
        <x:v>1.3</x:v>
      </x:c>
      <x:c r="I62" s="106"/>
      <x:c r="J62" s="107"/>
      <x:c r="K62" s="107">
        <x:v>1</x:v>
      </x:c>
      <x:c r="L62" s="107"/>
      <x:c r="M62" s="108"/>
      <x:c r="N62" s="94">
        <x:f t="shared" si="0"/>
        <x:v>1</x:v>
      </x:c>
      <x:c r="O62" s="43">
        <x:f t="shared" si="1"/>
        <x:v>4000</x:v>
      </x:c>
    </x:row>
    <x:row r="63" spans="1:15" customHeight="1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21">
        <x:v>1.1699999999999999</x:v>
      </x:c>
      <x:c r="I63" s="106"/>
      <x:c r="J63" s="107"/>
      <x:c r="K63" s="107"/>
      <x:c r="L63" s="107"/>
      <x:c r="M63" s="108"/>
      <x:c r="N63" s="94">
        <x:f t="shared" si="0"/>
        <x:v>0</x:v>
      </x:c>
      <x:c r="O63" s="43">
        <x:f t="shared" si="1"/>
        <x:v>0</x:v>
      </x:c>
    </x:row>
    <x:row r="64" spans="1:15" customHeight="1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20">
        <x:v>1.5</x:v>
      </x:c>
      <x:c r="I64" s="110"/>
      <x:c r="J64" s="111"/>
      <x:c r="K64" s="111">
        <x:v>1</x:v>
      </x:c>
      <x:c r="L64" s="111"/>
      <x:c r="M64" s="112"/>
      <x:c r="N64" s="96">
        <x:f t="shared" si="0"/>
        <x:v>1</x:v>
      </x:c>
      <x:c r="O64" s="50">
        <x:f t="shared" si="1"/>
        <x:v>4300</x:v>
      </x:c>
    </x:row>
    <x:row r="65" spans="1:15" customHeight="1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16001.099999999999</x:v>
      </x:c>
      <x:c r="I65" s="113">
        <x:f>SUM(I5:I64)</x:f>
        <x:v>5532</x:v>
      </x:c>
      <x:c r="J65" s="113">
        <x:f t="shared" si="2"/>
        <x:v>17</x:v>
      </x:c>
      <x:c r="K65" s="113">
        <x:f t="shared" si="2"/>
        <x:v>280</x:v>
      </x:c>
      <x:c r="L65" s="113">
        <x:f t="shared" si="2"/>
        <x:v>0</x:v>
      </x:c>
      <x:c r="M65" s="113">
        <x:f t="shared" si="2"/>
        <x:v>0</x:v>
      </x:c>
      <x:c r="N65" s="92">
        <x:f t="shared" si="2"/>
        <x:v>5829</x:v>
      </x:c>
      <x:c r="O65" s="98">
        <x:f t="shared" si="2"/>
        <x:v>685510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ed7ee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customWidth="1"/>
    <x:col min="4" max="4" width="6" style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120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>
        <x:f>50*6</x:f>
        <x:v>300</x:v>
      </x:c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>
        <x:f>50*11</x:f>
        <x:v>550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>
        <x:f>50*6</x:f>
        <x:v>300</x:v>
      </x:c>
      <x:c r="I7" s="106">
        <x:v>1000</x:v>
      </x:c>
      <x:c r="J7" s="107"/>
      <x:c r="K7" s="107"/>
      <x:c r="L7" s="41"/>
      <x:c r="M7" s="42"/>
      <x:c r="N7" s="94">
        <x:f t="shared" si="0"/>
        <x:v>1000</x:v>
      </x:c>
      <x:c r="O7" s="43">
        <x:f t="shared" si="1"/>
        <x:v>20000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>
        <x:f>50*2</x:f>
        <x:v>100</x:v>
      </x:c>
      <x:c r="I9" s="106">
        <x:v>1000</x:v>
      </x:c>
      <x:c r="J9" s="107"/>
      <x:c r="K9" s="107"/>
      <x:c r="L9" s="41"/>
      <x:c r="M9" s="42"/>
      <x:c r="N9" s="94">
        <x:f t="shared" si="0"/>
        <x:v>1000</x:v>
      </x:c>
      <x:c r="O9" s="43">
        <x:f t="shared" si="1"/>
        <x:v>53000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>
        <x:f>50*11</x:f>
        <x:v>550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>
        <x:f>50*14</x:f>
        <x:v>700</x:v>
      </x:c>
      <x:c r="I11" s="106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>
        <x:f>50*13</x:f>
        <x:v>650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/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/>
      <x:c r="I16" s="106">
        <x:v>500</x:v>
      </x:c>
      <x:c r="J16" s="107"/>
      <x:c r="K16" s="107">
        <x:v>500</x:v>
      </x:c>
      <x:c r="L16" s="41"/>
      <x:c r="M16" s="42"/>
      <x:c r="N16" s="94">
        <x:f t="shared" si="0"/>
        <x:v>1000</x:v>
      </x:c>
      <x:c r="O16" s="43">
        <x:f t="shared" si="1"/>
        <x:v>6900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>
        <x:v>200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/>
      <x:c r="I18" s="106"/>
      <x:c r="J18" s="107"/>
      <x:c r="K18" s="107">
        <x:v>500</x:v>
      </x:c>
      <x:c r="L18" s="41"/>
      <x:c r="M18" s="42"/>
      <x:c r="N18" s="94">
        <x:f t="shared" si="0"/>
        <x:v>500</x:v>
      </x:c>
      <x:c r="O18" s="43">
        <x:f t="shared" si="1"/>
        <x:v>3600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>
        <x:v>200</x:v>
      </x:c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>
        <x:f>25*8</x:f>
        <x:v>200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>
        <x:v>400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>
        <x:v>3000</x:v>
      </x:c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>
        <x:v>1</x:v>
      </x:c>
      <x:c r="I31" s="106"/>
      <x:c r="J31" s="107"/>
      <x:c r="K31" s="107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>
        <x:v>2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>
        <x:v>2</x:v>
      </x:c>
      <x:c r="I33" s="106"/>
      <x:c r="J33" s="114"/>
      <x:c r="K33" s="114"/>
      <x:c r="L33" s="75"/>
      <x:c r="M33" s="76"/>
      <x:c r="N33" s="94">
        <x:f t="shared" si="0"/>
        <x:v>0</x:v>
      </x:c>
      <x:c r="O33" s="43">
        <x:f t="shared" si="1"/>
        <x:v>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>
        <x:v>3</x:v>
      </x:c>
      <x:c r="I34" s="106">
        <x:v>2</x:v>
      </x:c>
      <x:c r="J34" s="114"/>
      <x:c r="K34" s="114"/>
      <x:c r="L34" s="75"/>
      <x:c r="M34" s="76"/>
      <x:c r="N34" s="94">
        <x:f t="shared" si="0"/>
        <x:v>2</x:v>
      </x:c>
      <x:c r="O34" s="43">
        <x:f t="shared" si="1"/>
        <x:v>2700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/>
      <x:c r="I35" s="106">
        <x:v>1</x:v>
      </x:c>
      <x:c r="J35" s="107"/>
      <x:c r="K35" s="107"/>
      <x:c r="L35" s="41"/>
      <x:c r="M35" s="42"/>
      <x:c r="N35" s="94">
        <x:f t="shared" si="0"/>
        <x:v>1</x:v>
      </x:c>
      <x:c r="O35" s="43">
        <x:f t="shared" si="1"/>
        <x:v>6870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29">
        <x:v>2</x:v>
      </x:c>
      <x:c r="I36" s="103"/>
      <x:c r="J36" s="104"/>
      <x:c r="K36" s="104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>
        <x:v>1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>
        <x:v>1</x:v>
      </x:c>
      <x:c r="I40" s="106"/>
      <x:c r="J40" s="107"/>
      <x:c r="K40" s="107">
        <x:v>1</x:v>
      </x:c>
      <x:c r="L40" s="41"/>
      <x:c r="M40" s="42"/>
      <x:c r="N40" s="94">
        <x:f t="shared" si="0"/>
        <x:v>1</x:v>
      </x:c>
      <x:c r="O40" s="43">
        <x:f t="shared" si="1"/>
        <x:v>6200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>
        <x:v>1</x:v>
      </x:c>
      <x:c r="I41" s="106"/>
      <x:c r="J41" s="107"/>
      <x:c r="K41" s="107">
        <x:v>1</x:v>
      </x:c>
      <x:c r="L41" s="41"/>
      <x:c r="M41" s="42"/>
      <x:c r="N41" s="94">
        <x:f t="shared" si="0"/>
        <x:v>1</x:v>
      </x:c>
      <x:c r="O41" s="43">
        <x:f t="shared" si="1"/>
        <x:v>6700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>
        <x:v>1</x:v>
      </x:c>
      <x:c r="I42" s="106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>
        <x:v>1</x:v>
      </x:c>
      <x:c r="I44" s="106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>
        <x:v>1</x:v>
      </x:c>
      <x:c r="I45" s="106"/>
      <x:c r="J45" s="107"/>
      <x:c r="K45" s="107">
        <x:v>1</x:v>
      </x:c>
      <x:c r="L45" s="41"/>
      <x:c r="M45" s="42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>
        <x:v>1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>
        <x:v>1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>
        <x:v>1</x:v>
      </x:c>
      <x:c r="I48" s="106"/>
      <x:c r="J48" s="104"/>
      <x:c r="K48" s="104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>
        <x:v>2</x:v>
      </x:c>
      <x:c r="I49" s="109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>
        <x:v>2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/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>
        <x:v>1</x:v>
      </x:c>
      <x:c r="I52" s="106"/>
      <x:c r="J52" s="107"/>
      <x:c r="K52" s="107">
        <x:v>1</x:v>
      </x:c>
      <x:c r="L52" s="41"/>
      <x:c r="M52" s="42"/>
      <x:c r="N52" s="94">
        <x:f t="shared" si="0"/>
        <x:v>1</x:v>
      </x:c>
      <x:c r="O52" s="43">
        <x:f t="shared" si="1"/>
        <x:v>15000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>
        <x:v>1</x:v>
      </x:c>
      <x:c r="I53" s="106"/>
      <x:c r="J53" s="107">
        <x:v>1</x:v>
      </x:c>
      <x:c r="K53" s="107">
        <x:v>1</x:v>
      </x:c>
      <x:c r="L53" s="41"/>
      <x:c r="M53" s="42"/>
      <x:c r="N53" s="94">
        <x:f t="shared" si="0"/>
        <x:v>2</x:v>
      </x:c>
      <x:c r="O53" s="43">
        <x:f t="shared" si="1"/>
        <x:v>10600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>
        <x:v>2</x:v>
      </x:c>
      <x:c r="I54" s="106"/>
      <x:c r="J54" s="107">
        <x:v>1</x:v>
      </x:c>
      <x:c r="K54" s="107">
        <x:v>1</x:v>
      </x:c>
      <x:c r="L54" s="41"/>
      <x:c r="M54" s="42"/>
      <x:c r="N54" s="94">
        <x:f t="shared" si="0"/>
        <x:v>2</x:v>
      </x:c>
      <x:c r="O54" s="43">
        <x:f t="shared" si="1"/>
        <x:v>13200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>
        <x:v>1</x:v>
      </x:c>
      <x:c r="I55" s="106"/>
      <x:c r="J55" s="107"/>
      <x:c r="K55" s="107">
        <x:v>2</x:v>
      </x:c>
      <x:c r="L55" s="41"/>
      <x:c r="M55" s="42"/>
      <x:c r="N55" s="94">
        <x:f t="shared" si="0"/>
        <x:v>2</x:v>
      </x:c>
      <x:c r="O55" s="43">
        <x:f t="shared" si="1"/>
        <x:v>11200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/>
      <x:c r="I56" s="106"/>
      <x:c r="J56" s="107"/>
      <x:c r="K56" s="107">
        <x:v>1</x:v>
      </x:c>
      <x:c r="L56" s="41"/>
      <x:c r="M56" s="42"/>
      <x:c r="N56" s="94">
        <x:f t="shared" si="0"/>
        <x:v>1</x:v>
      </x:c>
      <x:c r="O56" s="43">
        <x:f t="shared" si="1"/>
        <x:v>14100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/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/>
      <x:c r="I58" s="106">
        <x:v>1</x:v>
      </x:c>
      <x:c r="J58" s="104"/>
      <x:c r="K58" s="104">
        <x:v>1</x:v>
      </x:c>
      <x:c r="L58" s="31"/>
      <x:c r="M58" s="32"/>
      <x:c r="N58" s="96">
        <x:f t="shared" si="0"/>
        <x:v>2</x:v>
      </x:c>
      <x:c r="O58" s="33">
        <x:f t="shared" si="1"/>
        <x:v>30600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>
        <x:v>10</x:v>
      </x:c>
      <x:c r="I59" s="109">
        <x:v>3</x:v>
      </x:c>
      <x:c r="J59" s="101">
        <x:v>3</x:v>
      </x:c>
      <x:c r="K59" s="101">
        <x:v>6</x:v>
      </x:c>
      <x:c r="L59" s="21"/>
      <x:c r="M59" s="22"/>
      <x:c r="N59" s="93">
        <x:f t="shared" si="0"/>
        <x:v>12</x:v>
      </x:c>
      <x:c r="O59" s="23">
        <x:f t="shared" si="1"/>
        <x:v>132000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/>
      <x:c r="I60" s="116"/>
      <x:c r="J60" s="111"/>
      <x:c r="K60" s="111">
        <x:v>1</x:v>
      </x:c>
      <x:c r="L60" s="61"/>
      <x:c r="M60" s="62"/>
      <x:c r="N60" s="96">
        <x:f t="shared" si="0"/>
        <x:v>1</x:v>
      </x:c>
      <x:c r="O60" s="50">
        <x:f t="shared" si="1"/>
        <x:v>19000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9">
        <x:v>12</x:v>
      </x:c>
      <x:c r="I61" s="100">
        <x:v>1</x:v>
      </x:c>
      <x:c r="J61" s="101"/>
      <x:c r="K61" s="101"/>
      <x:c r="L61" s="21"/>
      <x:c r="M61" s="22"/>
      <x:c r="N61" s="97">
        <x:f t="shared" si="0"/>
        <x:v>1</x:v>
      </x:c>
      <x:c r="O61" s="99">
        <x:f t="shared" si="1"/>
        <x:v>4000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39">
        <x:v>12</x:v>
      </x:c>
      <x:c r="I62" s="106">
        <x:v>1</x:v>
      </x:c>
      <x:c r="J62" s="107"/>
      <x:c r="K62" s="107"/>
      <x:c r="L62" s="41"/>
      <x:c r="M62" s="42"/>
      <x:c r="N62" s="94">
        <x:f t="shared" si="0"/>
        <x:v>1</x:v>
      </x:c>
      <x:c r="O62" s="43">
        <x:f t="shared" si="1"/>
        <x:v>4000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39">
        <x:v>5</x:v>
      </x:c>
      <x:c r="I63" s="106">
        <x:v>1</x:v>
      </x:c>
      <x:c r="J63" s="107"/>
      <x:c r="K63" s="107"/>
      <x:c r="L63" s="41"/>
      <x:c r="M63" s="42"/>
      <x:c r="N63" s="94">
        <x:f t="shared" si="0"/>
        <x:v>1</x:v>
      </x:c>
      <x:c r="O63" s="43">
        <x:f t="shared" si="1"/>
        <x:v>4000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59">
        <x:v>3</x:v>
      </x:c>
      <x:c r="I64" s="110">
        <x:v>1</x:v>
      </x:c>
      <x:c r="J64" s="111"/>
      <x:c r="K64" s="111">
        <x:v>1</x:v>
      </x:c>
      <x:c r="L64" s="61"/>
      <x:c r="M64" s="62"/>
      <x:c r="N64" s="96">
        <x:f t="shared" si="0"/>
        <x:v>2</x:v>
      </x:c>
      <x:c r="O64" s="50">
        <x:f t="shared" si="1"/>
        <x:v>8600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7221</x:v>
      </x:c>
      <x:c r="I65" s="64">
        <x:f t="shared" si="2"/>
        <x:v>2511</x:v>
      </x:c>
      <x:c r="J65" s="64">
        <x:f t="shared" si="2"/>
        <x:v>5</x:v>
      </x:c>
      <x:c r="K65" s="64">
        <x:f t="shared" si="2"/>
        <x:v>1018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3534</x:v>
      </x:c>
      <x:c r="O65" s="98">
        <x:f t="shared" si="2"/>
        <x:v>386770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7" customWidth="1"/>
    <x:col min="9" max="15" width="11.625" style="1" customWidth="1"/>
  </x:cols>
  <x:sheetData>
    <x:row r="1" spans="1:15">
      <x:c r="A1" s="206" t="s">
        <x:v>123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154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153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19"/>
      <x:c r="I5" s="102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118">
        <x:v>350</x:v>
      </x:c>
      <x:c r="I6" s="108"/>
      <x:c r="J6" s="107">
        <x:v>1000</x:v>
      </x:c>
      <x:c r="K6" s="107"/>
      <x:c r="L6" s="41"/>
      <x:c r="M6" s="42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118">
        <x:v>1000</x:v>
      </x:c>
      <x:c r="I7" s="108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152"/>
      <x:c r="I8" s="115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118">
        <x:v>1200</x:v>
      </x:c>
      <x:c r="I9" s="108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118">
        <x:v>850</x:v>
      </x:c>
      <x:c r="I10" s="108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152">
        <x:v>950</x:v>
      </x:c>
      <x:c r="I11" s="115"/>
      <x:c r="J11" s="114"/>
      <x:c r="K11" s="114">
        <x:v>1000</x:v>
      </x:c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118">
        <x:v>450</x:v>
      </x:c>
      <x:c r="I12" s="108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118">
        <x:v>250</x:v>
      </x:c>
      <x:c r="I13" s="108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118"/>
      <x:c r="I14" s="108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118"/>
      <x:c r="I15" s="108">
        <x:v>1000</x:v>
      </x:c>
      <x:c r="J15" s="107"/>
      <x:c r="K15" s="107">
        <x:v>1000</x:v>
      </x:c>
      <x:c r="L15" s="41"/>
      <x:c r="M15" s="42"/>
      <x:c r="N15" s="94">
        <x:f t="shared" si="0"/>
        <x:v>2000</x:v>
      </x:c>
      <x:c r="O15" s="43">
        <x:f t="shared" si="1"/>
        <x:v>36000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118">
        <x:v>500</x:v>
      </x:c>
      <x:c r="I16" s="108"/>
      <x:c r="J16" s="107">
        <x:v>500</x:v>
      </x:c>
      <x:c r="K16" s="107"/>
      <x:c r="L16" s="41"/>
      <x:c r="M16" s="42"/>
      <x:c r="N16" s="94">
        <x:f t="shared" si="0"/>
        <x:v>500</x:v>
      </x:c>
      <x:c r="O16" s="43">
        <x:f t="shared" si="1"/>
        <x:v>3450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152"/>
      <x:c r="I17" s="115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118">
        <x:v>1000</x:v>
      </x:c>
      <x:c r="I18" s="108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118"/>
      <x:c r="I19" s="108"/>
      <x:c r="J19" s="107">
        <x:v>250</x:v>
      </x:c>
      <x:c r="K19" s="107"/>
      <x:c r="L19" s="41"/>
      <x:c r="M19" s="42"/>
      <x:c r="N19" s="94">
        <x:f t="shared" si="0"/>
        <x:v>250</x:v>
      </x:c>
      <x:c r="O19" s="43">
        <x:f t="shared" si="1"/>
        <x:v>4500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15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118"/>
      <x:c r="I21" s="108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118">
        <x:v>100</x:v>
      </x:c>
      <x:c r="I22" s="108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152">
        <x:v>6800</x:v>
      </x:c>
      <x:c r="I23" s="115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118"/>
      <x:c r="I24" s="108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08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118">
        <x:v>7000</x:v>
      </x:c>
      <x:c r="I26" s="108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118"/>
      <x:c r="I27" s="108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152">
        <x:v>6</x:v>
      </x:c>
      <x:c r="I28" s="115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118">
        <x:v>4</x:v>
      </x:c>
      <x:c r="I29" s="108"/>
      <x:c r="J29" s="107">
        <x:v>4</x:v>
      </x:c>
      <x:c r="K29" s="107"/>
      <x:c r="L29" s="41"/>
      <x:c r="M29" s="42"/>
      <x:c r="N29" s="94">
        <x:f t="shared" si="0"/>
        <x:v>4</x:v>
      </x:c>
      <x:c r="O29" s="43">
        <x:f t="shared" si="1"/>
        <x:v>8400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118"/>
      <x:c r="I30" s="108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118">
        <x:v>1</x:v>
      </x:c>
      <x:c r="I31" s="108"/>
      <x:c r="J31" s="107"/>
      <x:c r="K31" s="107">
        <x:v>2</x:v>
      </x:c>
      <x:c r="L31" s="41"/>
      <x:c r="M31" s="42"/>
      <x:c r="N31" s="94">
        <x:f t="shared" si="0"/>
        <x:v>2</x:v>
      </x:c>
      <x:c r="O31" s="43">
        <x:f t="shared" si="1"/>
        <x:v>5600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152">
        <x:v>16</x:v>
      </x:c>
      <x:c r="I32" s="115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152">
        <x:v>6</x:v>
      </x:c>
      <x:c r="I33" s="115"/>
      <x:c r="J33" s="114">
        <x:v>4</x:v>
      </x:c>
      <x:c r="K33" s="114">
        <x:v>4</x:v>
      </x:c>
      <x:c r="L33" s="75"/>
      <x:c r="M33" s="76"/>
      <x:c r="N33" s="94">
        <x:f t="shared" si="0"/>
        <x:v>8</x:v>
      </x:c>
      <x:c r="O33" s="43">
        <x:f t="shared" si="1"/>
        <x:v>57600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152">
        <x:v>4</x:v>
      </x:c>
      <x:c r="I34" s="115"/>
      <x:c r="J34" s="114">
        <x:v>2</x:v>
      </x:c>
      <x:c r="K34" s="114"/>
      <x:c r="L34" s="75"/>
      <x:c r="M34" s="76"/>
      <x:c r="N34" s="94">
        <x:f t="shared" si="0"/>
        <x:v>2</x:v>
      </x:c>
      <x:c r="O34" s="43">
        <x:f t="shared" si="1"/>
        <x:v>2700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118">
        <x:v>3</x:v>
      </x:c>
      <x:c r="I35" s="108">
        <x:v>2</x:v>
      </x:c>
      <x:c r="J35" s="107">
        <x:v>2</x:v>
      </x:c>
      <x:c r="K35" s="107">
        <x:v>2</x:v>
      </x:c>
      <x:c r="L35" s="41"/>
      <x:c r="M35" s="42"/>
      <x:c r="N35" s="94">
        <x:f t="shared" si="0"/>
        <x:v>6</x:v>
      </x:c>
      <x:c r="O35" s="43">
        <x:f t="shared" si="1"/>
        <x:v>41220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151">
        <x:v>3</x:v>
      </x:c>
      <x:c r="I36" s="105"/>
      <x:c r="J36" s="104"/>
      <x:c r="K36" s="104">
        <x:v>1</x:v>
      </x:c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19"/>
      <x:c r="I37" s="102"/>
      <x:c r="J37" s="101">
        <x:v>100</x:v>
      </x:c>
      <x:c r="K37" s="101"/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151"/>
      <x:c r="I38" s="105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19">
        <x:v>1</x:v>
      </x:c>
      <x:c r="I39" s="102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08"/>
      <x:c r="J40" s="107">
        <x:v>2</x:v>
      </x:c>
      <x:c r="K40" s="107">
        <x:v>1</x:v>
      </x:c>
      <x:c r="L40" s="41"/>
      <x:c r="M40" s="42"/>
      <x:c r="N40" s="94">
        <x:f t="shared" si="0"/>
        <x:v>3</x:v>
      </x:c>
      <x:c r="O40" s="43">
        <x:f t="shared" si="1"/>
        <x:v>18600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118">
        <x:v>1</x:v>
      </x:c>
      <x:c r="I41" s="108">
        <x:v>1</x:v>
      </x:c>
      <x:c r="J41" s="107">
        <x:v>1</x:v>
      </x:c>
      <x:c r="K41" s="107">
        <x:v>1</x:v>
      </x:c>
      <x:c r="L41" s="41"/>
      <x:c r="M41" s="42"/>
      <x:c r="N41" s="94">
        <x:f t="shared" si="0"/>
        <x:v>3</x:v>
      </x:c>
      <x:c r="O41" s="43">
        <x:f t="shared" si="1"/>
        <x:v>20100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118">
        <x:v>1</x:v>
      </x:c>
      <x:c r="I42" s="108"/>
      <x:c r="J42" s="107">
        <x:v>1</x:v>
      </x:c>
      <x:c r="K42" s="107">
        <x:v>1</x:v>
      </x:c>
      <x:c r="L42" s="41"/>
      <x:c r="M42" s="42"/>
      <x:c r="N42" s="94">
        <x:f t="shared" si="0"/>
        <x:v>2</x:v>
      </x:c>
      <x:c r="O42" s="43">
        <x:f t="shared" si="1"/>
        <x:v>14500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118"/>
      <x:c r="I43" s="108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118">
        <x:v>1</x:v>
      </x:c>
      <x:c r="I44" s="108"/>
      <x:c r="J44" s="107"/>
      <x:c r="K44" s="107">
        <x:v>1</x:v>
      </x:c>
      <x:c r="L44" s="41"/>
      <x:c r="M44" s="42"/>
      <x:c r="N44" s="94">
        <x:f t="shared" si="0"/>
        <x:v>1</x:v>
      </x:c>
      <x:c r="O44" s="43">
        <x:f t="shared" si="1"/>
        <x:v>6600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118">
        <x:v>1</x:v>
      </x:c>
      <x:c r="I45" s="108">
        <x:v>1</x:v>
      </x:c>
      <x:c r="J45" s="107"/>
      <x:c r="K45" s="107">
        <x:v>1</x:v>
      </x:c>
      <x:c r="L45" s="41"/>
      <x:c r="M45" s="42"/>
      <x:c r="N45" s="94">
        <x:f t="shared" si="0"/>
        <x:v>2</x:v>
      </x:c>
      <x:c r="O45" s="43">
        <x:f t="shared" si="1"/>
        <x:v>29000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118"/>
      <x:c r="I46" s="108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118">
        <x:v>2</x:v>
      </x:c>
      <x:c r="I47" s="108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151">
        <x:v>1</x:v>
      </x:c>
      <x:c r="I48" s="105"/>
      <x:c r="J48" s="104">
        <x:v>1</x:v>
      </x:c>
      <x:c r="K48" s="104">
        <x:v>1</x:v>
      </x:c>
      <x:c r="L48" s="31"/>
      <x:c r="M48" s="32"/>
      <x:c r="N48" s="95">
        <x:f t="shared" si="0"/>
        <x:v>2</x:v>
      </x:c>
      <x:c r="O48" s="50">
        <x:f t="shared" si="1"/>
        <x:v>13400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02"/>
      <x:c r="J49" s="101">
        <x:v>1</x:v>
      </x:c>
      <x:c r="K49" s="101">
        <x:v>1</x:v>
      </x:c>
      <x:c r="L49" s="21"/>
      <x:c r="M49" s="22"/>
      <x:c r="N49" s="93">
        <x:f t="shared" si="0"/>
        <x:v>2</x:v>
      </x:c>
      <x:c r="O49" s="99">
        <x:f t="shared" si="1"/>
        <x:v>13800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118">
        <x:v>2</x:v>
      </x:c>
      <x:c r="I50" s="108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118"/>
      <x:c r="I51" s="108"/>
      <x:c r="J51" s="107">
        <x:v>1</x:v>
      </x:c>
      <x:c r="K51" s="107">
        <x:v>1</x:v>
      </x:c>
      <x:c r="L51" s="41"/>
      <x:c r="M51" s="42"/>
      <x:c r="N51" s="94">
        <x:f t="shared" si="0"/>
        <x:v>2</x:v>
      </x:c>
      <x:c r="O51" s="43">
        <x:f t="shared" si="1"/>
        <x:v>13600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118"/>
      <x:c r="I52" s="108">
        <x:v>1</x:v>
      </x:c>
      <x:c r="J52" s="107">
        <x:v>2</x:v>
      </x:c>
      <x:c r="K52" s="107">
        <x:v>2</x:v>
      </x:c>
      <x:c r="L52" s="41"/>
      <x:c r="M52" s="42"/>
      <x:c r="N52" s="94">
        <x:f t="shared" si="0"/>
        <x:v>5</x:v>
      </x:c>
      <x:c r="O52" s="43">
        <x:f t="shared" si="1"/>
        <x:v>75000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118">
        <x:v>2</x:v>
      </x:c>
      <x:c r="I53" s="108">
        <x:v>1</x:v>
      </x:c>
      <x:c r="J53" s="107"/>
      <x:c r="K53" s="107">
        <x:v>2</x:v>
      </x:c>
      <x:c r="L53" s="41"/>
      <x:c r="M53" s="42"/>
      <x:c r="N53" s="94">
        <x:f t="shared" si="0"/>
        <x:v>3</x:v>
      </x:c>
      <x:c r="O53" s="43">
        <x:f t="shared" si="1"/>
        <x:v>15900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118">
        <x:v>1</x:v>
      </x:c>
      <x:c r="I54" s="108"/>
      <x:c r="J54" s="107"/>
      <x:c r="K54" s="107">
        <x:v>1</x:v>
      </x:c>
      <x:c r="L54" s="41"/>
      <x:c r="M54" s="42"/>
      <x:c r="N54" s="94">
        <x:f t="shared" si="0"/>
        <x:v>1</x:v>
      </x:c>
      <x:c r="O54" s="43">
        <x:f t="shared" si="1"/>
        <x:v>6600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118">
        <x:v>2</x:v>
      </x:c>
      <x:c r="I55" s="108"/>
      <x:c r="J55" s="107">
        <x:v>1</x:v>
      </x:c>
      <x:c r="K55" s="107">
        <x:v>1</x:v>
      </x:c>
      <x:c r="L55" s="41"/>
      <x:c r="M55" s="42"/>
      <x:c r="N55" s="94">
        <x:f t="shared" si="0"/>
        <x:v>2</x:v>
      </x:c>
      <x:c r="O55" s="43">
        <x:f t="shared" si="1"/>
        <x:v>11200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118">
        <x:v>1</x:v>
      </x:c>
      <x:c r="I56" s="108"/>
      <x:c r="J56" s="107"/>
      <x:c r="K56" s="107">
        <x:v>1</x:v>
      </x:c>
      <x:c r="L56" s="41"/>
      <x:c r="M56" s="42"/>
      <x:c r="N56" s="94">
        <x:f t="shared" si="0"/>
        <x:v>1</x:v>
      </x:c>
      <x:c r="O56" s="43">
        <x:f t="shared" si="1"/>
        <x:v>14100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118"/>
      <x:c r="I57" s="108"/>
      <x:c r="J57" s="107">
        <x:v>1</x:v>
      </x:c>
      <x:c r="K57" s="107">
        <x:v>1</x:v>
      </x:c>
      <x:c r="L57" s="41"/>
      <x:c r="M57" s="42"/>
      <x:c r="N57" s="94">
        <x:f t="shared" si="0"/>
        <x:v>2</x:v>
      </x:c>
      <x:c r="O57" s="43">
        <x:f t="shared" si="1"/>
        <x:v>30200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151"/>
      <x:c r="I58" s="105">
        <x:v>1</x:v>
      </x:c>
      <x:c r="J58" s="104"/>
      <x:c r="K58" s="104"/>
      <x:c r="L58" s="31"/>
      <x:c r="M58" s="32"/>
      <x:c r="N58" s="96">
        <x:f t="shared" si="0"/>
        <x:v>1</x:v>
      </x:c>
      <x:c r="O58" s="33">
        <x:f t="shared" si="1"/>
        <x:v>15300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19">
        <x:v>14</x:v>
      </x:c>
      <x:c r="I59" s="102">
        <x:v>6</x:v>
      </x:c>
      <x:c r="J59" s="101">
        <x:v>10</x:v>
      </x:c>
      <x:c r="K59" s="101">
        <x:v>12</x:v>
      </x:c>
      <x:c r="L59" s="21"/>
      <x:c r="M59" s="22"/>
      <x:c r="N59" s="93">
        <x:f t="shared" si="0"/>
        <x:v>28</x:v>
      </x:c>
      <x:c r="O59" s="23">
        <x:f t="shared" si="1"/>
        <x:v>308000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120">
        <x:v>2</x:v>
      </x:c>
      <x:c r="I60" s="112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19">
        <x:v>1.3</x:v>
      </x:c>
      <x:c r="I61" s="102"/>
      <x:c r="J61" s="101">
        <x:v>1</x:v>
      </x:c>
      <x:c r="K61" s="101"/>
      <x:c r="L61" s="21"/>
      <x:c r="M61" s="22"/>
      <x:c r="N61" s="97">
        <x:f t="shared" si="0"/>
        <x:v>1</x:v>
      </x:c>
      <x:c r="O61" s="99">
        <x:f t="shared" si="1"/>
        <x:v>4000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18">
        <x:v>1.55</x:v>
      </x:c>
      <x:c r="I62" s="108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18">
        <x:v>0.5</x:v>
      </x:c>
      <x:c r="I63" s="108"/>
      <x:c r="J63" s="107">
        <x:v>1</x:v>
      </x:c>
      <x:c r="K63" s="107"/>
      <x:c r="L63" s="41"/>
      <x:c r="M63" s="42"/>
      <x:c r="N63" s="94">
        <x:f t="shared" si="0"/>
        <x:v>1</x:v>
      </x:c>
      <x:c r="O63" s="43">
        <x:f t="shared" si="1"/>
        <x:v>4000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20">
        <x:v>1.2</x:v>
      </x:c>
      <x:c r="I64" s="112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50">
        <x:f t="shared" si="2"/>
        <x:v>20531.549999999999</x:v>
      </x:c>
      <x:c r="I65" s="113">
        <x:f t="shared" si="2"/>
        <x:v>1013</x:v>
      </x:c>
      <x:c r="J65" s="113">
        <x:f t="shared" si="2"/>
        <x:v>1885</x:v>
      </x:c>
      <x:c r="K65" s="113">
        <x:f t="shared" si="2"/>
        <x:v>2037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4935</x:v>
      </x:c>
      <x:c r="O65" s="98">
        <x:f t="shared" si="2"/>
        <x:v>842380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121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19">
        <x:v>350</x:v>
      </x:c>
      <x:c r="I5" s="126"/>
      <x:c r="J5" s="135"/>
      <x:c r="K5" s="135"/>
      <x:c r="L5" s="135"/>
      <x:c r="M5" s="126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118">
        <x:v>600</x:v>
      </x:c>
      <x:c r="I6" s="134"/>
      <x:c r="J6" s="131"/>
      <x:c r="K6" s="131"/>
      <x:c r="L6" s="131"/>
      <x:c r="M6" s="134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118">
        <x:v>400</x:v>
      </x:c>
      <x:c r="I7" s="134">
        <x:v>1000</x:v>
      </x:c>
      <x:c r="J7" s="131"/>
      <x:c r="K7" s="131"/>
      <x:c r="L7" s="131"/>
      <x:c r="M7" s="134"/>
      <x:c r="N7" s="94">
        <x:f t="shared" si="0"/>
        <x:v>1000</x:v>
      </x:c>
      <x:c r="O7" s="43">
        <x:f t="shared" si="1"/>
        <x:v>20000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152"/>
      <x:c r="I8" s="122"/>
      <x:c r="J8" s="125"/>
      <x:c r="K8" s="125"/>
      <x:c r="L8" s="125"/>
      <x:c r="M8" s="122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118">
        <x:v>600</x:v>
      </x:c>
      <x:c r="I9" s="134"/>
      <x:c r="J9" s="131"/>
      <x:c r="K9" s="131">
        <x:v>1000</x:v>
      </x:c>
      <x:c r="L9" s="131"/>
      <x:c r="M9" s="134"/>
      <x:c r="N9" s="94">
        <x:f t="shared" si="0"/>
        <x:v>1000</x:v>
      </x:c>
      <x:c r="O9" s="43">
        <x:f t="shared" si="1"/>
        <x:v>53000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118">
        <x:v>700</x:v>
      </x:c>
      <x:c r="I10" s="134"/>
      <x:c r="J10" s="131"/>
      <x:c r="K10" s="131"/>
      <x:c r="L10" s="131"/>
      <x:c r="M10" s="134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152">
        <x:v>450</x:v>
      </x:c>
      <x:c r="I11" s="122"/>
      <x:c r="J11" s="125">
        <x:v>1000</x:v>
      </x:c>
      <x:c r="K11" s="125"/>
      <x:c r="L11" s="125"/>
      <x:c r="M11" s="122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118">
        <x:v>350</x:v>
      </x:c>
      <x:c r="I12" s="134"/>
      <x:c r="J12" s="131"/>
      <x:c r="K12" s="131"/>
      <x:c r="L12" s="131"/>
      <x:c r="M12" s="134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118"/>
      <x:c r="I13" s="134"/>
      <x:c r="J13" s="131"/>
      <x:c r="K13" s="131"/>
      <x:c r="L13" s="131"/>
      <x:c r="M13" s="134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118"/>
      <x:c r="I14" s="134"/>
      <x:c r="J14" s="131"/>
      <x:c r="K14" s="131"/>
      <x:c r="L14" s="131"/>
      <x:c r="M14" s="134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118"/>
      <x:c r="I15" s="134"/>
      <x:c r="J15" s="131"/>
      <x:c r="K15" s="131">
        <x:v>1000</x:v>
      </x:c>
      <x:c r="L15" s="131"/>
      <x:c r="M15" s="134"/>
      <x:c r="N15" s="94">
        <x:f t="shared" si="0"/>
        <x:v>1000</x:v>
      </x:c>
      <x:c r="O15" s="43">
        <x:f t="shared" si="1"/>
        <x:v>18000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118">
        <x:v>500</x:v>
      </x:c>
      <x:c r="I16" s="134"/>
      <x:c r="J16" s="131">
        <x:v>500</x:v>
      </x:c>
      <x:c r="K16" s="131"/>
      <x:c r="L16" s="131"/>
      <x:c r="M16" s="134"/>
      <x:c r="N16" s="94">
        <x:f t="shared" si="0"/>
        <x:v>500</x:v>
      </x:c>
      <x:c r="O16" s="43">
        <x:f t="shared" si="1"/>
        <x:v>3450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152">
        <x:v>200</x:v>
      </x:c>
      <x:c r="I17" s="122"/>
      <x:c r="J17" s="125"/>
      <x:c r="K17" s="125"/>
      <x:c r="L17" s="125"/>
      <x:c r="M17" s="122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118"/>
      <x:c r="I18" s="134"/>
      <x:c r="J18" s="131"/>
      <x:c r="K18" s="131"/>
      <x:c r="L18" s="131"/>
      <x:c r="M18" s="134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118">
        <x:v>250</x:v>
      </x:c>
      <x:c r="I19" s="134"/>
      <x:c r="J19" s="131"/>
      <x:c r="K19" s="131"/>
      <x:c r="L19" s="131"/>
      <x:c r="M19" s="134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22"/>
      <x:c r="J20" s="125"/>
      <x:c r="K20" s="125"/>
      <x:c r="L20" s="125"/>
      <x:c r="M20" s="122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118">
        <x:v>200</x:v>
      </x:c>
      <x:c r="I21" s="134"/>
      <x:c r="J21" s="131"/>
      <x:c r="K21" s="131"/>
      <x:c r="L21" s="131"/>
      <x:c r="M21" s="134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118">
        <x:v>125</x:v>
      </x:c>
      <x:c r="I22" s="134"/>
      <x:c r="J22" s="131"/>
      <x:c r="K22" s="131"/>
      <x:c r="L22" s="131"/>
      <x:c r="M22" s="134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152">
        <x:v>3200</x:v>
      </x:c>
      <x:c r="I23" s="122"/>
      <x:c r="J23" s="125"/>
      <x:c r="K23" s="125"/>
      <x:c r="L23" s="125"/>
      <x:c r="M23" s="122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118"/>
      <x:c r="I24" s="134"/>
      <x:c r="J24" s="131"/>
      <x:c r="K24" s="131"/>
      <x:c r="L24" s="131"/>
      <x:c r="M24" s="134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34"/>
      <x:c r="J25" s="131"/>
      <x:c r="K25" s="131"/>
      <x:c r="L25" s="131"/>
      <x:c r="M25" s="134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34"/>
      <x:c r="J26" s="131"/>
      <x:c r="K26" s="131"/>
      <x:c r="L26" s="131"/>
      <x:c r="M26" s="134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118"/>
      <x:c r="I27" s="134"/>
      <x:c r="J27" s="131"/>
      <x:c r="K27" s="131"/>
      <x:c r="L27" s="131"/>
      <x:c r="M27" s="134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152"/>
      <x:c r="I28" s="122"/>
      <x:c r="J28" s="125"/>
      <x:c r="K28" s="125"/>
      <x:c r="L28" s="125"/>
      <x:c r="M28" s="122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118"/>
      <x:c r="I29" s="134"/>
      <x:c r="J29" s="131"/>
      <x:c r="K29" s="131"/>
      <x:c r="L29" s="131"/>
      <x:c r="M29" s="134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118"/>
      <x:c r="I30" s="134"/>
      <x:c r="J30" s="131"/>
      <x:c r="K30" s="131"/>
      <x:c r="L30" s="131"/>
      <x:c r="M30" s="134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118"/>
      <x:c r="I31" s="134">
        <x:v>1</x:v>
      </x:c>
      <x:c r="J31" s="131"/>
      <x:c r="K31" s="131">
        <x:v>1</x:v>
      </x:c>
      <x:c r="L31" s="131"/>
      <x:c r="M31" s="134"/>
      <x:c r="N31" s="94">
        <x:f t="shared" si="0"/>
        <x:v>2</x:v>
      </x:c>
      <x:c r="O31" s="43">
        <x:f t="shared" si="1"/>
        <x:v>5600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152"/>
      <x:c r="I32" s="122"/>
      <x:c r="J32" s="125"/>
      <x:c r="K32" s="125"/>
      <x:c r="L32" s="125"/>
      <x:c r="M32" s="122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152">
        <x:v>7</x:v>
      </x:c>
      <x:c r="I33" s="122"/>
      <x:c r="J33" s="125"/>
      <x:c r="K33" s="125">
        <x:v>5</x:v>
      </x:c>
      <x:c r="L33" s="125"/>
      <x:c r="M33" s="122"/>
      <x:c r="N33" s="94">
        <x:f t="shared" si="0"/>
        <x:v>5</x:v>
      </x:c>
      <x:c r="O33" s="43">
        <x:f t="shared" si="1"/>
        <x:v>36000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152">
        <x:v>5</x:v>
      </x:c>
      <x:c r="I34" s="122"/>
      <x:c r="J34" s="125"/>
      <x:c r="K34" s="125"/>
      <x:c r="L34" s="125"/>
      <x:c r="M34" s="122"/>
      <x:c r="N34" s="94">
        <x:f t="shared" si="0"/>
        <x:v>0</x:v>
      </x:c>
      <x:c r="O34" s="43">
        <x:f t="shared" si="1"/>
        <x:v>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118">
        <x:v>2</x:v>
      </x:c>
      <x:c r="I35" s="134">
        <x:v>2</x:v>
      </x:c>
      <x:c r="J35" s="131"/>
      <x:c r="K35" s="131">
        <x:v>2</x:v>
      </x:c>
      <x:c r="L35" s="131"/>
      <x:c r="M35" s="134"/>
      <x:c r="N35" s="94">
        <x:f t="shared" si="0"/>
        <x:v>4</x:v>
      </x:c>
      <x:c r="O35" s="43">
        <x:f t="shared" si="1"/>
        <x:v>27480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151">
        <x:v>1</x:v>
      </x:c>
      <x:c r="I36" s="124"/>
      <x:c r="J36" s="133"/>
      <x:c r="K36" s="133"/>
      <x:c r="L36" s="133"/>
      <x:c r="M36" s="124"/>
      <x:c r="N36" s="95">
        <x:f t="shared" si="0"/>
        <x:v>0</x:v>
      </x:c>
      <x:c r="O36" s="33">
        <x:f t="shared" si="1"/>
        <x:v>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19"/>
      <x:c r="I37" s="126"/>
      <x:c r="J37" s="135"/>
      <x:c r="K37" s="135"/>
      <x:c r="L37" s="135"/>
      <x:c r="M37" s="126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151"/>
      <x:c r="I38" s="124"/>
      <x:c r="J38" s="133"/>
      <x:c r="K38" s="133"/>
      <x:c r="L38" s="133"/>
      <x:c r="M38" s="124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19"/>
      <x:c r="I39" s="126">
        <x:v>1</x:v>
      </x:c>
      <x:c r="J39" s="135"/>
      <x:c r="K39" s="135"/>
      <x:c r="L39" s="135"/>
      <x:c r="M39" s="126"/>
      <x:c r="N39" s="97">
        <x:f t="shared" si="0"/>
        <x:v>1</x:v>
      </x:c>
      <x:c r="O39" s="23">
        <x:f t="shared" si="1"/>
        <x:v>7700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34">
        <x:v>1</x:v>
      </x:c>
      <x:c r="J40" s="131"/>
      <x:c r="K40" s="131">
        <x:v>1</x:v>
      </x:c>
      <x:c r="L40" s="131"/>
      <x:c r="M40" s="134"/>
      <x:c r="N40" s="94">
        <x:f t="shared" si="0"/>
        <x:v>2</x:v>
      </x:c>
      <x:c r="O40" s="43">
        <x:f t="shared" si="1"/>
        <x:v>12400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118">
        <x:v>2</x:v>
      </x:c>
      <x:c r="I41" s="134"/>
      <x:c r="J41" s="131"/>
      <x:c r="K41" s="131">
        <x:v>1</x:v>
      </x:c>
      <x:c r="L41" s="131"/>
      <x:c r="M41" s="134"/>
      <x:c r="N41" s="94">
        <x:f t="shared" si="0"/>
        <x:v>1</x:v>
      </x:c>
      <x:c r="O41" s="43">
        <x:f t="shared" si="1"/>
        <x:v>6700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118">
        <x:v>2</x:v>
      </x:c>
      <x:c r="I42" s="134"/>
      <x:c r="J42" s="131">
        <x:v>2</x:v>
      </x:c>
      <x:c r="K42" s="131"/>
      <x:c r="L42" s="131"/>
      <x:c r="M42" s="134"/>
      <x:c r="N42" s="94">
        <x:f t="shared" si="0"/>
        <x:v>2</x:v>
      </x:c>
      <x:c r="O42" s="43">
        <x:f t="shared" si="1"/>
        <x:v>14500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118">
        <x:v>1</x:v>
      </x:c>
      <x:c r="I43" s="134"/>
      <x:c r="J43" s="131"/>
      <x:c r="K43" s="131"/>
      <x:c r="L43" s="131"/>
      <x:c r="M43" s="134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118">
        <x:v>1</x:v>
      </x:c>
      <x:c r="I44" s="134">
        <x:v>1</x:v>
      </x:c>
      <x:c r="J44" s="131"/>
      <x:c r="K44" s="131">
        <x:v>1</x:v>
      </x:c>
      <x:c r="L44" s="131"/>
      <x:c r="M44" s="134"/>
      <x:c r="N44" s="94">
        <x:f t="shared" si="0"/>
        <x:v>2</x:v>
      </x:c>
      <x:c r="O44" s="43">
        <x:f t="shared" si="1"/>
        <x:v>13200</x:v>
      </x:c>
    </x:row>
    <x:row r="45" spans="1:15" ht="12" customHeight="1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118"/>
      <x:c r="I45" s="134">
        <x:v>1</x:v>
      </x:c>
      <x:c r="J45" s="131"/>
      <x:c r="K45" s="131"/>
      <x:c r="L45" s="131"/>
      <x:c r="M45" s="134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118">
        <x:v>1</x:v>
      </x:c>
      <x:c r="I46" s="134"/>
      <x:c r="J46" s="131"/>
      <x:c r="K46" s="131"/>
      <x:c r="L46" s="131"/>
      <x:c r="M46" s="134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118"/>
      <x:c r="I47" s="134">
        <x:v>1</x:v>
      </x:c>
      <x:c r="J47" s="131"/>
      <x:c r="K47" s="131"/>
      <x:c r="L47" s="131"/>
      <x:c r="M47" s="134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151">
        <x:v>1</x:v>
      </x:c>
      <x:c r="I48" s="124">
        <x:v>1</x:v>
      </x:c>
      <x:c r="J48" s="133"/>
      <x:c r="K48" s="133"/>
      <x:c r="L48" s="133"/>
      <x:c r="M48" s="124"/>
      <x:c r="N48" s="95">
        <x:f t="shared" si="0"/>
        <x:v>1</x:v>
      </x:c>
      <x:c r="O48" s="50">
        <x:f t="shared" si="1"/>
        <x:v>6700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26"/>
      <x:c r="J49" s="135">
        <x:v>1</x:v>
      </x:c>
      <x:c r="K49" s="135"/>
      <x:c r="L49" s="135"/>
      <x:c r="M49" s="126"/>
      <x:c r="N49" s="93">
        <x:f t="shared" si="0"/>
        <x:v>1</x:v>
      </x:c>
      <x:c r="O49" s="99">
        <x:f t="shared" si="1"/>
        <x:v>6900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118">
        <x:v>1</x:v>
      </x:c>
      <x:c r="I50" s="134"/>
      <x:c r="J50" s="131"/>
      <x:c r="K50" s="131"/>
      <x:c r="L50" s="131"/>
      <x:c r="M50" s="134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118">
        <x:v>1</x:v>
      </x:c>
      <x:c r="I51" s="134"/>
      <x:c r="J51" s="131"/>
      <x:c r="K51" s="131"/>
      <x:c r="L51" s="131"/>
      <x:c r="M51" s="134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118">
        <x:v>2</x:v>
      </x:c>
      <x:c r="I52" s="134"/>
      <x:c r="J52" s="131"/>
      <x:c r="K52" s="131"/>
      <x:c r="L52" s="131"/>
      <x:c r="M52" s="134"/>
      <x:c r="N52" s="94">
        <x:f t="shared" si="0"/>
        <x:v>0</x:v>
      </x:c>
      <x:c r="O52" s="43">
        <x:f t="shared" si="1"/>
        <x:v>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118">
        <x:v>1</x:v>
      </x:c>
      <x:c r="I53" s="134">
        <x:v>1</x:v>
      </x:c>
      <x:c r="J53" s="131">
        <x:v>2</x:v>
      </x:c>
      <x:c r="K53" s="131"/>
      <x:c r="L53" s="131"/>
      <x:c r="M53" s="134"/>
      <x:c r="N53" s="94">
        <x:f t="shared" si="0"/>
        <x:v>3</x:v>
      </x:c>
      <x:c r="O53" s="43">
        <x:f t="shared" si="1"/>
        <x:v>15900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118">
        <x:v>2</x:v>
      </x:c>
      <x:c r="I54" s="134"/>
      <x:c r="J54" s="131"/>
      <x:c r="K54" s="131">
        <x:v>1</x:v>
      </x:c>
      <x:c r="L54" s="131"/>
      <x:c r="M54" s="134"/>
      <x:c r="N54" s="94">
        <x:f t="shared" si="0"/>
        <x:v>1</x:v>
      </x:c>
      <x:c r="O54" s="43">
        <x:f t="shared" si="1"/>
        <x:v>6600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118">
        <x:v>3</x:v>
      </x:c>
      <x:c r="I55" s="134"/>
      <x:c r="J55" s="131"/>
      <x:c r="K55" s="131">
        <x:v>1</x:v>
      </x:c>
      <x:c r="L55" s="131"/>
      <x:c r="M55" s="134"/>
      <x:c r="N55" s="94">
        <x:f t="shared" si="0"/>
        <x:v>1</x:v>
      </x:c>
      <x:c r="O55" s="43">
        <x:f t="shared" si="1"/>
        <x:v>5600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118"/>
      <x:c r="I56" s="134">
        <x:v>1</x:v>
      </x:c>
      <x:c r="J56" s="131"/>
      <x:c r="K56" s="131">
        <x:v>1</x:v>
      </x:c>
      <x:c r="L56" s="131"/>
      <x:c r="M56" s="134"/>
      <x:c r="N56" s="94">
        <x:f t="shared" si="0"/>
        <x:v>2</x:v>
      </x:c>
      <x:c r="O56" s="43">
        <x:f t="shared" si="1"/>
        <x:v>28200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118"/>
      <x:c r="I57" s="134"/>
      <x:c r="J57" s="131"/>
      <x:c r="K57" s="131">
        <x:v>1</x:v>
      </x:c>
      <x:c r="L57" s="131"/>
      <x:c r="M57" s="134"/>
      <x:c r="N57" s="94">
        <x:f t="shared" si="0"/>
        <x:v>1</x:v>
      </x:c>
      <x:c r="O57" s="43">
        <x:f t="shared" si="1"/>
        <x:v>15100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151">
        <x:v>2</x:v>
      </x:c>
      <x:c r="I58" s="124"/>
      <x:c r="J58" s="133"/>
      <x:c r="K58" s="133"/>
      <x:c r="L58" s="133"/>
      <x:c r="M58" s="124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19">
        <x:v>10</x:v>
      </x:c>
      <x:c r="I59" s="126">
        <x:v>10</x:v>
      </x:c>
      <x:c r="J59" s="135">
        <x:v>7</x:v>
      </x:c>
      <x:c r="K59" s="135">
        <x:v>12</x:v>
      </x:c>
      <x:c r="L59" s="135"/>
      <x:c r="M59" s="126"/>
      <x:c r="N59" s="93">
        <x:f t="shared" si="0"/>
        <x:v>29</x:v>
      </x:c>
      <x:c r="O59" s="23">
        <x:f t="shared" si="1"/>
        <x:v>319000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120"/>
      <x:c r="I60" s="148">
        <x:v>2</x:v>
      </x:c>
      <x:c r="J60" s="149"/>
      <x:c r="K60" s="149">
        <x:v>1</x:v>
      </x:c>
      <x:c r="L60" s="149"/>
      <x:c r="M60" s="148"/>
      <x:c r="N60" s="96">
        <x:f t="shared" si="0"/>
        <x:v>3</x:v>
      </x:c>
      <x:c r="O60" s="50">
        <x:f t="shared" si="1"/>
        <x:v>57000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19">
        <x:v>1.75</x:v>
      </x:c>
      <x:c r="I61" s="126"/>
      <x:c r="J61" s="135"/>
      <x:c r="K61" s="135"/>
      <x:c r="L61" s="135"/>
      <x:c r="M61" s="126"/>
      <x:c r="N61" s="97">
        <x:f t="shared" si="0"/>
        <x:v>0</x:v>
      </x:c>
      <x:c r="O61" s="99">
        <x:f t="shared" si="1"/>
        <x:v>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18">
        <x:v>2.1000000000000001</x:v>
      </x:c>
      <x:c r="I62" s="134"/>
      <x:c r="J62" s="131"/>
      <x:c r="K62" s="131"/>
      <x:c r="L62" s="131"/>
      <x:c r="M62" s="134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18">
        <x:v>1.3999999999999999</x:v>
      </x:c>
      <x:c r="I63" s="134"/>
      <x:c r="J63" s="131"/>
      <x:c r="K63" s="131"/>
      <x:c r="L63" s="131"/>
      <x:c r="M63" s="134"/>
      <x:c r="N63" s="94">
        <x:f t="shared" si="0"/>
        <x:v>0</x:v>
      </x:c>
      <x:c r="O63" s="43">
        <x:f t="shared" si="1"/>
        <x:v>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20">
        <x:v>1.3</x:v>
      </x:c>
      <x:c r="I64" s="148"/>
      <x:c r="J64" s="149"/>
      <x:c r="K64" s="149"/>
      <x:c r="L64" s="149"/>
      <x:c r="M64" s="148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7978.5500000000002</x:v>
      </x:c>
      <x:c r="I65" s="113">
        <x:f t="shared" si="2"/>
        <x:v>1023</x:v>
      </x:c>
      <x:c r="J65" s="113">
        <x:f t="shared" si="2"/>
        <x:v>1512</x:v>
      </x:c>
      <x:c r="K65" s="113">
        <x:f t="shared" si="2"/>
        <x:v>2028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4563</x:v>
      </x:c>
      <x:c r="O65" s="98">
        <x:f t="shared" si="2"/>
        <x:v>716530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ffe699"/>
  </x:sheetPr>
  <x:dimension ref="A1:O65"/>
  <x:sheetViews>
    <x:sheetView topLeftCell="A1" zoomScale="70" zoomScaleNormal="70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17" customWidth="1"/>
    <x:col min="9" max="15" width="11.625" style="1" customWidth="1"/>
  </x:cols>
  <x:sheetData>
    <x:row r="1" spans="1:15">
      <x:c r="A1" s="206" t="s">
        <x:v>127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154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153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19"/>
      <x:c r="I5" s="102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118">
        <x:v>550</x:v>
      </x:c>
      <x:c r="I6" s="108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118">
        <x:v>550</x:v>
      </x:c>
      <x:c r="I7" s="108">
        <x:v>1000</x:v>
      </x:c>
      <x:c r="J7" s="107"/>
      <x:c r="K7" s="107"/>
      <x:c r="L7" s="41"/>
      <x:c r="M7" s="42"/>
      <x:c r="N7" s="94">
        <x:f t="shared" si="0"/>
        <x:v>1000</x:v>
      </x:c>
      <x:c r="O7" s="43">
        <x:f t="shared" si="1"/>
        <x:v>20000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152"/>
      <x:c r="I8" s="115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118">
        <x:v>800</x:v>
      </x:c>
      <x:c r="I9" s="108"/>
      <x:c r="J9" s="107"/>
      <x:c r="K9" s="107">
        <x:v>1000</x:v>
      </x:c>
      <x:c r="L9" s="41"/>
      <x:c r="M9" s="42"/>
      <x:c r="N9" s="94">
        <x:f t="shared" si="0"/>
        <x:v>1000</x:v>
      </x:c>
      <x:c r="O9" s="43">
        <x:f t="shared" si="1"/>
        <x:v>53000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118">
        <x:v>1200</x:v>
      </x:c>
      <x:c r="I10" s="108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152">
        <x:v>1050</x:v>
      </x:c>
      <x:c r="I11" s="115"/>
      <x:c r="J11" s="114"/>
      <x:c r="K11" s="114">
        <x:v>1000</x:v>
      </x:c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118">
        <x:v>1150</x:v>
      </x:c>
      <x:c r="I12" s="108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118"/>
      <x:c r="I13" s="108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118"/>
      <x:c r="I14" s="108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118">
        <x:v>2000</x:v>
      </x:c>
      <x:c r="I15" s="108">
        <x:v>1000</x:v>
      </x:c>
      <x:c r="J15" s="107"/>
      <x:c r="K15" s="107"/>
      <x:c r="L15" s="41"/>
      <x:c r="M15" s="42"/>
      <x:c r="N15" s="94">
        <x:f t="shared" si="0"/>
        <x:v>1000</x:v>
      </x:c>
      <x:c r="O15" s="43">
        <x:f t="shared" si="1"/>
        <x:v>18000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118"/>
      <x:c r="I16" s="108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152">
        <x:v>400</x:v>
      </x:c>
      <x:c r="I17" s="115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118">
        <x:v>1500</x:v>
      </x:c>
      <x:c r="I18" s="108"/>
      <x:c r="J18" s="107">
        <x:v>500</x:v>
      </x:c>
      <x:c r="K18" s="107">
        <x:v>500</x:v>
      </x:c>
      <x:c r="L18" s="41"/>
      <x:c r="M18" s="42"/>
      <x:c r="N18" s="94">
        <x:f t="shared" si="0"/>
        <x:v>1000</x:v>
      </x:c>
      <x:c r="O18" s="43">
        <x:f t="shared" si="1"/>
        <x:v>7200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118"/>
      <x:c r="I19" s="108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15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118">
        <x:v>800</x:v>
      </x:c>
      <x:c r="I21" s="108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118">
        <x:v>200</x:v>
      </x:c>
      <x:c r="I22" s="108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152">
        <x:v>8800</x:v>
      </x:c>
      <x:c r="I23" s="115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118"/>
      <x:c r="I24" s="108">
        <x:v>1</x:v>
      </x:c>
      <x:c r="J24" s="107"/>
      <x:c r="K24" s="107"/>
      <x:c r="L24" s="41"/>
      <x:c r="M24" s="42"/>
      <x:c r="N24" s="94">
        <x:f t="shared" si="0"/>
        <x:v>1</x:v>
      </x:c>
      <x:c r="O24" s="43">
        <x:f t="shared" si="1"/>
        <x:v>12000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08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08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118"/>
      <x:c r="I27" s="108">
        <x:v>200</x:v>
      </x:c>
      <x:c r="J27" s="107"/>
      <x:c r="K27" s="107"/>
      <x:c r="L27" s="41"/>
      <x:c r="M27" s="42"/>
      <x:c r="N27" s="94">
        <x:f t="shared" si="0"/>
        <x:v>200</x:v>
      </x:c>
      <x:c r="O27" s="43">
        <x:f t="shared" si="1"/>
        <x:v>5000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152">
        <x:v>4</x:v>
      </x:c>
      <x:c r="I28" s="115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118">
        <x:v>1</x:v>
      </x:c>
      <x:c r="I29" s="108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118">
        <x:v>2</x:v>
      </x:c>
      <x:c r="I30" s="108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118">
        <x:v>1</x:v>
      </x:c>
      <x:c r="I31" s="108">
        <x:v>2</x:v>
      </x:c>
      <x:c r="J31" s="107"/>
      <x:c r="K31" s="107"/>
      <x:c r="L31" s="41"/>
      <x:c r="M31" s="42"/>
      <x:c r="N31" s="94">
        <x:f t="shared" si="0"/>
        <x:v>2</x:v>
      </x:c>
      <x:c r="O31" s="43">
        <x:f t="shared" si="1"/>
        <x:v>5600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152">
        <x:v>19</x:v>
      </x:c>
      <x:c r="I32" s="115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152">
        <x:v>20</x:v>
      </x:c>
      <x:c r="I33" s="115"/>
      <x:c r="J33" s="114">
        <x:v>10</x:v>
      </x:c>
      <x:c r="K33" s="114"/>
      <x:c r="L33" s="75"/>
      <x:c r="M33" s="76"/>
      <x:c r="N33" s="94">
        <x:f t="shared" si="0"/>
        <x:v>10</x:v>
      </x:c>
      <x:c r="O33" s="43">
        <x:f t="shared" si="1"/>
        <x:v>72000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152">
        <x:v>12</x:v>
      </x:c>
      <x:c r="I34" s="115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118">
        <x:v>2</x:v>
      </x:c>
      <x:c r="I35" s="108">
        <x:v>4</x:v>
      </x:c>
      <x:c r="J35" s="107">
        <x:v>2</x:v>
      </x:c>
      <x:c r="K35" s="107">
        <x:v>2</x:v>
      </x:c>
      <x:c r="L35" s="41"/>
      <x:c r="M35" s="42"/>
      <x:c r="N35" s="94">
        <x:f t="shared" si="0"/>
        <x:v>8</x:v>
      </x:c>
      <x:c r="O35" s="43">
        <x:f t="shared" si="1"/>
        <x:v>54960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151">
        <x:v>0</x:v>
      </x:c>
      <x:c r="I36" s="105">
        <x:v>2</x:v>
      </x:c>
      <x:c r="J36" s="104"/>
      <x:c r="K36" s="104"/>
      <x:c r="L36" s="31"/>
      <x:c r="M36" s="32"/>
      <x:c r="N36" s="95">
        <x:f t="shared" si="0"/>
        <x:v>2</x:v>
      </x:c>
      <x:c r="O36" s="33">
        <x:f t="shared" si="1"/>
        <x:v>13740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19"/>
      <x:c r="I37" s="102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151"/>
      <x:c r="I38" s="105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19">
        <x:v>3</x:v>
      </x:c>
      <x:c r="I39" s="102">
        <x:v>1</x:v>
      </x:c>
      <x:c r="J39" s="101"/>
      <x:c r="K39" s="101"/>
      <x:c r="L39" s="21"/>
      <x:c r="M39" s="22"/>
      <x:c r="N39" s="97">
        <x:f t="shared" si="0"/>
        <x:v>1</x:v>
      </x:c>
      <x:c r="O39" s="23">
        <x:f t="shared" si="1"/>
        <x:v>7700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118">
        <x:v>1</x:v>
      </x:c>
      <x:c r="I40" s="108">
        <x:v>3</x:v>
      </x:c>
      <x:c r="J40" s="107">
        <x:v>2</x:v>
      </x:c>
      <x:c r="K40" s="107"/>
      <x:c r="L40" s="41"/>
      <x:c r="M40" s="42"/>
      <x:c r="N40" s="94">
        <x:f t="shared" si="0"/>
        <x:v>5</x:v>
      </x:c>
      <x:c r="O40" s="43">
        <x:f t="shared" si="1"/>
        <x:v>31000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118">
        <x:v>3</x:v>
      </x:c>
      <x:c r="I41" s="108">
        <x:v>1</x:v>
      </x:c>
      <x:c r="J41" s="107"/>
      <x:c r="K41" s="107"/>
      <x:c r="L41" s="41"/>
      <x:c r="M41" s="42"/>
      <x:c r="N41" s="94">
        <x:f t="shared" si="0"/>
        <x:v>1</x:v>
      </x:c>
      <x:c r="O41" s="43">
        <x:f t="shared" si="1"/>
        <x:v>6700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118">
        <x:v>3</x:v>
      </x:c>
      <x:c r="I42" s="108">
        <x:v>2</x:v>
      </x:c>
      <x:c r="J42" s="107"/>
      <x:c r="K42" s="107"/>
      <x:c r="L42" s="41"/>
      <x:c r="M42" s="42"/>
      <x:c r="N42" s="94">
        <x:f t="shared" si="0"/>
        <x:v>2</x:v>
      </x:c>
      <x:c r="O42" s="43">
        <x:f t="shared" si="1"/>
        <x:v>14500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118">
        <x:v>2</x:v>
      </x:c>
      <x:c r="I43" s="108"/>
      <x:c r="J43" s="107">
        <x:v>2</x:v>
      </x:c>
      <x:c r="K43" s="107"/>
      <x:c r="L43" s="41"/>
      <x:c r="M43" s="42"/>
      <x:c r="N43" s="94">
        <x:f t="shared" si="0"/>
        <x:v>2</x:v>
      </x:c>
      <x:c r="O43" s="43">
        <x:f t="shared" si="1"/>
        <x:v>10600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118">
        <x:v>0</x:v>
      </x:c>
      <x:c r="I44" s="108">
        <x:v>3</x:v>
      </x:c>
      <x:c r="J44" s="107"/>
      <x:c r="K44" s="107"/>
      <x:c r="L44" s="41"/>
      <x:c r="M44" s="42"/>
      <x:c r="N44" s="94">
        <x:f t="shared" si="0"/>
        <x:v>3</x:v>
      </x:c>
      <x:c r="O44" s="43">
        <x:f t="shared" si="1"/>
        <x:v>19800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118">
        <x:v>0</x:v>
      </x:c>
      <x:c r="I45" s="108">
        <x:v>2</x:v>
      </x:c>
      <x:c r="J45" s="107"/>
      <x:c r="K45" s="107"/>
      <x:c r="L45" s="41"/>
      <x:c r="M45" s="42"/>
      <x:c r="N45" s="94">
        <x:f t="shared" si="0"/>
        <x:v>2</x:v>
      </x:c>
      <x:c r="O45" s="43">
        <x:f t="shared" si="1"/>
        <x:v>29000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118">
        <x:v>1</x:v>
      </x:c>
      <x:c r="I46" s="108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118">
        <x:v>1</x:v>
      </x:c>
      <x:c r="I47" s="108">
        <x:v>1</x:v>
      </x:c>
      <x:c r="J47" s="107"/>
      <x:c r="K47" s="107"/>
      <x:c r="L47" s="41"/>
      <x:c r="M47" s="42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151">
        <x:v>1</x:v>
      </x:c>
      <x:c r="I48" s="105">
        <x:v>2</x:v>
      </x:c>
      <x:c r="J48" s="104"/>
      <x:c r="K48" s="104">
        <x:v>2</x:v>
      </x:c>
      <x:c r="L48" s="31"/>
      <x:c r="M48" s="32"/>
      <x:c r="N48" s="95">
        <x:f t="shared" si="0"/>
        <x:v>4</x:v>
      </x:c>
      <x:c r="O48" s="50">
        <x:f t="shared" si="1"/>
        <x:v>26800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19">
        <x:v>3</x:v>
      </x:c>
      <x:c r="I49" s="102">
        <x:v>3</x:v>
      </x:c>
      <x:c r="J49" s="101"/>
      <x:c r="K49" s="101"/>
      <x:c r="L49" s="21"/>
      <x:c r="M49" s="22"/>
      <x:c r="N49" s="93">
        <x:f t="shared" si="0"/>
        <x:v>3</x:v>
      </x:c>
      <x:c r="O49" s="99">
        <x:f t="shared" si="1"/>
        <x:v>20700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118">
        <x:v>3</x:v>
      </x:c>
      <x:c r="I50" s="108">
        <x:v>1</x:v>
      </x:c>
      <x:c r="J50" s="107"/>
      <x:c r="K50" s="107"/>
      <x:c r="L50" s="41"/>
      <x:c r="M50" s="42"/>
      <x:c r="N50" s="94">
        <x:f t="shared" si="0"/>
        <x:v>1</x:v>
      </x:c>
      <x:c r="O50" s="43">
        <x:f t="shared" si="1"/>
        <x:v>6900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118">
        <x:v>4</x:v>
      </x:c>
      <x:c r="I51" s="108">
        <x:v>2</x:v>
      </x:c>
      <x:c r="J51" s="107"/>
      <x:c r="K51" s="107"/>
      <x:c r="L51" s="41"/>
      <x:c r="M51" s="42"/>
      <x:c r="N51" s="94">
        <x:f t="shared" si="0"/>
        <x:v>2</x:v>
      </x:c>
      <x:c r="O51" s="43">
        <x:f t="shared" si="1"/>
        <x:v>13600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118">
        <x:v>3</x:v>
      </x:c>
      <x:c r="I52" s="108"/>
      <x:c r="J52" s="107">
        <x:v>2</x:v>
      </x:c>
      <x:c r="K52" s="107">
        <x:v>1</x:v>
      </x:c>
      <x:c r="L52" s="41"/>
      <x:c r="M52" s="42"/>
      <x:c r="N52" s="94">
        <x:f t="shared" si="0"/>
        <x:v>3</x:v>
      </x:c>
      <x:c r="O52" s="43">
        <x:f t="shared" si="1"/>
        <x:v>45000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118">
        <x:v>0</x:v>
      </x:c>
      <x:c r="I53" s="108">
        <x:v>4</x:v>
      </x:c>
      <x:c r="J53" s="107"/>
      <x:c r="K53" s="107">
        <x:v>4</x:v>
      </x:c>
      <x:c r="L53" s="41"/>
      <x:c r="M53" s="42"/>
      <x:c r="N53" s="94">
        <x:f t="shared" si="0"/>
        <x:v>8</x:v>
      </x:c>
      <x:c r="O53" s="43">
        <x:f t="shared" si="1"/>
        <x:v>42400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118">
        <x:v>3</x:v>
      </x:c>
      <x:c r="I54" s="108">
        <x:v>2</x:v>
      </x:c>
      <x:c r="J54" s="107"/>
      <x:c r="K54" s="107">
        <x:v>4</x:v>
      </x:c>
      <x:c r="L54" s="41"/>
      <x:c r="M54" s="42"/>
      <x:c r="N54" s="94">
        <x:f t="shared" si="0"/>
        <x:v>6</x:v>
      </x:c>
      <x:c r="O54" s="43">
        <x:f t="shared" si="1"/>
        <x:v>39600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118">
        <x:v>0</x:v>
      </x:c>
      <x:c r="I55" s="108">
        <x:v>2</x:v>
      </x:c>
      <x:c r="J55" s="107">
        <x:v>3</x:v>
      </x:c>
      <x:c r="K55" s="107">
        <x:v>1</x:v>
      </x:c>
      <x:c r="L55" s="41"/>
      <x:c r="M55" s="42"/>
      <x:c r="N55" s="94">
        <x:f t="shared" si="0"/>
        <x:v>6</x:v>
      </x:c>
      <x:c r="O55" s="43">
        <x:f t="shared" si="1"/>
        <x:v>33600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118">
        <x:v>1</x:v>
      </x:c>
      <x:c r="I56" s="108">
        <x:v>1</x:v>
      </x:c>
      <x:c r="J56" s="107"/>
      <x:c r="K56" s="107"/>
      <x:c r="L56" s="41"/>
      <x:c r="M56" s="42"/>
      <x:c r="N56" s="94">
        <x:f t="shared" si="0"/>
        <x:v>1</x:v>
      </x:c>
      <x:c r="O56" s="43">
        <x:f t="shared" si="1"/>
        <x:v>14100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118">
        <x:v>0</x:v>
      </x:c>
      <x:c r="I57" s="108">
        <x:v>1</x:v>
      </x:c>
      <x:c r="J57" s="107"/>
      <x:c r="K57" s="107"/>
      <x:c r="L57" s="41"/>
      <x:c r="M57" s="42"/>
      <x:c r="N57" s="94">
        <x:f t="shared" si="0"/>
        <x:v>1</x:v>
      </x:c>
      <x:c r="O57" s="43">
        <x:f t="shared" si="1"/>
        <x:v>15100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151">
        <x:v>1</x:v>
      </x:c>
      <x:c r="I58" s="105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19">
        <x:v>17</x:v>
      </x:c>
      <x:c r="I59" s="102">
        <x:v>5</x:v>
      </x:c>
      <x:c r="J59" s="101">
        <x:v>10</x:v>
      </x:c>
      <x:c r="K59" s="101">
        <x:v>10</x:v>
      </x:c>
      <x:c r="L59" s="21"/>
      <x:c r="M59" s="22"/>
      <x:c r="N59" s="93">
        <x:f t="shared" si="0"/>
        <x:v>25</x:v>
      </x:c>
      <x:c r="O59" s="23">
        <x:f t="shared" si="1"/>
        <x:v>275000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120"/>
      <x:c r="I60" s="112">
        <x:v>1</x:v>
      </x:c>
      <x:c r="J60" s="111">
        <x:v>1</x:v>
      </x:c>
      <x:c r="K60" s="111"/>
      <x:c r="L60" s="61"/>
      <x:c r="M60" s="62"/>
      <x:c r="N60" s="96">
        <x:f t="shared" si="0"/>
        <x:v>2</x:v>
      </x:c>
      <x:c r="O60" s="50">
        <x:f t="shared" si="1"/>
        <x:v>38000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19">
        <x:v>2.2000000000000002</x:v>
      </x:c>
      <x:c r="I61" s="102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18">
        <x:v>2.2000000000000002</x:v>
      </x:c>
      <x:c r="I62" s="108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18">
        <x:v>2.8999999999999999</x:v>
      </x:c>
      <x:c r="I63" s="108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20">
        <x:v>2.2000000000000002</x:v>
      </x:c>
      <x:c r="I64" s="112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50">
        <x:f t="shared" si="2"/>
        <x:v>19120.500000000004</x:v>
      </x:c>
      <x:c r="I65" s="64">
        <x:f t="shared" si="2"/>
        <x:v>2246</x:v>
      </x:c>
      <x:c r="J65" s="64">
        <x:f t="shared" si="2"/>
        <x:v>532</x:v>
      </x:c>
      <x:c r="K65" s="64">
        <x:f t="shared" si="2"/>
        <x:v>2524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5302</x:v>
      </x:c>
      <x:c r="O65" s="98">
        <x:f t="shared" si="2"/>
        <x:v>974600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ffe699"/>
  </x:sheetPr>
  <x:dimension ref="A1:O65"/>
  <x:sheetViews>
    <x:sheetView topLeftCell="A1" zoomScale="55" zoomScaleNormal="55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119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19">
        <x:v>1200</x:v>
      </x:c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118">
        <x:v>600</x:v>
      </x:c>
      <x:c r="I6" s="106"/>
      <x:c r="J6" s="107"/>
      <x:c r="K6" s="107"/>
      <x:c r="L6" s="41"/>
      <x:c r="M6" s="42"/>
      <x:c r="N6" s="94">
        <x:f t="shared" ref="N6:N64" si="0">I6+J6+K6+L6+M6</x:f>
        <x:v>0</x:v>
      </x:c>
      <x:c r="O6" s="43">
        <x:f t="shared" ref="O6:O64" si="1">E6*N6</x:f>
        <x:v>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118">
        <x:v>1000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152">
        <x:v>200</x:v>
      </x:c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118">
        <x:v>550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118">
        <x:v>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152">
        <x:v>400</x:v>
      </x:c>
      <x:c r="I11" s="106"/>
      <x:c r="J11" s="114"/>
      <x:c r="K11" s="114"/>
      <x:c r="L11" s="75"/>
      <x:c r="M11" s="76"/>
      <x:c r="N11" s="94">
        <x:f t="shared" si="0"/>
        <x:v>0</x:v>
      </x:c>
      <x:c r="O11" s="43">
        <x:f t="shared" si="1"/>
        <x:v>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118">
        <x:v>900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118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118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118"/>
      <x:c r="I15" s="106"/>
      <x:c r="J15" s="107"/>
      <x:c r="K15" s="107"/>
      <x:c r="L15" s="41"/>
      <x:c r="M15" s="42"/>
      <x:c r="N15" s="94">
        <x:f t="shared" si="0"/>
        <x:v>0</x:v>
      </x:c>
      <x:c r="O15" s="43">
        <x:f t="shared" si="1"/>
        <x:v>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118">
        <x:v>1000</x:v>
      </x:c>
      <x:c r="I16" s="106"/>
      <x:c r="J16" s="107"/>
      <x:c r="K16" s="107"/>
      <x:c r="L16" s="41"/>
      <x:c r="M16" s="42"/>
      <x:c r="N16" s="94">
        <x:f t="shared" si="0"/>
        <x:v>0</x:v>
      </x:c>
      <x:c r="O16" s="43">
        <x:f t="shared" si="1"/>
        <x:v>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152"/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118">
        <x:v>1500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118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152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118"/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118"/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152"/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118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118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118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118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152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118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118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118">
        <x:v>2</x:v>
      </x:c>
      <x:c r="I31" s="106"/>
      <x:c r="J31" s="107"/>
      <x:c r="K31" s="107"/>
      <x:c r="L31" s="41"/>
      <x:c r="M31" s="42"/>
      <x:c r="N31" s="94">
        <x:f t="shared" si="0"/>
        <x:v>0</x:v>
      </x:c>
      <x:c r="O31" s="43">
        <x:f t="shared" si="1"/>
        <x:v>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152">
        <x:v>3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152">
        <x:v>0</x:v>
      </x:c>
      <x:c r="I33" s="106">
        <x:v>1</x:v>
      </x:c>
      <x:c r="J33" s="114"/>
      <x:c r="K33" s="114"/>
      <x:c r="L33" s="75"/>
      <x:c r="M33" s="76"/>
      <x:c r="N33" s="94">
        <x:f t="shared" si="0"/>
        <x:v>1</x:v>
      </x:c>
      <x:c r="O33" s="43">
        <x:f t="shared" si="1"/>
        <x:v>7200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152">
        <x:v>5</x:v>
      </x:c>
      <x:c r="I34" s="106"/>
      <x:c r="J34" s="114"/>
      <x:c r="K34" s="114"/>
      <x:c r="L34" s="75"/>
      <x:c r="M34" s="76"/>
      <x:c r="N34" s="94">
        <x:f t="shared" si="0"/>
        <x:v>0</x:v>
      </x:c>
      <x:c r="O34" s="43">
        <x:f t="shared" si="1"/>
        <x:v>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118">
        <x:v>0</x:v>
      </x:c>
      <x:c r="I35" s="106">
        <x:v>1</x:v>
      </x:c>
      <x:c r="J35" s="107"/>
      <x:c r="K35" s="107"/>
      <x:c r="L35" s="41"/>
      <x:c r="M35" s="42"/>
      <x:c r="N35" s="94">
        <x:f t="shared" si="0"/>
        <x:v>1</x:v>
      </x:c>
      <x:c r="O35" s="43">
        <x:f t="shared" si="1"/>
        <x:v>6870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151">
        <x:v>1</x:v>
      </x:c>
      <x:c r="I36" s="103"/>
      <x:c r="J36" s="104"/>
      <x:c r="K36" s="104"/>
      <x:c r="L36" s="31"/>
      <x:c r="M36" s="32"/>
      <x:c r="N36" s="95">
        <x:f t="shared" si="0"/>
        <x:v>0</x:v>
      </x:c>
      <x:c r="O36" s="33">
        <x:f t="shared" si="1"/>
        <x:v>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19"/>
      <x:c r="I37" s="100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151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19">
        <x:v>0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118">
        <x:v>0</x:v>
      </x:c>
      <x:c r="I40" s="106"/>
      <x:c r="J40" s="107"/>
      <x:c r="K40" s="107"/>
      <x:c r="L40" s="41"/>
      <x:c r="M40" s="42"/>
      <x:c r="N40" s="94">
        <x:f t="shared" si="0"/>
        <x:v>0</x:v>
      </x:c>
      <x:c r="O40" s="43">
        <x:f t="shared" si="1"/>
        <x:v>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118">
        <x:v>0</x:v>
      </x:c>
      <x:c r="I41" s="106"/>
      <x:c r="J41" s="107"/>
      <x:c r="K41" s="107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118">
        <x:v>0</x:v>
      </x:c>
      <x:c r="I42" s="106"/>
      <x:c r="J42" s="107"/>
      <x:c r="K42" s="107"/>
      <x:c r="L42" s="41"/>
      <x:c r="M42" s="42"/>
      <x:c r="N42" s="94">
        <x:f t="shared" si="0"/>
        <x:v>0</x:v>
      </x:c>
      <x:c r="O42" s="43">
        <x:f t="shared" si="1"/>
        <x:v>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118">
        <x:v>0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118">
        <x:v>0</x:v>
      </x:c>
      <x:c r="I44" s="106"/>
      <x:c r="J44" s="107"/>
      <x:c r="K44" s="107"/>
      <x:c r="L44" s="41"/>
      <x:c r="M44" s="42"/>
      <x:c r="N44" s="94">
        <x:f t="shared" si="0"/>
        <x:v>0</x:v>
      </x:c>
      <x:c r="O44" s="43">
        <x:f t="shared" si="1"/>
        <x:v>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118">
        <x:v>0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118"/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118">
        <x:v>0</x:v>
      </x:c>
      <x:c r="I47" s="106"/>
      <x:c r="J47" s="107"/>
      <x:c r="K47" s="107"/>
      <x:c r="L47" s="41"/>
      <x:c r="M47" s="42"/>
      <x:c r="N47" s="94">
        <x:f t="shared" si="0"/>
        <x:v>0</x:v>
      </x:c>
      <x:c r="O47" s="43">
        <x:f t="shared" si="1"/>
        <x:v>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151">
        <x:v>0</x:v>
      </x:c>
      <x:c r="I48" s="106"/>
      <x:c r="J48" s="104"/>
      <x:c r="K48" s="104"/>
      <x:c r="L48" s="31"/>
      <x:c r="M48" s="32"/>
      <x:c r="N48" s="95">
        <x:f t="shared" si="0"/>
        <x:v>0</x:v>
      </x:c>
      <x:c r="O48" s="50">
        <x:f t="shared" si="1"/>
        <x:v>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19">
        <x:v>1</x:v>
      </x:c>
      <x:c r="I49" s="109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118">
        <x:v>0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118">
        <x:v>1</x:v>
      </x:c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118"/>
      <x:c r="I52" s="106"/>
      <x:c r="J52" s="107"/>
      <x:c r="K52" s="107"/>
      <x:c r="L52" s="41"/>
      <x:c r="M52" s="42"/>
      <x:c r="N52" s="94">
        <x:f t="shared" si="0"/>
        <x:v>0</x:v>
      </x:c>
      <x:c r="O52" s="43">
        <x:f t="shared" si="1"/>
        <x:v>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118">
        <x:v>1</x:v>
      </x:c>
      <x:c r="I53" s="106"/>
      <x:c r="J53" s="107"/>
      <x:c r="K53" s="107"/>
      <x:c r="L53" s="41"/>
      <x:c r="M53" s="42"/>
      <x:c r="N53" s="94">
        <x:f t="shared" si="0"/>
        <x:v>0</x:v>
      </x:c>
      <x:c r="O53" s="43">
        <x:f t="shared" si="1"/>
        <x:v>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118">
        <x:v>1</x:v>
      </x:c>
      <x:c r="I54" s="106"/>
      <x:c r="J54" s="107"/>
      <x:c r="K54" s="107"/>
      <x:c r="L54" s="41"/>
      <x:c r="M54" s="42"/>
      <x:c r="N54" s="94">
        <x:f t="shared" si="0"/>
        <x:v>0</x:v>
      </x:c>
      <x:c r="O54" s="43">
        <x:f t="shared" si="1"/>
        <x:v>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118">
        <x:v>0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118"/>
      <x:c r="I56" s="106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118"/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151"/>
      <x:c r="I58" s="106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19">
        <x:v>1</x:v>
      </x:c>
      <x:c r="I59" s="109"/>
      <x:c r="J59" s="101"/>
      <x:c r="K59" s="101"/>
      <x:c r="L59" s="21"/>
      <x:c r="M59" s="22"/>
      <x:c r="N59" s="93">
        <x:f t="shared" si="0"/>
        <x:v>0</x:v>
      </x:c>
      <x:c r="O59" s="23">
        <x:f t="shared" si="1"/>
        <x:v>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120"/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19">
        <x:v>1.5</x:v>
      </x:c>
      <x:c r="I61" s="100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18">
        <x:v>1.5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18">
        <x:v>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20">
        <x:v>1.5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13">
        <x:f t="shared" si="2"/>
        <x:v>7371.5</x:v>
      </x:c>
      <x:c r="I65" s="113">
        <x:f t="shared" si="2"/>
        <x:v>2</x:v>
      </x:c>
      <x:c r="J65" s="113">
        <x:f t="shared" si="2"/>
        <x:v>0</x:v>
      </x:c>
      <x:c r="K65" s="113">
        <x:f t="shared" si="2"/>
        <x:v>0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2</x:v>
      </x:c>
      <x:c r="O65" s="98">
        <x:f t="shared" si="2"/>
        <x:v>14070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ffe699"/>
  </x:sheetPr>
  <x:dimension ref="A1:O65"/>
  <x:sheetViews>
    <x:sheetView topLeftCell="A1" zoomScale="55" zoomScaleNormal="55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125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>
        <x:v>550</x:v>
      </x:c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>
        <x:v>250</x:v>
      </x:c>
      <x:c r="I6" s="106"/>
      <x:c r="J6" s="107">
        <x:v>1000</x:v>
      </x:c>
      <x:c r="K6" s="107"/>
      <x:c r="L6" s="41"/>
      <x:c r="M6" s="42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>
        <x:v>1000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>
        <x:v>500</x:v>
      </x:c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>
        <x:v>1700</x:v>
      </x:c>
      <x:c r="I9" s="106"/>
      <x:c r="J9" s="107"/>
      <x:c r="K9" s="107"/>
      <x:c r="L9" s="41"/>
      <x:c r="M9" s="42"/>
      <x:c r="N9" s="94">
        <x:f t="shared" si="0"/>
        <x:v>0</x:v>
      </x:c>
      <x:c r="O9" s="43">
        <x:f t="shared" si="1"/>
        <x:v>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>
        <x:v>1450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>
        <x:v>800</x:v>
      </x:c>
      <x:c r="I11" s="106"/>
      <x:c r="J11" s="114">
        <x:v>1000</x:v>
      </x:c>
      <x:c r="K11" s="114"/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>
        <x:v>1500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/>
      <x:c r="I15" s="106"/>
      <x:c r="J15" s="107"/>
      <x:c r="K15" s="107">
        <x:v>1000</x:v>
      </x:c>
      <x:c r="L15" s="41"/>
      <x:c r="M15" s="42"/>
      <x:c r="N15" s="94">
        <x:f t="shared" si="0"/>
        <x:v>1000</x:v>
      </x:c>
      <x:c r="O15" s="43">
        <x:f t="shared" si="1"/>
        <x:v>18000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>
        <x:v>1000</x:v>
      </x:c>
      <x:c r="I16" s="106"/>
      <x:c r="J16" s="107"/>
      <x:c r="K16" s="107">
        <x:v>500</x:v>
      </x:c>
      <x:c r="L16" s="41"/>
      <x:c r="M16" s="42"/>
      <x:c r="N16" s="94">
        <x:f t="shared" si="0"/>
        <x:v>500</x:v>
      </x:c>
      <x:c r="O16" s="43">
        <x:f t="shared" si="1"/>
        <x:v>3450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>
        <x:v>400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>
        <x:v>1000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>
        <x:v>400</x:v>
      </x:c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>
        <x:v>200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>
        <x:v>6400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>
        <x:v>1</x:v>
      </x:c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>
        <x:v>1</x:v>
      </x:c>
      <x:c r="I31" s="106"/>
      <x:c r="J31" s="107"/>
      <x:c r="K31" s="107">
        <x:v>2</x:v>
      </x:c>
      <x:c r="L31" s="41"/>
      <x:c r="M31" s="42"/>
      <x:c r="N31" s="94">
        <x:f t="shared" si="0"/>
        <x:v>2</x:v>
      </x:c>
      <x:c r="O31" s="43">
        <x:f t="shared" si="1"/>
        <x:v>5600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>
        <x:v>16</x:v>
      </x:c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>
        <x:v>5</x:v>
      </x:c>
      <x:c r="I33" s="106">
        <x:v>5</x:v>
      </x:c>
      <x:c r="J33" s="114">
        <x:v>3</x:v>
      </x:c>
      <x:c r="K33" s="114">
        <x:v>2</x:v>
      </x:c>
      <x:c r="L33" s="75"/>
      <x:c r="M33" s="76"/>
      <x:c r="N33" s="94">
        <x:f t="shared" si="0"/>
        <x:v>10</x:v>
      </x:c>
      <x:c r="O33" s="43">
        <x:f t="shared" si="1"/>
        <x:v>72000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>
        <x:v>4</x:v>
      </x:c>
      <x:c r="I34" s="106"/>
      <x:c r="J34" s="114">
        <x:v>3</x:v>
      </x:c>
      <x:c r="K34" s="114">
        <x:v>4</x:v>
      </x:c>
      <x:c r="L34" s="75"/>
      <x:c r="M34" s="76"/>
      <x:c r="N34" s="94">
        <x:f t="shared" si="0"/>
        <x:v>7</x:v>
      </x:c>
      <x:c r="O34" s="43">
        <x:f t="shared" si="1"/>
        <x:v>9450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>
        <x:v>1</x:v>
      </x:c>
      <x:c r="I35" s="106">
        <x:v>1</x:v>
      </x:c>
      <x:c r="J35" s="107">
        <x:v>1</x:v>
      </x:c>
      <x:c r="K35" s="107">
        <x:v>3</x:v>
      </x:c>
      <x:c r="L35" s="41"/>
      <x:c r="M35" s="42"/>
      <x:c r="N35" s="94">
        <x:f t="shared" si="0"/>
        <x:v>5</x:v>
      </x:c>
      <x:c r="O35" s="43">
        <x:f t="shared" si="1"/>
        <x:v>34350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29">
        <x:v>1</x:v>
      </x:c>
      <x:c r="I36" s="103"/>
      <x:c r="J36" s="104">
        <x:v>1</x:v>
      </x:c>
      <x:c r="K36" s="104"/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/>
      <x:c r="I37" s="100"/>
      <x:c r="J37" s="101"/>
      <x:c r="K37" s="101"/>
      <x:c r="L37" s="21"/>
      <x:c r="M37" s="22"/>
      <x:c r="N37" s="93">
        <x:f t="shared" si="0"/>
        <x:v>0</x:v>
      </x:c>
      <x:c r="O37" s="23">
        <x:f t="shared" si="1"/>
        <x:v>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>
        <x:v>2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>
        <x:v>1</x:v>
      </x:c>
      <x:c r="I40" s="106">
        <x:v>1</x:v>
      </x:c>
      <x:c r="J40" s="107">
        <x:v>1</x:v>
      </x:c>
      <x:c r="K40" s="107">
        <x:v>2</x:v>
      </x:c>
      <x:c r="L40" s="41"/>
      <x:c r="M40" s="42"/>
      <x:c r="N40" s="94">
        <x:f t="shared" si="0"/>
        <x:v>4</x:v>
      </x:c>
      <x:c r="O40" s="43">
        <x:f t="shared" si="1"/>
        <x:v>24800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>
        <x:v>2</x:v>
      </x:c>
      <x:c r="I41" s="106"/>
      <x:c r="J41" s="107"/>
      <x:c r="K41" s="107"/>
      <x:c r="L41" s="41"/>
      <x:c r="M41" s="42"/>
      <x:c r="N41" s="94">
        <x:f t="shared" si="0"/>
        <x:v>0</x:v>
      </x:c>
      <x:c r="O41" s="43">
        <x:f t="shared" si="1"/>
        <x:v>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>
        <x:v>1</x:v>
      </x:c>
      <x:c r="I42" s="106">
        <x:v>1</x:v>
      </x:c>
      <x:c r="J42" s="107"/>
      <x:c r="K42" s="107"/>
      <x:c r="L42" s="41"/>
      <x:c r="M42" s="42"/>
      <x:c r="N42" s="94">
        <x:f t="shared" si="0"/>
        <x:v>1</x:v>
      </x:c>
      <x:c r="O42" s="43">
        <x:f t="shared" si="1"/>
        <x:v>7250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>
        <x:v>0</x:v>
      </x:c>
      <x:c r="I44" s="106">
        <x:v>1</x:v>
      </x:c>
      <x:c r="J44" s="107"/>
      <x:c r="K44" s="107"/>
      <x:c r="L44" s="41"/>
      <x:c r="M44" s="42"/>
      <x:c r="N44" s="94">
        <x:f t="shared" si="0"/>
        <x:v>1</x:v>
      </x:c>
      <x:c r="O44" s="43">
        <x:f t="shared" si="1"/>
        <x:v>6600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>
        <x:v>2</x:v>
      </x:c>
      <x:c r="I45" s="106"/>
      <x:c r="J45" s="107"/>
      <x:c r="K45" s="107"/>
      <x:c r="L45" s="41"/>
      <x:c r="M45" s="42"/>
      <x:c r="N45" s="94">
        <x:f t="shared" si="0"/>
        <x:v>0</x:v>
      </x:c>
      <x:c r="O45" s="43">
        <x:f t="shared" si="1"/>
        <x:v>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>
        <x:v>0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>
        <x:v>2</x:v>
      </x:c>
      <x:c r="I47" s="106"/>
      <x:c r="J47" s="107">
        <x:v>1</x:v>
      </x:c>
      <x:c r="K47" s="107"/>
      <x:c r="L47" s="41"/>
      <x:c r="M47" s="42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>
        <x:v>1</x:v>
      </x:c>
      <x:c r="I48" s="106"/>
      <x:c r="J48" s="104"/>
      <x:c r="K48" s="104">
        <x:v>2</x:v>
      </x:c>
      <x:c r="L48" s="31"/>
      <x:c r="M48" s="32"/>
      <x:c r="N48" s="95">
        <x:f t="shared" si="0"/>
        <x:v>2</x:v>
      </x:c>
      <x:c r="O48" s="50">
        <x:f t="shared" si="1"/>
        <x:v>13400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>
        <x:v>1</x:v>
      </x:c>
      <x:c r="I49" s="109">
        <x:v>1</x:v>
      </x:c>
      <x:c r="J49" s="101"/>
      <x:c r="K49" s="101"/>
      <x:c r="L49" s="21"/>
      <x:c r="M49" s="22"/>
      <x:c r="N49" s="93">
        <x:f t="shared" si="0"/>
        <x:v>1</x:v>
      </x:c>
      <x:c r="O49" s="99">
        <x:f t="shared" si="1"/>
        <x:v>6900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>
        <x:v>1</x:v>
      </x:c>
      <x:c r="I50" s="106">
        <x:v>1</x:v>
      </x:c>
      <x:c r="J50" s="107"/>
      <x:c r="K50" s="107"/>
      <x:c r="L50" s="41"/>
      <x:c r="M50" s="42"/>
      <x:c r="N50" s="94">
        <x:f t="shared" si="0"/>
        <x:v>1</x:v>
      </x:c>
      <x:c r="O50" s="43">
        <x:f t="shared" si="1"/>
        <x:v>6900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>
        <x:v>2</x:v>
      </x:c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>
        <x:v>3</x:v>
      </x:c>
      <x:c r="I52" s="106"/>
      <x:c r="J52" s="107"/>
      <x:c r="K52" s="107">
        <x:v>2</x:v>
      </x:c>
      <x:c r="L52" s="41"/>
      <x:c r="M52" s="42"/>
      <x:c r="N52" s="94">
        <x:f t="shared" si="0"/>
        <x:v>2</x:v>
      </x:c>
      <x:c r="O52" s="43">
        <x:f t="shared" si="1"/>
        <x:v>30000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>
        <x:v>1</x:v>
      </x:c>
      <x:c r="I53" s="106">
        <x:v>1</x:v>
      </x:c>
      <x:c r="J53" s="107"/>
      <x:c r="K53" s="107">
        <x:v>2</x:v>
      </x:c>
      <x:c r="L53" s="41"/>
      <x:c r="M53" s="42"/>
      <x:c r="N53" s="94">
        <x:f t="shared" si="0"/>
        <x:v>3</x:v>
      </x:c>
      <x:c r="O53" s="43">
        <x:f t="shared" si="1"/>
        <x:v>15900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>
        <x:v>1</x:v>
      </x:c>
      <x:c r="I54" s="106">
        <x:v>1</x:v>
      </x:c>
      <x:c r="J54" s="107">
        <x:v>1</x:v>
      </x:c>
      <x:c r="K54" s="107"/>
      <x:c r="L54" s="41"/>
      <x:c r="M54" s="42"/>
      <x:c r="N54" s="94">
        <x:f t="shared" si="0"/>
        <x:v>2</x:v>
      </x:c>
      <x:c r="O54" s="43">
        <x:f t="shared" si="1"/>
        <x:v>13200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>
        <x:v>2</x:v>
      </x:c>
      <x:c r="I55" s="106"/>
      <x:c r="J55" s="107"/>
      <x:c r="K55" s="107"/>
      <x:c r="L55" s="41"/>
      <x:c r="M55" s="42"/>
      <x:c r="N55" s="94">
        <x:f t="shared" si="0"/>
        <x:v>0</x:v>
      </x:c>
      <x:c r="O55" s="43">
        <x:f t="shared" si="1"/>
        <x:v>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/>
      <x:c r="I56" s="106"/>
      <x:c r="J56" s="107"/>
      <x:c r="K56" s="107"/>
      <x:c r="L56" s="41"/>
      <x:c r="M56" s="42"/>
      <x:c r="N56" s="94">
        <x:f t="shared" si="0"/>
        <x:v>0</x:v>
      </x:c>
      <x:c r="O56" s="43">
        <x:f t="shared" si="1"/>
        <x:v>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>
        <x:v>1</x:v>
      </x:c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/>
      <x:c r="I58" s="106"/>
      <x:c r="J58" s="104">
        <x:v>1</x:v>
      </x:c>
      <x:c r="K58" s="104">
        <x:v>2</x:v>
      </x:c>
      <x:c r="L58" s="31"/>
      <x:c r="M58" s="32"/>
      <x:c r="N58" s="96">
        <x:f t="shared" si="0"/>
        <x:v>3</x:v>
      </x:c>
      <x:c r="O58" s="33">
        <x:f t="shared" si="1"/>
        <x:v>45900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>
        <x:v>5</x:v>
      </x:c>
      <x:c r="I59" s="109">
        <x:v>5</x:v>
      </x:c>
      <x:c r="J59" s="101">
        <x:v>6</x:v>
      </x:c>
      <x:c r="K59" s="101">
        <x:v>5</x:v>
      </x:c>
      <x:c r="L59" s="21"/>
      <x:c r="M59" s="22"/>
      <x:c r="N59" s="93">
        <x:f t="shared" si="0"/>
        <x:v>16</x:v>
      </x:c>
      <x:c r="O59" s="23">
        <x:f t="shared" si="1"/>
        <x:v>176000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/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9">
        <x:v>0.5</x:v>
      </x:c>
      <x:c r="I61" s="100"/>
      <x:c r="J61" s="101"/>
      <x:c r="K61" s="101"/>
      <x:c r="L61" s="21"/>
      <x:c r="M61" s="22"/>
      <x:c r="N61" s="97">
        <x:f t="shared" si="0"/>
        <x:v>0</x:v>
      </x:c>
      <x:c r="O61" s="99">
        <x:f t="shared" si="1"/>
        <x:v>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39">
        <x:v>0.5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39">
        <x:v>0.5</x:v>
      </x:c>
      <x:c r="I63" s="106"/>
      <x:c r="J63" s="107">
        <x:v>1</x:v>
      </x:c>
      <x:c r="K63" s="107"/>
      <x:c r="L63" s="41"/>
      <x:c r="M63" s="42"/>
      <x:c r="N63" s="94">
        <x:f t="shared" si="0"/>
        <x:v>1</x:v>
      </x:c>
      <x:c r="O63" s="43">
        <x:f t="shared" si="1"/>
        <x:v>4000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59">
        <x:v>0.5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17210</x:v>
      </x:c>
      <x:c r="I65" s="64">
        <x:f t="shared" si="2"/>
        <x:v>18</x:v>
      </x:c>
      <x:c r="J65" s="64">
        <x:f t="shared" si="2"/>
        <x:v>2019</x:v>
      </x:c>
      <x:c r="K65" s="64">
        <x:f t="shared" si="2"/>
        <x:v>1526</x:v>
      </x:c>
      <x:c r="L65" s="64">
        <x:f t="shared" si="2"/>
        <x:v>0</x:v>
      </x:c>
      <x:c r="M65" s="113">
        <x:f t="shared" si="2"/>
        <x:v>0</x:v>
      </x:c>
      <x:c r="N65" s="92">
        <x:f t="shared" si="2"/>
        <x:v>3563</x:v>
      </x:c>
      <x:c r="O65" s="98">
        <x:f t="shared" si="2"/>
        <x:v>566570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ffe699"/>
  </x:sheetPr>
  <x:dimension ref="A1:O65"/>
  <x:sheetViews>
    <x:sheetView topLeftCell="A1" zoomScale="85" zoomScaleNormal="85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15" width="11.625" style="1" customWidth="1"/>
  </x:cols>
  <x:sheetData>
    <x:row r="1" spans="1:15">
      <x:c r="A1" s="206" t="s">
        <x:v>122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9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9"/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39">
        <x:v>1800</x:v>
      </x:c>
      <x:c r="I6" s="106"/>
      <x:c r="J6" s="107"/>
      <x:c r="K6" s="107">
        <x:v>1000</x:v>
      </x:c>
      <x:c r="L6" s="41"/>
      <x:c r="M6" s="42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39">
        <x:v>1550</x:v>
      </x:c>
      <x:c r="I7" s="106"/>
      <x:c r="J7" s="107"/>
      <x:c r="K7" s="107">
        <x:v>1000</x:v>
      </x:c>
      <x:c r="L7" s="41"/>
      <x:c r="M7" s="42"/>
      <x:c r="N7" s="94">
        <x:f t="shared" si="0"/>
        <x:v>1000</x:v>
      </x:c>
      <x:c r="O7" s="43">
        <x:f t="shared" si="1"/>
        <x:v>20000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74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39">
        <x:v>1800</x:v>
      </x:c>
      <x:c r="I9" s="106"/>
      <x:c r="J9" s="107"/>
      <x:c r="K9" s="107">
        <x:v>1000</x:v>
      </x:c>
      <x:c r="L9" s="41"/>
      <x:c r="M9" s="42"/>
      <x:c r="N9" s="94">
        <x:f t="shared" si="0"/>
        <x:v>1000</x:v>
      </x:c>
      <x:c r="O9" s="43">
        <x:f t="shared" si="1"/>
        <x:v>53000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39">
        <x:v>950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74">
        <x:v>1800</x:v>
      </x:c>
      <x:c r="I11" s="106"/>
      <x:c r="J11" s="114"/>
      <x:c r="K11" s="114">
        <x:v>1000</x:v>
      </x:c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 t="s">
        <x:v>129</x:v>
      </x:c>
      <x:c r="E12" s="65">
        <x:v>20</x:v>
      </x:c>
      <x:c r="F12" s="37">
        <x:v>1000</x:v>
      </x:c>
      <x:c r="G12" s="38">
        <x:v>20000</x:v>
      </x:c>
      <x:c r="H12" s="39">
        <x:v>700</x:v>
      </x:c>
      <x:c r="I12" s="106"/>
      <x:c r="J12" s="107"/>
      <x:c r="K12" s="107"/>
      <x:c r="L12" s="41"/>
      <x:c r="M12" s="42"/>
      <x:c r="N12" s="94">
        <x:f t="shared" si="0"/>
        <x:v>0</x:v>
      </x:c>
      <x:c r="O12" s="43">
        <x:f t="shared" si="1"/>
        <x:v>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39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39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39">
        <x:v>1000</x:v>
      </x:c>
      <x:c r="I15" s="106">
        <x:v>1000</x:v>
      </x:c>
      <x:c r="J15" s="107">
        <x:v>1000</x:v>
      </x:c>
      <x:c r="K15" s="107">
        <x:v>2000</x:v>
      </x:c>
      <x:c r="L15" s="41"/>
      <x:c r="M15" s="42"/>
      <x:c r="N15" s="94">
        <x:f t="shared" si="0"/>
        <x:v>4000</x:v>
      </x:c>
      <x:c r="O15" s="43">
        <x:f t="shared" si="1"/>
        <x:v>72000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39">
        <x:v>2000</x:v>
      </x:c>
      <x:c r="I16" s="106"/>
      <x:c r="J16" s="107"/>
      <x:c r="K16" s="107">
        <x:v>1500</x:v>
      </x:c>
      <x:c r="L16" s="41"/>
      <x:c r="M16" s="42"/>
      <x:c r="N16" s="94">
        <x:f t="shared" si="0"/>
        <x:v>1500</x:v>
      </x:c>
      <x:c r="O16" s="43">
        <x:f t="shared" si="1"/>
        <x:v>10350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74">
        <x:v>600</x:v>
      </x:c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39">
        <x:v>1000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39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74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39"/>
      <x:c r="I21" s="106">
        <x:v>400</x:v>
      </x:c>
      <x:c r="J21" s="107"/>
      <x:c r="K21" s="107"/>
      <x:c r="L21" s="41"/>
      <x:c r="M21" s="42"/>
      <x:c r="N21" s="94">
        <x:f t="shared" si="0"/>
        <x:v>400</x:v>
      </x:c>
      <x:c r="O21" s="43">
        <x:f t="shared" si="1"/>
        <x:v>9125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39">
        <x:v>300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74">
        <x:v>4800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39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39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39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39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74">
        <x:v>19</x:v>
      </x:c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39">
        <x:v>10</x:v>
      </x:c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39">
        <x:v>7</x:v>
      </x:c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39">
        <x:v>1</x:v>
      </x:c>
      <x:c r="I31" s="106"/>
      <x:c r="J31" s="107">
        <x:v>2</x:v>
      </x:c>
      <x:c r="K31" s="107"/>
      <x:c r="L31" s="41"/>
      <x:c r="M31" s="42"/>
      <x:c r="N31" s="94">
        <x:f t="shared" si="0"/>
        <x:v>2</x:v>
      </x:c>
      <x:c r="O31" s="43">
        <x:f t="shared" si="1"/>
        <x:v>5600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74">
        <x:v>15</x:v>
      </x:c>
      <x:c r="I32" s="106">
        <x:v>20</x:v>
      </x:c>
      <x:c r="J32" s="114">
        <x:v>20</x:v>
      </x:c>
      <x:c r="K32" s="114"/>
      <x:c r="L32" s="75"/>
      <x:c r="M32" s="76"/>
      <x:c r="N32" s="94">
        <x:f t="shared" si="0"/>
        <x:v>40</x:v>
      </x:c>
      <x:c r="O32" s="43">
        <x:f t="shared" si="1"/>
        <x:v>16400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74">
        <x:v>16</x:v>
      </x:c>
      <x:c r="I33" s="106">
        <x:v>15</x:v>
      </x:c>
      <x:c r="J33" s="114"/>
      <x:c r="K33" s="114"/>
      <x:c r="L33" s="75"/>
      <x:c r="M33" s="76"/>
      <x:c r="N33" s="94">
        <x:f t="shared" si="0"/>
        <x:v>15</x:v>
      </x:c>
      <x:c r="O33" s="43">
        <x:f t="shared" si="1"/>
        <x:v>108000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74">
        <x:v>7</x:v>
      </x:c>
      <x:c r="I34" s="106">
        <x:v>5</x:v>
      </x:c>
      <x:c r="J34" s="114"/>
      <x:c r="K34" s="114">
        <x:v>5</x:v>
      </x:c>
      <x:c r="L34" s="75"/>
      <x:c r="M34" s="76"/>
      <x:c r="N34" s="94">
        <x:f t="shared" si="0"/>
        <x:v>10</x:v>
      </x:c>
      <x:c r="O34" s="43">
        <x:f t="shared" si="1"/>
        <x:v>13500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39">
        <x:v>5</x:v>
      </x:c>
      <x:c r="I35" s="106">
        <x:v>6</x:v>
      </x:c>
      <x:c r="J35" s="107"/>
      <x:c r="K35" s="107">
        <x:v>7</x:v>
      </x:c>
      <x:c r="L35" s="41"/>
      <x:c r="M35" s="42"/>
      <x:c r="N35" s="94">
        <x:f t="shared" si="0"/>
        <x:v>13</x:v>
      </x:c>
      <x:c r="O35" s="43">
        <x:f t="shared" si="1"/>
        <x:v>89310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29">
        <x:v>2</x:v>
      </x:c>
      <x:c r="I36" s="103">
        <x:v>1</x:v>
      </x:c>
      <x:c r="J36" s="104">
        <x:v>1</x:v>
      </x:c>
      <x:c r="K36" s="104"/>
      <x:c r="L36" s="31"/>
      <x:c r="M36" s="32"/>
      <x:c r="N36" s="95">
        <x:f t="shared" si="0"/>
        <x:v>2</x:v>
      </x:c>
      <x:c r="O36" s="33">
        <x:f t="shared" si="1"/>
        <x:v>13740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9">
        <x:v>300</x:v>
      </x:c>
      <x:c r="I37" s="100">
        <x:v>100</x:v>
      </x:c>
      <x:c r="J37" s="101"/>
      <x:c r="K37" s="101"/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29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9">
        <x:v>1</x:v>
      </x:c>
      <x:c r="I39" s="100">
        <x:v>2</x:v>
      </x:c>
      <x:c r="J39" s="101"/>
      <x:c r="K39" s="101">
        <x:v>2</x:v>
      </x:c>
      <x:c r="L39" s="21"/>
      <x:c r="M39" s="22"/>
      <x:c r="N39" s="97">
        <x:f t="shared" si="0"/>
        <x:v>4</x:v>
      </x:c>
      <x:c r="O39" s="23">
        <x:f t="shared" si="1"/>
        <x:v>30800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39">
        <x:v>2</x:v>
      </x:c>
      <x:c r="I40" s="106">
        <x:v>4</x:v>
      </x:c>
      <x:c r="J40" s="107"/>
      <x:c r="K40" s="107">
        <x:v>2</x:v>
      </x:c>
      <x:c r="L40" s="41"/>
      <x:c r="M40" s="42"/>
      <x:c r="N40" s="94">
        <x:f t="shared" si="0"/>
        <x:v>6</x:v>
      </x:c>
      <x:c r="O40" s="43">
        <x:f t="shared" si="1"/>
        <x:v>37200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39">
        <x:v>4</x:v>
      </x:c>
      <x:c r="I41" s="106"/>
      <x:c r="J41" s="107">
        <x:v>2</x:v>
      </x:c>
      <x:c r="K41" s="107">
        <x:v>2</x:v>
      </x:c>
      <x:c r="L41" s="41"/>
      <x:c r="M41" s="42"/>
      <x:c r="N41" s="94">
        <x:f t="shared" si="0"/>
        <x:v>4</x:v>
      </x:c>
      <x:c r="O41" s="43">
        <x:f t="shared" si="1"/>
        <x:v>26800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39">
        <x:v>4</x:v>
      </x:c>
      <x:c r="I42" s="106"/>
      <x:c r="J42" s="107"/>
      <x:c r="K42" s="107">
        <x:v>3</x:v>
      </x:c>
      <x:c r="L42" s="41"/>
      <x:c r="M42" s="42"/>
      <x:c r="N42" s="94">
        <x:f t="shared" si="0"/>
        <x:v>3</x:v>
      </x:c>
      <x:c r="O42" s="43">
        <x:f t="shared" si="1"/>
        <x:v>21750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39">
        <x:v>1</x:v>
      </x:c>
      <x:c r="I43" s="106">
        <x:v>1</x:v>
      </x:c>
      <x:c r="J43" s="107"/>
      <x:c r="K43" s="107">
        <x:v>1</x:v>
      </x:c>
      <x:c r="L43" s="41"/>
      <x:c r="M43" s="42"/>
      <x:c r="N43" s="94">
        <x:f t="shared" si="0"/>
        <x:v>2</x:v>
      </x:c>
      <x:c r="O43" s="43">
        <x:f t="shared" si="1"/>
        <x:v>10600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39">
        <x:v>1</x:v>
      </x:c>
      <x:c r="I44" s="106">
        <x:v>1</x:v>
      </x:c>
      <x:c r="J44" s="107"/>
      <x:c r="K44" s="107">
        <x:v>1</x:v>
      </x:c>
      <x:c r="L44" s="41"/>
      <x:c r="M44" s="42"/>
      <x:c r="N44" s="94">
        <x:f t="shared" si="0"/>
        <x:v>2</x:v>
      </x:c>
      <x:c r="O44" s="43">
        <x:f t="shared" si="1"/>
        <x:v>13200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39">
        <x:v>1</x:v>
      </x:c>
      <x:c r="I45" s="106">
        <x:v>2</x:v>
      </x:c>
      <x:c r="J45" s="107"/>
      <x:c r="K45" s="107">
        <x:v>2</x:v>
      </x:c>
      <x:c r="L45" s="41"/>
      <x:c r="M45" s="42"/>
      <x:c r="N45" s="94">
        <x:f t="shared" si="0"/>
        <x:v>4</x:v>
      </x:c>
      <x:c r="O45" s="43">
        <x:f t="shared" si="1"/>
        <x:v>58000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39">
        <x:v>2</x:v>
      </x:c>
      <x:c r="I46" s="106"/>
      <x:c r="J46" s="107"/>
      <x:c r="K46" s="107"/>
      <x:c r="L46" s="41"/>
      <x:c r="M46" s="42"/>
      <x:c r="N46" s="94">
        <x:f t="shared" si="0"/>
        <x:v>0</x:v>
      </x:c>
      <x:c r="O46" s="43">
        <x:f t="shared" si="1"/>
        <x:v>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39">
        <x:v>2</x:v>
      </x:c>
      <x:c r="I47" s="106">
        <x:v>2</x:v>
      </x:c>
      <x:c r="J47" s="107"/>
      <x:c r="K47" s="107">
        <x:v>3</x:v>
      </x:c>
      <x:c r="L47" s="41"/>
      <x:c r="M47" s="42"/>
      <x:c r="N47" s="94">
        <x:f t="shared" si="0"/>
        <x:v>5</x:v>
      </x:c>
      <x:c r="O47" s="43">
        <x:f t="shared" si="1"/>
        <x:v>22500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29">
        <x:v>1</x:v>
      </x:c>
      <x:c r="I48" s="106">
        <x:v>2</x:v>
      </x:c>
      <x:c r="J48" s="104">
        <x:v>1</x:v>
      </x:c>
      <x:c r="K48" s="104">
        <x:v>1</x:v>
      </x:c>
      <x:c r="L48" s="31"/>
      <x:c r="M48" s="32"/>
      <x:c r="N48" s="95">
        <x:f t="shared" si="0"/>
        <x:v>4</x:v>
      </x:c>
      <x:c r="O48" s="50">
        <x:f t="shared" si="1"/>
        <x:v>26800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9">
        <x:v>1</x:v>
      </x:c>
      <x:c r="I49" s="109">
        <x:v>1</x:v>
      </x:c>
      <x:c r="J49" s="101"/>
      <x:c r="K49" s="101">
        <x:v>1</x:v>
      </x:c>
      <x:c r="L49" s="21"/>
      <x:c r="M49" s="22"/>
      <x:c r="N49" s="93">
        <x:f t="shared" si="0"/>
        <x:v>2</x:v>
      </x:c>
      <x:c r="O49" s="99">
        <x:f t="shared" si="1"/>
        <x:v>13800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39">
        <x:v>2</x:v>
      </x:c>
      <x:c r="I50" s="106"/>
      <x:c r="J50" s="107"/>
      <x:c r="K50" s="107">
        <x:v>1</x:v>
      </x:c>
      <x:c r="L50" s="41"/>
      <x:c r="M50" s="42"/>
      <x:c r="N50" s="94">
        <x:f t="shared" si="0"/>
        <x:v>1</x:v>
      </x:c>
      <x:c r="O50" s="43">
        <x:f t="shared" si="1"/>
        <x:v>6900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39">
        <x:v>1</x:v>
      </x:c>
      <x:c r="I51" s="106">
        <x:v>1</x:v>
      </x:c>
      <x:c r="J51" s="107"/>
      <x:c r="K51" s="107">
        <x:v>1</x:v>
      </x:c>
      <x:c r="L51" s="41"/>
      <x:c r="M51" s="42"/>
      <x:c r="N51" s="94">
        <x:f t="shared" si="0"/>
        <x:v>2</x:v>
      </x:c>
      <x:c r="O51" s="43">
        <x:f t="shared" si="1"/>
        <x:v>13600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39">
        <x:v>2</x:v>
      </x:c>
      <x:c r="I52" s="106">
        <x:v>3</x:v>
      </x:c>
      <x:c r="J52" s="107"/>
      <x:c r="K52" s="107">
        <x:v>2</x:v>
      </x:c>
      <x:c r="L52" s="41"/>
      <x:c r="M52" s="42"/>
      <x:c r="N52" s="94">
        <x:f t="shared" si="0"/>
        <x:v>5</x:v>
      </x:c>
      <x:c r="O52" s="43">
        <x:f t="shared" si="1"/>
        <x:v>75000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39">
        <x:v>3</x:v>
      </x:c>
      <x:c r="I53" s="106">
        <x:v>5</x:v>
      </x:c>
      <x:c r="J53" s="107">
        <x:v>2</x:v>
      </x:c>
      <x:c r="K53" s="107">
        <x:v>3</x:v>
      </x:c>
      <x:c r="L53" s="41"/>
      <x:c r="M53" s="42"/>
      <x:c r="N53" s="94">
        <x:f t="shared" si="0"/>
        <x:v>10</x:v>
      </x:c>
      <x:c r="O53" s="43">
        <x:f t="shared" si="1"/>
        <x:v>53000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39">
        <x:v>3</x:v>
      </x:c>
      <x:c r="I54" s="106">
        <x:v>2</x:v>
      </x:c>
      <x:c r="J54" s="107">
        <x:v>2</x:v>
      </x:c>
      <x:c r="K54" s="107">
        <x:v>2</x:v>
      </x:c>
      <x:c r="L54" s="41"/>
      <x:c r="M54" s="42"/>
      <x:c r="N54" s="94">
        <x:f t="shared" si="0"/>
        <x:v>6</x:v>
      </x:c>
      <x:c r="O54" s="43">
        <x:f t="shared" si="1"/>
        <x:v>39600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39">
        <x:v>1</x:v>
      </x:c>
      <x:c r="I55" s="106">
        <x:v>4</x:v>
      </x:c>
      <x:c r="J55" s="107">
        <x:v>2</x:v>
      </x:c>
      <x:c r="K55" s="107">
        <x:v>3</x:v>
      </x:c>
      <x:c r="L55" s="41"/>
      <x:c r="M55" s="42"/>
      <x:c r="N55" s="94">
        <x:f t="shared" si="0"/>
        <x:v>9</x:v>
      </x:c>
      <x:c r="O55" s="43">
        <x:f t="shared" si="1"/>
        <x:v>50400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39">
        <x:v>1</x:v>
      </x:c>
      <x:c r="I56" s="106"/>
      <x:c r="J56" s="107">
        <x:v>2</x:v>
      </x:c>
      <x:c r="K56" s="107"/>
      <x:c r="L56" s="41"/>
      <x:c r="M56" s="42"/>
      <x:c r="N56" s="94">
        <x:f t="shared" si="0"/>
        <x:v>2</x:v>
      </x:c>
      <x:c r="O56" s="43">
        <x:f t="shared" si="1"/>
        <x:v>28200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39"/>
      <x:c r="I57" s="106">
        <x:v>1</x:v>
      </x:c>
      <x:c r="J57" s="107"/>
      <x:c r="K57" s="107">
        <x:v>1</x:v>
      </x:c>
      <x:c r="L57" s="41"/>
      <x:c r="M57" s="42"/>
      <x:c r="N57" s="94">
        <x:f t="shared" si="0"/>
        <x:v>2</x:v>
      </x:c>
      <x:c r="O57" s="43">
        <x:f t="shared" si="1"/>
        <x:v>30200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29">
        <x:v>2</x:v>
      </x:c>
      <x:c r="I58" s="106"/>
      <x:c r="J58" s="104">
        <x:v>1</x:v>
      </x:c>
      <x:c r="K58" s="104">
        <x:v>2</x:v>
      </x:c>
      <x:c r="L58" s="31"/>
      <x:c r="M58" s="32"/>
      <x:c r="N58" s="96">
        <x:f t="shared" si="0"/>
        <x:v>3</x:v>
      </x:c>
      <x:c r="O58" s="33">
        <x:f t="shared" si="1"/>
        <x:v>45900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9">
        <x:v>24</x:v>
      </x:c>
      <x:c r="I59" s="109">
        <x:v>17</x:v>
      </x:c>
      <x:c r="J59" s="101">
        <x:v>5</x:v>
      </x:c>
      <x:c r="K59" s="101">
        <x:v>17</x:v>
      </x:c>
      <x:c r="L59" s="21"/>
      <x:c r="M59" s="22"/>
      <x:c r="N59" s="93">
        <x:f t="shared" si="0"/>
        <x:v>39</x:v>
      </x:c>
      <x:c r="O59" s="23">
        <x:f t="shared" si="1"/>
        <x:v>429000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59"/>
      <x:c r="I60" s="116">
        <x:v>2</x:v>
      </x:c>
      <x:c r="J60" s="111"/>
      <x:c r="K60" s="111"/>
      <x:c r="L60" s="61"/>
      <x:c r="M60" s="62"/>
      <x:c r="N60" s="96">
        <x:f t="shared" si="0"/>
        <x:v>2</x:v>
      </x:c>
      <x:c r="O60" s="50">
        <x:f t="shared" si="1"/>
        <x:v>38000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9"/>
      <x:c r="I61" s="100">
        <x:v>1</x:v>
      </x:c>
      <x:c r="J61" s="101">
        <x:v>1</x:v>
      </x:c>
      <x:c r="K61" s="101"/>
      <x:c r="L61" s="21"/>
      <x:c r="M61" s="22"/>
      <x:c r="N61" s="97">
        <x:f t="shared" si="0"/>
        <x:v>2</x:v>
      </x:c>
      <x:c r="O61" s="99">
        <x:f t="shared" si="1"/>
        <x:v>8000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39">
        <x:v>1</x:v>
      </x:c>
      <x:c r="I62" s="106"/>
      <x:c r="J62" s="107">
        <x:v>1</x:v>
      </x:c>
      <x:c r="K62" s="107">
        <x:v>1</x:v>
      </x:c>
      <x:c r="L62" s="41"/>
      <x:c r="M62" s="42"/>
      <x:c r="N62" s="94">
        <x:f t="shared" si="0"/>
        <x:v>2</x:v>
      </x:c>
      <x:c r="O62" s="43">
        <x:f t="shared" si="1"/>
        <x:v>8000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39"/>
      <x:c r="I63" s="106">
        <x:v>1</x:v>
      </x:c>
      <x:c r="J63" s="107">
        <x:v>1</x:v>
      </x:c>
      <x:c r="K63" s="107">
        <x:v>1</x:v>
      </x:c>
      <x:c r="L63" s="41"/>
      <x:c r="M63" s="42"/>
      <x:c r="N63" s="94">
        <x:f t="shared" si="0"/>
        <x:v>3</x:v>
      </x:c>
      <x:c r="O63" s="43">
        <x:f t="shared" si="1"/>
        <x:v>12000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59">
        <x:v>2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64">
        <x:f t="shared" si="2"/>
        <x:v>18744</x:v>
      </x:c>
      <x:c r="I65" s="64">
        <x:f t="shared" si="2"/>
        <x:v>1599</x:v>
      </x:c>
      <x:c r="J65" s="64">
        <x:f t="shared" si="2"/>
        <x:v>1043</x:v>
      </x:c>
      <x:c r="K65" s="64">
        <x:f t="shared" si="2"/>
        <x:v>7564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10206</x:v>
      </x:c>
      <x:c r="O65" s="98">
        <x:f t="shared" si="2"/>
        <x:v>1572415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ffe699"/>
  </x:sheetPr>
  <x:dimension ref="A1:O65"/>
  <x:sheetViews>
    <x:sheetView tabSelected="1" topLeftCell="A4" zoomScale="85" zoomScaleNormal="85" zoomScaleSheetLayoutView="75" workbookViewId="0">
      <x:selection activeCell="B14" activeCellId="0" sqref="B14:B15"/>
    </x:sheetView>
  </x:sheetViews>
  <x:sheetFormatPr defaultColWidth="8.66015625" defaultRowHeight="16.399999999999999"/>
  <x:cols>
    <x:col min="1" max="1" width="20.5" style="1" bestFit="1" customWidth="1"/>
    <x:col min="2" max="2" width="24.375" style="1" bestFit="1" customWidth="1"/>
    <x:col min="3" max="3" width="14.875" style="1" bestFit="1" customWidth="1"/>
    <x:col min="4" max="4" width="6" style="1" bestFit="1" customWidth="1"/>
    <x:col min="5" max="6" width="11.625" style="1" customWidth="1"/>
    <x:col min="7" max="7" width="13.25" style="1" customWidth="1"/>
    <x:col min="8" max="8" width="11.625" style="143" customWidth="1"/>
    <x:col min="9" max="15" width="11.625" style="1" customWidth="1"/>
  </x:cols>
  <x:sheetData>
    <x:row r="1" spans="1:15">
      <x:c r="A1" s="206" t="s">
        <x:v>128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206"/>
      <x:c r="O1" s="206"/>
    </x:row>
    <x:row r="2" spans="1:15">
      <x:c r="A2" s="206"/>
      <x:c r="B2" s="206"/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</x:row>
    <x:row r="3" spans="1:15">
      <x:c r="A3" s="2"/>
      <x:c r="B3" s="2"/>
      <x:c r="C3" s="2"/>
      <x:c r="D3" s="2"/>
      <x:c r="E3" s="2"/>
      <x:c r="F3" s="2"/>
      <x:c r="G3" s="2"/>
      <x:c r="H3" s="130"/>
      <x:c r="I3" s="2"/>
      <x:c r="J3" s="2"/>
      <x:c r="K3" s="2"/>
      <x:c r="L3" s="2"/>
      <x:c r="M3" s="2"/>
      <x:c r="N3" s="2"/>
      <x:c r="O3" s="2"/>
    </x:row>
    <x:row r="4" spans="1:15">
      <x:c r="A4" s="5" t="s">
        <x:v>106</x:v>
      </x:c>
      <x:c r="B4" s="6" t="s">
        <x:v>104</x:v>
      </x:c>
      <x:c r="C4" s="6" t="s">
        <x:v>105</x:v>
      </x:c>
      <x:c r="D4" s="6" t="s">
        <x:v>103</x:v>
      </x:c>
      <x:c r="E4" s="7" t="s">
        <x:v>95</x:v>
      </x:c>
      <x:c r="F4" s="8" t="s">
        <x:v>102</x:v>
      </x:c>
      <x:c r="G4" s="8" t="s">
        <x:v>101</x:v>
      </x:c>
      <x:c r="H4" s="132" t="s">
        <x:v>100</x:v>
      </x:c>
      <x:c r="I4" s="10" t="s">
        <x:v>96</x:v>
      </x:c>
      <x:c r="J4" s="11" t="s">
        <x:v>92</x:v>
      </x:c>
      <x:c r="K4" s="11" t="s">
        <x:v>97</x:v>
      </x:c>
      <x:c r="L4" s="12" t="s">
        <x:v>98</x:v>
      </x:c>
      <x:c r="M4" s="11" t="s">
        <x:v>99</x:v>
      </x:c>
      <x:c r="N4" s="13" t="s">
        <x:v>93</x:v>
      </x:c>
      <x:c r="O4" s="14" t="s">
        <x:v>94</x:v>
      </x:c>
    </x:row>
    <x:row r="5" spans="1:15">
      <x:c r="A5" s="210" t="s">
        <x:v>12</x:v>
      </x:c>
      <x:c r="B5" s="68" t="s">
        <x:v>88</x:v>
      </x:c>
      <x:c r="C5" s="15" t="s">
        <x:v>54</x:v>
      </x:c>
      <x:c r="D5" s="15" t="s">
        <x:v>129</x:v>
      </x:c>
      <x:c r="E5" s="16">
        <x:v>37</x:v>
      </x:c>
      <x:c r="F5" s="17">
        <x:v>1000</x:v>
      </x:c>
      <x:c r="G5" s="18">
        <x:v>37000</x:v>
      </x:c>
      <x:c r="H5" s="123"/>
      <x:c r="I5" s="100"/>
      <x:c r="J5" s="101"/>
      <x:c r="K5" s="101"/>
      <x:c r="L5" s="21"/>
      <x:c r="M5" s="22"/>
      <x:c r="N5" s="93">
        <x:f>I5+J5+K5+L5+M5</x:f>
        <x:v>0</x:v>
      </x:c>
      <x:c r="O5" s="23">
        <x:f>E5*N5</x:f>
        <x:v>0</x:v>
      </x:c>
    </x:row>
    <x:row r="6" spans="1:15">
      <x:c r="A6" s="211"/>
      <x:c r="B6" s="35" t="s">
        <x:v>132</x:v>
      </x:c>
      <x:c r="C6" s="35" t="s">
        <x:v>54</x:v>
      </x:c>
      <x:c r="D6" s="35" t="s">
        <x:v>129</x:v>
      </x:c>
      <x:c r="E6" s="36">
        <x:v>43</x:v>
      </x:c>
      <x:c r="F6" s="37">
        <x:v>1000</x:v>
      </x:c>
      <x:c r="G6" s="38">
        <x:v>43000</x:v>
      </x:c>
      <x:c r="H6" s="121">
        <x:v>1000</x:v>
      </x:c>
      <x:c r="I6" s="106"/>
      <x:c r="J6" s="107">
        <x:v>1000</x:v>
      </x:c>
      <x:c r="K6" s="107"/>
      <x:c r="L6" s="41"/>
      <x:c r="M6" s="42"/>
      <x:c r="N6" s="94">
        <x:f t="shared" ref="N6:N64" si="0">I6+J6+K6+L6+M6</x:f>
        <x:v>1000</x:v>
      </x:c>
      <x:c r="O6" s="43">
        <x:f t="shared" ref="O6:O64" si="1">E6*N6</x:f>
        <x:v>43000</x:v>
      </x:c>
    </x:row>
    <x:row r="7" spans="1:15">
      <x:c r="A7" s="211"/>
      <x:c r="B7" s="67" t="s">
        <x:v>77</x:v>
      </x:c>
      <x:c r="C7" s="67" t="s">
        <x:v>54</x:v>
      </x:c>
      <x:c r="D7" s="67" t="s">
        <x:v>129</x:v>
      </x:c>
      <x:c r="E7" s="37">
        <x:v>20</x:v>
      </x:c>
      <x:c r="F7" s="37">
        <x:v>1000</x:v>
      </x:c>
      <x:c r="G7" s="38">
        <x:v>20000</x:v>
      </x:c>
      <x:c r="H7" s="121">
        <x:v>1100</x:v>
      </x:c>
      <x:c r="I7" s="106"/>
      <x:c r="J7" s="107"/>
      <x:c r="K7" s="107"/>
      <x:c r="L7" s="41"/>
      <x:c r="M7" s="42"/>
      <x:c r="N7" s="94">
        <x:f t="shared" si="0"/>
        <x:v>0</x:v>
      </x:c>
      <x:c r="O7" s="43">
        <x:f t="shared" si="1"/>
        <x:v>0</x:v>
      </x:c>
    </x:row>
    <x:row r="8" spans="1:15">
      <x:c r="A8" s="211"/>
      <x:c r="B8" s="69" t="s">
        <x:v>82</x:v>
      </x:c>
      <x:c r="C8" s="70" t="s">
        <x:v>54</x:v>
      </x:c>
      <x:c r="D8" s="70" t="s">
        <x:v>129</x:v>
      </x:c>
      <x:c r="E8" s="71">
        <x:v>42</x:v>
      </x:c>
      <x:c r="F8" s="72">
        <x:v>1000</x:v>
      </x:c>
      <x:c r="G8" s="73">
        <x:v>42000</x:v>
      </x:c>
      <x:c r="H8" s="147"/>
      <x:c r="I8" s="106"/>
      <x:c r="J8" s="114"/>
      <x:c r="K8" s="114"/>
      <x:c r="L8" s="75"/>
      <x:c r="M8" s="76"/>
      <x:c r="N8" s="94">
        <x:f t="shared" si="0"/>
        <x:v>0</x:v>
      </x:c>
      <x:c r="O8" s="43">
        <x:f t="shared" si="1"/>
        <x:v>0</x:v>
      </x:c>
    </x:row>
    <x:row r="9" spans="1:15">
      <x:c r="A9" s="211"/>
      <x:c r="B9" s="67" t="s">
        <x:v>87</x:v>
      </x:c>
      <x:c r="C9" s="35" t="s">
        <x:v>54</x:v>
      </x:c>
      <x:c r="D9" s="35" t="s">
        <x:v>129</x:v>
      </x:c>
      <x:c r="E9" s="65">
        <x:v>53</x:v>
      </x:c>
      <x:c r="F9" s="37">
        <x:v>1000</x:v>
      </x:c>
      <x:c r="G9" s="38">
        <x:v>53000</x:v>
      </x:c>
      <x:c r="H9" s="121">
        <x:v>950</x:v>
      </x:c>
      <x:c r="I9" s="106"/>
      <x:c r="J9" s="107">
        <x:v>1000</x:v>
      </x:c>
      <x:c r="K9" s="107"/>
      <x:c r="L9" s="41"/>
      <x:c r="M9" s="42"/>
      <x:c r="N9" s="94">
        <x:f t="shared" si="0"/>
        <x:v>1000</x:v>
      </x:c>
      <x:c r="O9" s="43">
        <x:f t="shared" si="1"/>
        <x:v>53000</x:v>
      </x:c>
    </x:row>
    <x:row r="10" spans="1:15">
      <x:c r="A10" s="211"/>
      <x:c r="B10" s="67" t="s">
        <x:v>138</x:v>
      </x:c>
      <x:c r="C10" s="67" t="s">
        <x:v>54</x:v>
      </x:c>
      <x:c r="D10" s="67" t="s">
        <x:v>129</x:v>
      </x:c>
      <x:c r="E10" s="85">
        <x:v>65</x:v>
      </x:c>
      <x:c r="F10" s="37">
        <x:v>1000</x:v>
      </x:c>
      <x:c r="G10" s="38">
        <x:v>65000</x:v>
      </x:c>
      <x:c r="H10" s="121">
        <x:v>1100</x:v>
      </x:c>
      <x:c r="I10" s="106"/>
      <x:c r="J10" s="107"/>
      <x:c r="K10" s="107"/>
      <x:c r="L10" s="41"/>
      <x:c r="M10" s="42"/>
      <x:c r="N10" s="94">
        <x:f t="shared" si="0"/>
        <x:v>0</x:v>
      </x:c>
      <x:c r="O10" s="43">
        <x:f t="shared" si="1"/>
        <x:v>0</x:v>
      </x:c>
    </x:row>
    <x:row r="11" spans="1:15">
      <x:c r="A11" s="211"/>
      <x:c r="B11" s="69" t="s">
        <x:v>73</x:v>
      </x:c>
      <x:c r="C11" s="70" t="s">
        <x:v>54</x:v>
      </x:c>
      <x:c r="D11" s="70" t="s">
        <x:v>129</x:v>
      </x:c>
      <x:c r="E11" s="84">
        <x:v>18.5</x:v>
      </x:c>
      <x:c r="F11" s="72">
        <x:v>1000</x:v>
      </x:c>
      <x:c r="G11" s="73">
        <x:v>18500</x:v>
      </x:c>
      <x:c r="H11" s="147">
        <x:v>700</x:v>
      </x:c>
      <x:c r="I11" s="106">
        <x:v>1000</x:v>
      </x:c>
      <x:c r="J11" s="114"/>
      <x:c r="K11" s="114"/>
      <x:c r="L11" s="75"/>
      <x:c r="M11" s="76"/>
      <x:c r="N11" s="94">
        <x:f t="shared" si="0"/>
        <x:v>1000</x:v>
      </x:c>
      <x:c r="O11" s="43">
        <x:f t="shared" si="1"/>
        <x:v>18500</x:v>
      </x:c>
    </x:row>
    <x:row r="12" spans="1:15">
      <x:c r="A12" s="211"/>
      <x:c r="B12" s="67" t="s">
        <x:v>75</x:v>
      </x:c>
      <x:c r="C12" s="35" t="s">
        <x:v>54</x:v>
      </x:c>
      <x:c r="D12" s="35"/>
      <x:c r="E12" s="65">
        <x:v>20</x:v>
      </x:c>
      <x:c r="F12" s="37">
        <x:v>1000</x:v>
      </x:c>
      <x:c r="G12" s="38">
        <x:v>20000</x:v>
      </x:c>
      <x:c r="H12" s="121">
        <x:v>450</x:v>
      </x:c>
      <x:c r="I12" s="106"/>
      <x:c r="J12" s="107">
        <x:v>1000</x:v>
      </x:c>
      <x:c r="K12" s="107"/>
      <x:c r="L12" s="41"/>
      <x:c r="M12" s="42"/>
      <x:c r="N12" s="94">
        <x:f t="shared" si="0"/>
        <x:v>1000</x:v>
      </x:c>
      <x:c r="O12" s="43">
        <x:f t="shared" si="1"/>
        <x:v>20000</x:v>
      </x:c>
    </x:row>
    <x:row r="13" spans="1:15">
      <x:c r="A13" s="211"/>
      <x:c r="B13" s="67" t="s">
        <x:v>78</x:v>
      </x:c>
      <x:c r="C13" s="35" t="s">
        <x:v>54</x:v>
      </x:c>
      <x:c r="D13" s="35" t="s">
        <x:v>129</x:v>
      </x:c>
      <x:c r="E13" s="65">
        <x:v>19</x:v>
      </x:c>
      <x:c r="F13" s="37">
        <x:v>1000</x:v>
      </x:c>
      <x:c r="G13" s="38">
        <x:v>19000</x:v>
      </x:c>
      <x:c r="H13" s="121"/>
      <x:c r="I13" s="106"/>
      <x:c r="J13" s="107"/>
      <x:c r="K13" s="107"/>
      <x:c r="L13" s="41"/>
      <x:c r="M13" s="42"/>
      <x:c r="N13" s="94">
        <x:f t="shared" si="0"/>
        <x:v>0</x:v>
      </x:c>
      <x:c r="O13" s="43">
        <x:f t="shared" si="1"/>
        <x:v>0</x:v>
      </x:c>
    </x:row>
    <x:row r="14" spans="1:15">
      <x:c r="A14" s="211"/>
      <x:c r="B14" s="67" t="s">
        <x:v>91</x:v>
      </x:c>
      <x:c r="C14" s="35" t="s">
        <x:v>54</x:v>
      </x:c>
      <x:c r="D14" s="35" t="s">
        <x:v>129</x:v>
      </x:c>
      <x:c r="E14" s="65">
        <x:v>17.5</x:v>
      </x:c>
      <x:c r="F14" s="37">
        <x:v>1000</x:v>
      </x:c>
      <x:c r="G14" s="38">
        <x:v>17500</x:v>
      </x:c>
      <x:c r="H14" s="121"/>
      <x:c r="I14" s="106"/>
      <x:c r="J14" s="107"/>
      <x:c r="K14" s="107"/>
      <x:c r="L14" s="41"/>
      <x:c r="M14" s="42"/>
      <x:c r="N14" s="94">
        <x:f t="shared" si="0"/>
        <x:v>0</x:v>
      </x:c>
      <x:c r="O14" s="43">
        <x:f t="shared" si="1"/>
        <x:v>0</x:v>
      </x:c>
    </x:row>
    <x:row r="15" spans="1:15">
      <x:c r="A15" s="211"/>
      <x:c r="B15" s="67" t="s">
        <x:v>149</x:v>
      </x:c>
      <x:c r="C15" s="35" t="s">
        <x:v>54</x:v>
      </x:c>
      <x:c r="D15" s="35" t="s">
        <x:v>129</x:v>
      </x:c>
      <x:c r="E15" s="65">
        <x:v>18</x:v>
      </x:c>
      <x:c r="F15" s="37">
        <x:v>1000</x:v>
      </x:c>
      <x:c r="G15" s="38">
        <x:v>18000</x:v>
      </x:c>
      <x:c r="H15" s="121">
        <x:v>1000</x:v>
      </x:c>
      <x:c r="I15" s="106"/>
      <x:c r="J15" s="107">
        <x:v>1000</x:v>
      </x:c>
      <x:c r="K15" s="107">
        <x:v>1000</x:v>
      </x:c>
      <x:c r="L15" s="41"/>
      <x:c r="M15" s="42"/>
      <x:c r="N15" s="94">
        <x:f t="shared" si="0"/>
        <x:v>2000</x:v>
      </x:c>
      <x:c r="O15" s="43">
        <x:f t="shared" si="1"/>
        <x:v>36000</x:v>
      </x:c>
    </x:row>
    <x:row r="16" spans="1:15">
      <x:c r="A16" s="211"/>
      <x:c r="B16" s="67" t="s">
        <x:v>85</x:v>
      </x:c>
      <x:c r="C16" s="67" t="s">
        <x:v>154</x:v>
      </x:c>
      <x:c r="D16" s="67" t="s">
        <x:v>129</x:v>
      </x:c>
      <x:c r="E16" s="85">
        <x:v>6.9000000000000004</x:v>
      </x:c>
      <x:c r="F16" s="37">
        <x:v>10000</x:v>
      </x:c>
      <x:c r="G16" s="38">
        <x:v>69000</x:v>
      </x:c>
      <x:c r="H16" s="121">
        <x:v>1000</x:v>
      </x:c>
      <x:c r="I16" s="106"/>
      <x:c r="J16" s="107">
        <x:v>500</x:v>
      </x:c>
      <x:c r="K16" s="107">
        <x:v>500</x:v>
      </x:c>
      <x:c r="L16" s="41"/>
      <x:c r="M16" s="42"/>
      <x:c r="N16" s="94">
        <x:f t="shared" si="0"/>
        <x:v>1000</x:v>
      </x:c>
      <x:c r="O16" s="43">
        <x:f t="shared" si="1"/>
        <x:v>6900</x:v>
      </x:c>
    </x:row>
    <x:row r="17" spans="1:15">
      <x:c r="A17" s="211"/>
      <x:c r="B17" s="67" t="s">
        <x:v>133</x:v>
      </x:c>
      <x:c r="C17" s="70" t="s">
        <x:v>53</x:v>
      </x:c>
      <x:c r="D17" s="70" t="s">
        <x:v>129</x:v>
      </x:c>
      <x:c r="E17" s="84">
        <x:v>22.1875</x:v>
      </x:c>
      <x:c r="F17" s="72">
        <x:v>3200</x:v>
      </x:c>
      <x:c r="G17" s="73">
        <x:v>71000</x:v>
      </x:c>
      <x:c r="H17" s="147"/>
      <x:c r="I17" s="106"/>
      <x:c r="J17" s="114"/>
      <x:c r="K17" s="114"/>
      <x:c r="L17" s="75"/>
      <x:c r="M17" s="76"/>
      <x:c r="N17" s="94">
        <x:f t="shared" si="0"/>
        <x:v>0</x:v>
      </x:c>
      <x:c r="O17" s="43">
        <x:f t="shared" si="1"/>
        <x:v>0</x:v>
      </x:c>
    </x:row>
    <x:row r="18" spans="1:15">
      <x:c r="A18" s="211"/>
      <x:c r="B18" s="67" t="s">
        <x:v>86</x:v>
      </x:c>
      <x:c r="C18" s="35" t="s">
        <x:v>154</x:v>
      </x:c>
      <x:c r="D18" s="35" t="s">
        <x:v>129</x:v>
      </x:c>
      <x:c r="E18" s="65">
        <x:v>7.2000000000000002</x:v>
      </x:c>
      <x:c r="F18" s="37">
        <x:v>10000</x:v>
      </x:c>
      <x:c r="G18" s="38">
        <x:v>72000</x:v>
      </x:c>
      <x:c r="H18" s="121">
        <x:v>500</x:v>
      </x:c>
      <x:c r="I18" s="106"/>
      <x:c r="J18" s="107"/>
      <x:c r="K18" s="107"/>
      <x:c r="L18" s="41"/>
      <x:c r="M18" s="42"/>
      <x:c r="N18" s="94">
        <x:f t="shared" si="0"/>
        <x:v>0</x:v>
      </x:c>
      <x:c r="O18" s="43">
        <x:f t="shared" si="1"/>
        <x:v>0</x:v>
      </x:c>
    </x:row>
    <x:row r="19" spans="1:15">
      <x:c r="A19" s="211"/>
      <x:c r="B19" s="67" t="s">
        <x:v>150</x:v>
      </x:c>
      <x:c r="C19" s="35" t="s">
        <x:v>66</x:v>
      </x:c>
      <x:c r="D19" s="35" t="s">
        <x:v>129</x:v>
      </x:c>
      <x:c r="E19" s="65">
        <x:v>18</x:v>
      </x:c>
      <x:c r="F19" s="37">
        <x:v>5000</x:v>
      </x:c>
      <x:c r="G19" s="38">
        <x:v>90000</x:v>
      </x:c>
      <x:c r="H19" s="121"/>
      <x:c r="I19" s="106"/>
      <x:c r="J19" s="107"/>
      <x:c r="K19" s="107"/>
      <x:c r="L19" s="41"/>
      <x:c r="M19" s="42"/>
      <x:c r="N19" s="94">
        <x:f t="shared" si="0"/>
        <x:v>0</x:v>
      </x:c>
      <x:c r="O19" s="43">
        <x:f t="shared" si="1"/>
        <x:v>0</x:v>
      </x:c>
    </x:row>
    <x:row r="20" spans="1:15">
      <x:c r="A20" s="211"/>
      <x:c r="B20" s="69" t="s">
        <x:v>0</x:v>
      </x:c>
      <x:c r="C20" s="70" t="s">
        <x:v>56</x:v>
      </x:c>
      <x:c r="D20" s="70" t="s">
        <x:v>129</x:v>
      </x:c>
      <x:c r="E20" s="84">
        <x:v>26.699999999999999</x:v>
      </x:c>
      <x:c r="F20" s="72">
        <x:v>4000</x:v>
      </x:c>
      <x:c r="G20" s="73">
        <x:v>106800</x:v>
      </x:c>
      <x:c r="H20" s="147"/>
      <x:c r="I20" s="106"/>
      <x:c r="J20" s="114"/>
      <x:c r="K20" s="114"/>
      <x:c r="L20" s="75"/>
      <x:c r="M20" s="76"/>
      <x:c r="N20" s="94">
        <x:f t="shared" si="0"/>
        <x:v>0</x:v>
      </x:c>
      <x:c r="O20" s="43">
        <x:f t="shared" si="1"/>
        <x:v>0</x:v>
      </x:c>
    </x:row>
    <x:row r="21" spans="1:15">
      <x:c r="A21" s="211"/>
      <x:c r="B21" s="67" t="s">
        <x:v>2</x:v>
      </x:c>
      <x:c r="C21" s="35" t="s">
        <x:v>53</x:v>
      </x:c>
      <x:c r="D21" s="35" t="s">
        <x:v>129</x:v>
      </x:c>
      <x:c r="E21" s="65">
        <x:v>22.8125</x:v>
      </x:c>
      <x:c r="F21" s="37">
        <x:v>3200</x:v>
      </x:c>
      <x:c r="G21" s="38">
        <x:v>73000</x:v>
      </x:c>
      <x:c r="H21" s="121">
        <x:v>200</x:v>
      </x:c>
      <x:c r="I21" s="106"/>
      <x:c r="J21" s="107"/>
      <x:c r="K21" s="107"/>
      <x:c r="L21" s="41"/>
      <x:c r="M21" s="42"/>
      <x:c r="N21" s="94">
        <x:f t="shared" si="0"/>
        <x:v>0</x:v>
      </x:c>
      <x:c r="O21" s="43">
        <x:f t="shared" si="1"/>
        <x:v>0</x:v>
      </x:c>
    </x:row>
    <x:row r="22" spans="1:15">
      <x:c r="A22" s="211"/>
      <x:c r="B22" s="67" t="s">
        <x:v>80</x:v>
      </x:c>
      <x:c r="C22" s="67" t="s">
        <x:v>55</x:v>
      </x:c>
      <x:c r="D22" s="67" t="s">
        <x:v>129</x:v>
      </x:c>
      <x:c r="E22" s="85">
        <x:v>112.5</x:v>
      </x:c>
      <x:c r="F22" s="37">
        <x:v>200</x:v>
      </x:c>
      <x:c r="G22" s="38">
        <x:v>22500</x:v>
      </x:c>
      <x:c r="H22" s="121">
        <x:v>150</x:v>
      </x:c>
      <x:c r="I22" s="106"/>
      <x:c r="J22" s="107"/>
      <x:c r="K22" s="107"/>
      <x:c r="L22" s="41"/>
      <x:c r="M22" s="42"/>
      <x:c r="N22" s="94">
        <x:f t="shared" si="0"/>
        <x:v>0</x:v>
      </x:c>
      <x:c r="O22" s="43">
        <x:f t="shared" si="1"/>
        <x:v>0</x:v>
      </x:c>
    </x:row>
    <x:row r="23" spans="1:15">
      <x:c r="A23" s="211"/>
      <x:c r="B23" s="67" t="s">
        <x:v>13</x:v>
      </x:c>
      <x:c r="C23" s="70" t="s">
        <x:v>65</x:v>
      </x:c>
      <x:c r="D23" s="70" t="s">
        <x:v>129</x:v>
      </x:c>
      <x:c r="E23" s="88">
        <x:v>3.625</x:v>
      </x:c>
      <x:c r="F23" s="72">
        <x:v>8000</x:v>
      </x:c>
      <x:c r="G23" s="73">
        <x:v>29000</x:v>
      </x:c>
      <x:c r="H23" s="147">
        <x:v>4400</x:v>
      </x:c>
      <x:c r="I23" s="106"/>
      <x:c r="J23" s="114"/>
      <x:c r="K23" s="114"/>
      <x:c r="L23" s="75"/>
      <x:c r="M23" s="76"/>
      <x:c r="N23" s="94">
        <x:f t="shared" si="0"/>
        <x:v>0</x:v>
      </x:c>
      <x:c r="O23" s="43">
        <x:f t="shared" si="1"/>
        <x:v>0</x:v>
      </x:c>
    </x:row>
    <x:row r="24" spans="1:15">
      <x:c r="A24" s="211"/>
      <x:c r="B24" s="67" t="s">
        <x:v>9</x:v>
      </x:c>
      <x:c r="C24" s="35" t="s">
        <x:v>130</x:v>
      </x:c>
      <x:c r="D24" s="35" t="s">
        <x:v>131</x:v>
      </x:c>
      <x:c r="E24" s="65">
        <x:v>12000</x:v>
      </x:c>
      <x:c r="F24" s="37">
        <x:v>1</x:v>
      </x:c>
      <x:c r="G24" s="38">
        <x:v>12000</x:v>
      </x:c>
      <x:c r="H24" s="121"/>
      <x:c r="I24" s="106"/>
      <x:c r="J24" s="107"/>
      <x:c r="K24" s="107"/>
      <x:c r="L24" s="41"/>
      <x:c r="M24" s="42"/>
      <x:c r="N24" s="94">
        <x:f t="shared" si="0"/>
        <x:v>0</x:v>
      </x:c>
      <x:c r="O24" s="43">
        <x:f t="shared" si="1"/>
        <x:v>0</x:v>
      </x:c>
    </x:row>
    <x:row r="25" spans="1:15">
      <x:c r="A25" s="211"/>
      <x:c r="B25" s="35" t="s">
        <x:v>153</x:v>
      </x:c>
      <x:c r="C25" s="35" t="s">
        <x:v>154</x:v>
      </x:c>
      <x:c r="D25" s="35" t="s">
        <x:v>129</x:v>
      </x:c>
      <x:c r="E25" s="65">
        <x:v>6.4000000000000004</x:v>
      </x:c>
      <x:c r="F25" s="37">
        <x:v>10000</x:v>
      </x:c>
      <x:c r="G25" s="38">
        <x:v>64000</x:v>
      </x:c>
      <x:c r="H25" s="121"/>
      <x:c r="I25" s="106"/>
      <x:c r="J25" s="107"/>
      <x:c r="K25" s="107"/>
      <x:c r="L25" s="41"/>
      <x:c r="M25" s="42"/>
      <x:c r="N25" s="94">
        <x:f t="shared" si="0"/>
        <x:v>0</x:v>
      </x:c>
      <x:c r="O25" s="43">
        <x:f t="shared" si="1"/>
        <x:v>0</x:v>
      </x:c>
    </x:row>
    <x:row r="26" spans="1:15">
      <x:c r="A26" s="211"/>
      <x:c r="B26" s="35" t="s">
        <x:v>1</x:v>
      </x:c>
      <x:c r="C26" s="35" t="s">
        <x:v>154</x:v>
      </x:c>
      <x:c r="D26" s="35" t="s">
        <x:v>129</x:v>
      </x:c>
      <x:c r="E26" s="65">
        <x:v>6.7999999999999998</x:v>
      </x:c>
      <x:c r="F26" s="37">
        <x:v>10000</x:v>
      </x:c>
      <x:c r="G26" s="38">
        <x:v>68000</x:v>
      </x:c>
      <x:c r="H26" s="121"/>
      <x:c r="I26" s="106"/>
      <x:c r="J26" s="107"/>
      <x:c r="K26" s="107"/>
      <x:c r="L26" s="41"/>
      <x:c r="M26" s="42"/>
      <x:c r="N26" s="94">
        <x:f t="shared" si="0"/>
        <x:v>0</x:v>
      </x:c>
      <x:c r="O26" s="43">
        <x:f t="shared" si="1"/>
        <x:v>0</x:v>
      </x:c>
    </x:row>
    <x:row r="27" spans="1:15">
      <x:c r="A27" s="211"/>
      <x:c r="B27" s="35" t="s">
        <x:v>3</x:v>
      </x:c>
      <x:c r="C27" s="35" t="s">
        <x:v>63</x:v>
      </x:c>
      <x:c r="D27" s="35" t="s">
        <x:v>129</x:v>
      </x:c>
      <x:c r="E27" s="65">
        <x:v>25</x:v>
      </x:c>
      <x:c r="F27" s="37">
        <x:v>200</x:v>
      </x:c>
      <x:c r="G27" s="38">
        <x:v>5000</x:v>
      </x:c>
      <x:c r="H27" s="121"/>
      <x:c r="I27" s="106"/>
      <x:c r="J27" s="107"/>
      <x:c r="K27" s="107"/>
      <x:c r="L27" s="41"/>
      <x:c r="M27" s="42"/>
      <x:c r="N27" s="94">
        <x:f t="shared" si="0"/>
        <x:v>0</x:v>
      </x:c>
      <x:c r="O27" s="43">
        <x:f t="shared" si="1"/>
        <x:v>0</x:v>
      </x:c>
    </x:row>
    <x:row r="28" spans="1:15">
      <x:c r="A28" s="211"/>
      <x:c r="B28" s="67" t="s">
        <x:v>11</x:v>
      </x:c>
      <x:c r="C28" s="70" t="s">
        <x:v>52</x:v>
      </x:c>
      <x:c r="D28" s="70" t="s">
        <x:v>129</x:v>
      </x:c>
      <x:c r="E28" s="84">
        <x:v>2100</x:v>
      </x:c>
      <x:c r="F28" s="72">
        <x:v>12</x:v>
      </x:c>
      <x:c r="G28" s="73">
        <x:v>25200</x:v>
      </x:c>
      <x:c r="H28" s="147"/>
      <x:c r="I28" s="106"/>
      <x:c r="J28" s="114"/>
      <x:c r="K28" s="114"/>
      <x:c r="L28" s="75"/>
      <x:c r="M28" s="76"/>
      <x:c r="N28" s="94">
        <x:f t="shared" si="0"/>
        <x:v>0</x:v>
      </x:c>
      <x:c r="O28" s="43">
        <x:f t="shared" si="1"/>
        <x:v>0</x:v>
      </x:c>
    </x:row>
    <x:row r="29" spans="1:15">
      <x:c r="A29" s="211"/>
      <x:c r="B29" s="67" t="s">
        <x:v>14</x:v>
      </x:c>
      <x:c r="C29" s="67" t="s">
        <x:v>52</x:v>
      </x:c>
      <x:c r="D29" s="67" t="s">
        <x:v>129</x:v>
      </x:c>
      <x:c r="E29" s="85">
        <x:v>2100</x:v>
      </x:c>
      <x:c r="F29" s="37">
        <x:v>12</x:v>
      </x:c>
      <x:c r="G29" s="38">
        <x:v>25200</x:v>
      </x:c>
      <x:c r="H29" s="121"/>
      <x:c r="I29" s="106"/>
      <x:c r="J29" s="107"/>
      <x:c r="K29" s="107"/>
      <x:c r="L29" s="41"/>
      <x:c r="M29" s="42"/>
      <x:c r="N29" s="94">
        <x:f t="shared" si="0"/>
        <x:v>0</x:v>
      </x:c>
      <x:c r="O29" s="43">
        <x:f t="shared" si="1"/>
        <x:v>0</x:v>
      </x:c>
    </x:row>
    <x:row r="30" spans="1:15">
      <x:c r="A30" s="211"/>
      <x:c r="B30" s="67" t="s">
        <x:v>10</x:v>
      </x:c>
      <x:c r="C30" s="35" t="s">
        <x:v>52</x:v>
      </x:c>
      <x:c r="D30" s="35" t="s">
        <x:v>129</x:v>
      </x:c>
      <x:c r="E30" s="65">
        <x:v>2100</x:v>
      </x:c>
      <x:c r="F30" s="37">
        <x:v>12</x:v>
      </x:c>
      <x:c r="G30" s="38">
        <x:v>25200</x:v>
      </x:c>
      <x:c r="H30" s="121"/>
      <x:c r="I30" s="106"/>
      <x:c r="J30" s="107"/>
      <x:c r="K30" s="107"/>
      <x:c r="L30" s="41"/>
      <x:c r="M30" s="42"/>
      <x:c r="N30" s="94">
        <x:f t="shared" si="0"/>
        <x:v>0</x:v>
      </x:c>
      <x:c r="O30" s="43">
        <x:f t="shared" si="1"/>
        <x:v>0</x:v>
      </x:c>
    </x:row>
    <x:row r="31" spans="1:15">
      <x:c r="A31" s="211"/>
      <x:c r="B31" s="67" t="s">
        <x:v>28</x:v>
      </x:c>
      <x:c r="C31" s="67" t="s">
        <x:v>58</x:v>
      </x:c>
      <x:c r="D31" s="67" t="s">
        <x:v>129</x:v>
      </x:c>
      <x:c r="E31" s="85">
        <x:v>2800</x:v>
      </x:c>
      <x:c r="F31" s="37">
        <x:v>6</x:v>
      </x:c>
      <x:c r="G31" s="38">
        <x:v>16800</x:v>
      </x:c>
      <x:c r="H31" s="121">
        <x:v>1</x:v>
      </x:c>
      <x:c r="I31" s="106"/>
      <x:c r="J31" s="107">
        <x:v>1</x:v>
      </x:c>
      <x:c r="K31" s="107"/>
      <x:c r="L31" s="41"/>
      <x:c r="M31" s="42"/>
      <x:c r="N31" s="94">
        <x:f t="shared" si="0"/>
        <x:v>1</x:v>
      </x:c>
      <x:c r="O31" s="43">
        <x:f t="shared" si="1"/>
        <x:v>2800</x:v>
      </x:c>
    </x:row>
    <x:row r="32" spans="1:15">
      <x:c r="A32" s="211"/>
      <x:c r="B32" s="26" t="s">
        <x:v>113</x:v>
      </x:c>
      <x:c r="C32" s="80" t="s">
        <x:v>62</x:v>
      </x:c>
      <x:c r="D32" s="80" t="s">
        <x:v>129</x:v>
      </x:c>
      <x:c r="E32" s="86">
        <x:v>410</x:v>
      </x:c>
      <x:c r="F32" s="81">
        <x:v>20</x:v>
      </x:c>
      <x:c r="G32" s="82">
        <x:v>8200</x:v>
      </x:c>
      <x:c r="H32" s="147"/>
      <x:c r="I32" s="106"/>
      <x:c r="J32" s="114"/>
      <x:c r="K32" s="114"/>
      <x:c r="L32" s="75"/>
      <x:c r="M32" s="76"/>
      <x:c r="N32" s="94">
        <x:f t="shared" si="0"/>
        <x:v>0</x:v>
      </x:c>
      <x:c r="O32" s="43">
        <x:f t="shared" si="1"/>
        <x:v>0</x:v>
      </x:c>
    </x:row>
    <x:row r="33" spans="1:15">
      <x:c r="A33" s="211"/>
      <x:c r="B33" s="35" t="s">
        <x:v>74</x:v>
      </x:c>
      <x:c r="C33" s="35" t="s">
        <x:v>52</x:v>
      </x:c>
      <x:c r="D33" s="35" t="s">
        <x:v>129</x:v>
      </x:c>
      <x:c r="E33" s="65">
        <x:v>7200</x:v>
      </x:c>
      <x:c r="F33" s="37">
        <x:v>12</x:v>
      </x:c>
      <x:c r="G33" s="83">
        <x:v>86400</x:v>
      </x:c>
      <x:c r="H33" s="147">
        <x:v>13</x:v>
      </x:c>
      <x:c r="I33" s="106"/>
      <x:c r="J33" s="114">
        <x:v>3</x:v>
      </x:c>
      <x:c r="K33" s="114">
        <x:v>6</x:v>
      </x:c>
      <x:c r="L33" s="75"/>
      <x:c r="M33" s="76"/>
      <x:c r="N33" s="94">
        <x:f t="shared" si="0"/>
        <x:v>9</x:v>
      </x:c>
      <x:c r="O33" s="43">
        <x:f t="shared" si="1"/>
        <x:v>64800</x:v>
      </x:c>
    </x:row>
    <x:row r="34" spans="1:15">
      <x:c r="A34" s="211"/>
      <x:c r="B34" s="35" t="s">
        <x:v>136</x:v>
      </x:c>
      <x:c r="C34" s="35" t="s">
        <x:v>52</x:v>
      </x:c>
      <x:c r="D34" s="35" t="s">
        <x:v>129</x:v>
      </x:c>
      <x:c r="E34" s="65">
        <x:v>1350</x:v>
      </x:c>
      <x:c r="F34" s="37">
        <x:v>12</x:v>
      </x:c>
      <x:c r="G34" s="38">
        <x:v>16200</x:v>
      </x:c>
      <x:c r="H34" s="147">
        <x:v>3</x:v>
      </x:c>
      <x:c r="I34" s="106">
        <x:v>1</x:v>
      </x:c>
      <x:c r="J34" s="114">
        <x:v>2</x:v>
      </x:c>
      <x:c r="K34" s="114">
        <x:v>2</x:v>
      </x:c>
      <x:c r="L34" s="75"/>
      <x:c r="M34" s="76"/>
      <x:c r="N34" s="94">
        <x:f t="shared" si="0"/>
        <x:v>5</x:v>
      </x:c>
      <x:c r="O34" s="43">
        <x:f t="shared" si="1"/>
        <x:v>6750</x:v>
      </x:c>
    </x:row>
    <x:row r="35" spans="1:15">
      <x:c r="A35" s="211"/>
      <x:c r="B35" s="35" t="s">
        <x:v>84</x:v>
      </x:c>
      <x:c r="C35" s="35" t="s">
        <x:v>70</x:v>
      </x:c>
      <x:c r="D35" s="35" t="s">
        <x:v>129</x:v>
      </x:c>
      <x:c r="E35" s="65">
        <x:v>6870</x:v>
      </x:c>
      <x:c r="F35" s="37">
        <x:v>8</x:v>
      </x:c>
      <x:c r="G35" s="38">
        <x:v>54960</x:v>
      </x:c>
      <x:c r="H35" s="121">
        <x:v>1</x:v>
      </x:c>
      <x:c r="I35" s="106">
        <x:v>2</x:v>
      </x:c>
      <x:c r="J35" s="107">
        <x:v>1</x:v>
      </x:c>
      <x:c r="K35" s="107">
        <x:v>1</x:v>
      </x:c>
      <x:c r="L35" s="41"/>
      <x:c r="M35" s="42"/>
      <x:c r="N35" s="94">
        <x:f t="shared" si="0"/>
        <x:v>4</x:v>
      </x:c>
      <x:c r="O35" s="43">
        <x:f t="shared" si="1"/>
        <x:v>27480</x:v>
      </x:c>
    </x:row>
    <x:row r="36" spans="1:15">
      <x:c r="A36" s="233"/>
      <x:c r="B36" s="26" t="s">
        <x:v>83</x:v>
      </x:c>
      <x:c r="C36" s="26" t="s">
        <x:v>70</x:v>
      </x:c>
      <x:c r="D36" s="26" t="s">
        <x:v>129</x:v>
      </x:c>
      <x:c r="E36" s="87">
        <x:v>6870</x:v>
      </x:c>
      <x:c r="F36" s="27">
        <x:v>8</x:v>
      </x:c>
      <x:c r="G36" s="28">
        <x:v>54960</x:v>
      </x:c>
      <x:c r="H36" s="146">
        <x:v>1</x:v>
      </x:c>
      <x:c r="I36" s="103"/>
      <x:c r="J36" s="104"/>
      <x:c r="K36" s="104">
        <x:v>1</x:v>
      </x:c>
      <x:c r="L36" s="31"/>
      <x:c r="M36" s="32"/>
      <x:c r="N36" s="95">
        <x:f t="shared" si="0"/>
        <x:v>1</x:v>
      </x:c>
      <x:c r="O36" s="33">
        <x:f t="shared" si="1"/>
        <x:v>6870</x:v>
      </x:c>
    </x:row>
    <x:row r="37" spans="1:15">
      <x:c r="A37" s="210" t="s">
        <x:v>5</x:v>
      </x:c>
      <x:c r="B37" s="15" t="s">
        <x:v>33</x:v>
      </x:c>
      <x:c r="C37" s="15" t="s">
        <x:v>152</x:v>
      </x:c>
      <x:c r="D37" s="15" t="s">
        <x:v>129</x:v>
      </x:c>
      <x:c r="E37" s="66">
        <x:v>6.4000000000000004</x:v>
      </x:c>
      <x:c r="F37" s="17">
        <x:v>500</x:v>
      </x:c>
      <x:c r="G37" s="18">
        <x:v>3200</x:v>
      </x:c>
      <x:c r="H37" s="123"/>
      <x:c r="I37" s="100">
        <x:v>100</x:v>
      </x:c>
      <x:c r="J37" s="101"/>
      <x:c r="K37" s="101"/>
      <x:c r="L37" s="21"/>
      <x:c r="M37" s="22"/>
      <x:c r="N37" s="93">
        <x:f t="shared" si="0"/>
        <x:v>100</x:v>
      </x:c>
      <x:c r="O37" s="23">
        <x:f t="shared" si="1"/>
        <x:v>640</x:v>
      </x:c>
    </x:row>
    <x:row r="38" spans="1:15">
      <x:c r="A38" s="233"/>
      <x:c r="B38" s="26" t="s">
        <x:v>134</x:v>
      </x:c>
      <x:c r="C38" s="26" t="s">
        <x:v>151</x:v>
      </x:c>
      <x:c r="D38" s="26" t="s">
        <x:v>129</x:v>
      </x:c>
      <x:c r="E38" s="87">
        <x:v>4.6900000000000004</x:v>
      </x:c>
      <x:c r="F38" s="27">
        <x:v>1000</x:v>
      </x:c>
      <x:c r="G38" s="28">
        <x:v>4690</x:v>
      </x:c>
      <x:c r="H38" s="146"/>
      <x:c r="I38" s="103"/>
      <x:c r="J38" s="104"/>
      <x:c r="K38" s="104"/>
      <x:c r="L38" s="31"/>
      <x:c r="M38" s="32"/>
      <x:c r="N38" s="96">
        <x:f t="shared" si="0"/>
        <x:v>0</x:v>
      </x:c>
      <x:c r="O38" s="50">
        <x:f t="shared" si="1"/>
        <x:v>0</x:v>
      </x:c>
    </x:row>
    <x:row r="39" spans="1:15">
      <x:c r="A39" s="234" t="s">
        <x:v>111</x:v>
      </x:c>
      <x:c r="B39" s="15" t="s">
        <x:v>27</x:v>
      </x:c>
      <x:c r="C39" s="15" t="s">
        <x:v>71</x:v>
      </x:c>
      <x:c r="D39" s="15" t="s">
        <x:v>129</x:v>
      </x:c>
      <x:c r="E39" s="66">
        <x:v>7700</x:v>
      </x:c>
      <x:c r="F39" s="17">
        <x:v>12</x:v>
      </x:c>
      <x:c r="G39" s="18">
        <x:v>92400</x:v>
      </x:c>
      <x:c r="H39" s="123">
        <x:v>1</x:v>
      </x:c>
      <x:c r="I39" s="100"/>
      <x:c r="J39" s="101"/>
      <x:c r="K39" s="101"/>
      <x:c r="L39" s="21"/>
      <x:c r="M39" s="22"/>
      <x:c r="N39" s="97">
        <x:f t="shared" si="0"/>
        <x:v>0</x:v>
      </x:c>
      <x:c r="O39" s="23">
        <x:f t="shared" si="1"/>
        <x:v>0</x:v>
      </x:c>
    </x:row>
    <x:row r="40" spans="1:15">
      <x:c r="A40" s="235"/>
      <x:c r="B40" s="35" t="s">
        <x:v>26</x:v>
      </x:c>
      <x:c r="C40" s="35" t="s">
        <x:v>71</x:v>
      </x:c>
      <x:c r="D40" s="35" t="s">
        <x:v>129</x:v>
      </x:c>
      <x:c r="E40" s="65">
        <x:v>6200</x:v>
      </x:c>
      <x:c r="F40" s="37">
        <x:v>12</x:v>
      </x:c>
      <x:c r="G40" s="38">
        <x:v>74400</x:v>
      </x:c>
      <x:c r="H40" s="121"/>
      <x:c r="I40" s="106">
        <x:v>2</x:v>
      </x:c>
      <x:c r="J40" s="107"/>
      <x:c r="K40" s="107"/>
      <x:c r="L40" s="41"/>
      <x:c r="M40" s="42"/>
      <x:c r="N40" s="94">
        <x:f t="shared" si="0"/>
        <x:v>2</x:v>
      </x:c>
      <x:c r="O40" s="43">
        <x:f t="shared" si="1"/>
        <x:v>12400</x:v>
      </x:c>
    </x:row>
    <x:row r="41" spans="1:15">
      <x:c r="A41" s="235"/>
      <x:c r="B41" s="35" t="s">
        <x:v>16</x:v>
      </x:c>
      <x:c r="C41" s="35" t="s">
        <x:v>71</x:v>
      </x:c>
      <x:c r="D41" s="35" t="s">
        <x:v>129</x:v>
      </x:c>
      <x:c r="E41" s="65">
        <x:v>6700</x:v>
      </x:c>
      <x:c r="F41" s="37">
        <x:v>12</x:v>
      </x:c>
      <x:c r="G41" s="38">
        <x:v>80400</x:v>
      </x:c>
      <x:c r="H41" s="121">
        <x:v>1</x:v>
      </x:c>
      <x:c r="I41" s="106"/>
      <x:c r="J41" s="107">
        <x:v>1</x:v>
      </x:c>
      <x:c r="K41" s="107">
        <x:v>1</x:v>
      </x:c>
      <x:c r="L41" s="41"/>
      <x:c r="M41" s="42"/>
      <x:c r="N41" s="94">
        <x:f t="shared" si="0"/>
        <x:v>2</x:v>
      </x:c>
      <x:c r="O41" s="43">
        <x:f t="shared" si="1"/>
        <x:v>13400</x:v>
      </x:c>
    </x:row>
    <x:row r="42" spans="1:15">
      <x:c r="A42" s="235"/>
      <x:c r="B42" s="35" t="s">
        <x:v>25</x:v>
      </x:c>
      <x:c r="C42" s="35" t="s">
        <x:v>52</x:v>
      </x:c>
      <x:c r="D42" s="35" t="s">
        <x:v>129</x:v>
      </x:c>
      <x:c r="E42" s="65">
        <x:v>7250</x:v>
      </x:c>
      <x:c r="F42" s="37">
        <x:v>12</x:v>
      </x:c>
      <x:c r="G42" s="38">
        <x:v>87000</x:v>
      </x:c>
      <x:c r="H42" s="121">
        <x:v>2</x:v>
      </x:c>
      <x:c r="I42" s="106"/>
      <x:c r="J42" s="107"/>
      <x:c r="K42" s="107">
        <x:v>1</x:v>
      </x:c>
      <x:c r="L42" s="41"/>
      <x:c r="M42" s="42"/>
      <x:c r="N42" s="94">
        <x:f t="shared" si="0"/>
        <x:v>1</x:v>
      </x:c>
      <x:c r="O42" s="43">
        <x:f t="shared" si="1"/>
        <x:v>7250</x:v>
      </x:c>
    </x:row>
    <x:row r="43" spans="1:15">
      <x:c r="A43" s="235"/>
      <x:c r="B43" s="35" t="s">
        <x:v>30</x:v>
      </x:c>
      <x:c r="C43" s="35" t="s">
        <x:v>69</x:v>
      </x:c>
      <x:c r="D43" s="35" t="s">
        <x:v>129</x:v>
      </x:c>
      <x:c r="E43" s="65">
        <x:v>5300</x:v>
      </x:c>
      <x:c r="F43" s="37">
        <x:v>12</x:v>
      </x:c>
      <x:c r="G43" s="38">
        <x:v>63600</x:v>
      </x:c>
      <x:c r="H43" s="121">
        <x:v>1</x:v>
      </x:c>
      <x:c r="I43" s="106"/>
      <x:c r="J43" s="107"/>
      <x:c r="K43" s="107"/>
      <x:c r="L43" s="41"/>
      <x:c r="M43" s="42"/>
      <x:c r="N43" s="94">
        <x:f t="shared" si="0"/>
        <x:v>0</x:v>
      </x:c>
      <x:c r="O43" s="43">
        <x:f t="shared" si="1"/>
        <x:v>0</x:v>
      </x:c>
    </x:row>
    <x:row r="44" spans="1:15">
      <x:c r="A44" s="235"/>
      <x:c r="B44" s="35" t="s">
        <x:v>135</x:v>
      </x:c>
      <x:c r="C44" s="35" t="s">
        <x:v>69</x:v>
      </x:c>
      <x:c r="D44" s="35" t="s">
        <x:v>129</x:v>
      </x:c>
      <x:c r="E44" s="65">
        <x:v>6600</x:v>
      </x:c>
      <x:c r="F44" s="37">
        <x:v>12</x:v>
      </x:c>
      <x:c r="G44" s="38">
        <x:v>79200</x:v>
      </x:c>
      <x:c r="H44" s="121">
        <x:v>1</x:v>
      </x:c>
      <x:c r="I44" s="106"/>
      <x:c r="J44" s="107">
        <x:v>1</x:v>
      </x:c>
      <x:c r="K44" s="107"/>
      <x:c r="L44" s="41"/>
      <x:c r="M44" s="42"/>
      <x:c r="N44" s="94">
        <x:f t="shared" si="0"/>
        <x:v>1</x:v>
      </x:c>
      <x:c r="O44" s="43">
        <x:f t="shared" si="1"/>
        <x:v>6600</x:v>
      </x:c>
    </x:row>
    <x:row r="45" spans="1:15">
      <x:c r="A45" s="235"/>
      <x:c r="B45" s="35" t="s">
        <x:v>39</x:v>
      </x:c>
      <x:c r="C45" s="35" t="s">
        <x:v>68</x:v>
      </x:c>
      <x:c r="D45" s="35" t="s">
        <x:v>129</x:v>
      </x:c>
      <x:c r="E45" s="65">
        <x:v>14500</x:v>
      </x:c>
      <x:c r="F45" s="37">
        <x:v>6</x:v>
      </x:c>
      <x:c r="G45" s="38">
        <x:v>87000</x:v>
      </x:c>
      <x:c r="H45" s="121">
        <x:v>1</x:v>
      </x:c>
      <x:c r="I45" s="106"/>
      <x:c r="J45" s="107"/>
      <x:c r="K45" s="107">
        <x:v>1</x:v>
      </x:c>
      <x:c r="L45" s="41"/>
      <x:c r="M45" s="42"/>
      <x:c r="N45" s="94">
        <x:f t="shared" si="0"/>
        <x:v>1</x:v>
      </x:c>
      <x:c r="O45" s="43">
        <x:f t="shared" si="1"/>
        <x:v>14500</x:v>
      </x:c>
    </x:row>
    <x:row r="46" spans="1:15">
      <x:c r="A46" s="235"/>
      <x:c r="B46" s="35" t="s">
        <x:v>31</x:v>
      </x:c>
      <x:c r="C46" s="35" t="s">
        <x:v>68</x:v>
      </x:c>
      <x:c r="D46" s="35" t="s">
        <x:v>129</x:v>
      </x:c>
      <x:c r="E46" s="65">
        <x:v>11000</x:v>
      </x:c>
      <x:c r="F46" s="37">
        <x:v>6</x:v>
      </x:c>
      <x:c r="G46" s="38">
        <x:v>66000</x:v>
      </x:c>
      <x:c r="H46" s="121"/>
      <x:c r="I46" s="106"/>
      <x:c r="J46" s="107">
        <x:v>1</x:v>
      </x:c>
      <x:c r="K46" s="107"/>
      <x:c r="L46" s="41"/>
      <x:c r="M46" s="42"/>
      <x:c r="N46" s="94">
        <x:f t="shared" si="0"/>
        <x:v>1</x:v>
      </x:c>
      <x:c r="O46" s="43">
        <x:f t="shared" si="1"/>
        <x:v>11000</x:v>
      </x:c>
    </x:row>
    <x:row r="47" spans="1:15">
      <x:c r="A47" s="235"/>
      <x:c r="B47" s="35" t="s">
        <x:v>20</x:v>
      </x:c>
      <x:c r="C47" s="35" t="s">
        <x:v>69</x:v>
      </x:c>
      <x:c r="D47" s="35" t="s">
        <x:v>129</x:v>
      </x:c>
      <x:c r="E47" s="65">
        <x:v>4500</x:v>
      </x:c>
      <x:c r="F47" s="37">
        <x:v>12</x:v>
      </x:c>
      <x:c r="G47" s="38">
        <x:v>54000</x:v>
      </x:c>
      <x:c r="H47" s="121">
        <x:v>1</x:v>
      </x:c>
      <x:c r="I47" s="106"/>
      <x:c r="J47" s="107"/>
      <x:c r="K47" s="107">
        <x:v>1</x:v>
      </x:c>
      <x:c r="L47" s="41"/>
      <x:c r="M47" s="42"/>
      <x:c r="N47" s="94">
        <x:f t="shared" si="0"/>
        <x:v>1</x:v>
      </x:c>
      <x:c r="O47" s="43">
        <x:f t="shared" si="1"/>
        <x:v>4500</x:v>
      </x:c>
    </x:row>
    <x:row r="48" spans="1:15">
      <x:c r="A48" s="235"/>
      <x:c r="B48" s="26" t="s">
        <x:v>32</x:v>
      </x:c>
      <x:c r="C48" s="26" t="s">
        <x:v>52</x:v>
      </x:c>
      <x:c r="D48" s="26" t="s">
        <x:v>129</x:v>
      </x:c>
      <x:c r="E48" s="87">
        <x:v>6700</x:v>
      </x:c>
      <x:c r="F48" s="27">
        <x:v>12</x:v>
      </x:c>
      <x:c r="G48" s="28">
        <x:v>80400</x:v>
      </x:c>
      <x:c r="H48" s="146"/>
      <x:c r="I48" s="106">
        <x:v>1</x:v>
      </x:c>
      <x:c r="J48" s="104">
        <x:v>1</x:v>
      </x:c>
      <x:c r="K48" s="104">
        <x:v>1</x:v>
      </x:c>
      <x:c r="L48" s="31"/>
      <x:c r="M48" s="32"/>
      <x:c r="N48" s="95">
        <x:f t="shared" si="0"/>
        <x:v>3</x:v>
      </x:c>
      <x:c r="O48" s="50">
        <x:f t="shared" si="1"/>
        <x:v>20100</x:v>
      </x:c>
    </x:row>
    <x:row r="49" spans="1:15">
      <x:c r="A49" s="210" t="s">
        <x:v>8</x:v>
      </x:c>
      <x:c r="B49" s="15" t="s">
        <x:v>139</x:v>
      </x:c>
      <x:c r="C49" s="15" t="s">
        <x:v>68</x:v>
      </x:c>
      <x:c r="D49" s="15" t="s">
        <x:v>129</x:v>
      </x:c>
      <x:c r="E49" s="66">
        <x:v>6900</x:v>
      </x:c>
      <x:c r="F49" s="17">
        <x:v>6</x:v>
      </x:c>
      <x:c r="G49" s="18">
        <x:v>41400</x:v>
      </x:c>
      <x:c r="H49" s="123">
        <x:v>2</x:v>
      </x:c>
      <x:c r="I49" s="109"/>
      <x:c r="J49" s="101"/>
      <x:c r="K49" s="101"/>
      <x:c r="L49" s="21"/>
      <x:c r="M49" s="22"/>
      <x:c r="N49" s="93">
        <x:f t="shared" si="0"/>
        <x:v>0</x:v>
      </x:c>
      <x:c r="O49" s="99">
        <x:f t="shared" si="1"/>
        <x:v>0</x:v>
      </x:c>
    </x:row>
    <x:row r="50" spans="1:15">
      <x:c r="A50" s="211"/>
      <x:c r="B50" s="35" t="s">
        <x:v>142</x:v>
      </x:c>
      <x:c r="C50" s="35" t="s">
        <x:v>68</x:v>
      </x:c>
      <x:c r="D50" s="35" t="s">
        <x:v>129</x:v>
      </x:c>
      <x:c r="E50" s="65">
        <x:v>6900</x:v>
      </x:c>
      <x:c r="F50" s="37">
        <x:v>6</x:v>
      </x:c>
      <x:c r="G50" s="38">
        <x:v>41400</x:v>
      </x:c>
      <x:c r="H50" s="121">
        <x:v>2</x:v>
      </x:c>
      <x:c r="I50" s="106"/>
      <x:c r="J50" s="107"/>
      <x:c r="K50" s="107"/>
      <x:c r="L50" s="41"/>
      <x:c r="M50" s="42"/>
      <x:c r="N50" s="94">
        <x:f t="shared" si="0"/>
        <x:v>0</x:v>
      </x:c>
      <x:c r="O50" s="43">
        <x:f t="shared" si="1"/>
        <x:v>0</x:v>
      </x:c>
    </x:row>
    <x:row r="51" spans="1:15">
      <x:c r="A51" s="211"/>
      <x:c r="B51" s="35" t="s">
        <x:v>144</x:v>
      </x:c>
      <x:c r="C51" s="35" t="s">
        <x:v>68</x:v>
      </x:c>
      <x:c r="D51" s="35" t="s">
        <x:v>129</x:v>
      </x:c>
      <x:c r="E51" s="65">
        <x:v>6800</x:v>
      </x:c>
      <x:c r="F51" s="37">
        <x:v>6</x:v>
      </x:c>
      <x:c r="G51" s="38">
        <x:v>40800</x:v>
      </x:c>
      <x:c r="H51" s="121">
        <x:v>2</x:v>
      </x:c>
      <x:c r="I51" s="106"/>
      <x:c r="J51" s="107"/>
      <x:c r="K51" s="107"/>
      <x:c r="L51" s="41"/>
      <x:c r="M51" s="42"/>
      <x:c r="N51" s="94">
        <x:f t="shared" si="0"/>
        <x:v>0</x:v>
      </x:c>
      <x:c r="O51" s="43">
        <x:f t="shared" si="1"/>
        <x:v>0</x:v>
      </x:c>
    </x:row>
    <x:row r="52" spans="1:15">
      <x:c r="A52" s="211"/>
      <x:c r="B52" s="35" t="s">
        <x:v>137</x:v>
      </x:c>
      <x:c r="C52" s="35" t="s">
        <x:v>67</x:v>
      </x:c>
      <x:c r="D52" s="35" t="s">
        <x:v>129</x:v>
      </x:c>
      <x:c r="E52" s="65">
        <x:v>15000</x:v>
      </x:c>
      <x:c r="F52" s="37">
        <x:v>4</x:v>
      </x:c>
      <x:c r="G52" s="38">
        <x:v>60000</x:v>
      </x:c>
      <x:c r="H52" s="121">
        <x:v>2</x:v>
      </x:c>
      <x:c r="I52" s="106"/>
      <x:c r="J52" s="107">
        <x:v>1</x:v>
      </x:c>
      <x:c r="K52" s="107"/>
      <x:c r="L52" s="41"/>
      <x:c r="M52" s="42"/>
      <x:c r="N52" s="94">
        <x:f t="shared" si="0"/>
        <x:v>1</x:v>
      </x:c>
      <x:c r="O52" s="43">
        <x:f t="shared" si="1"/>
        <x:v>15000</x:v>
      </x:c>
    </x:row>
    <x:row r="53" spans="1:15">
      <x:c r="A53" s="211"/>
      <x:c r="B53" s="35" t="s">
        <x:v>15</x:v>
      </x:c>
      <x:c r="C53" s="35" t="s">
        <x:v>57</x:v>
      </x:c>
      <x:c r="D53" s="35" t="s">
        <x:v>129</x:v>
      </x:c>
      <x:c r="E53" s="65">
        <x:v>5300</x:v>
      </x:c>
      <x:c r="F53" s="37">
        <x:v>6</x:v>
      </x:c>
      <x:c r="G53" s="38">
        <x:v>31800</x:v>
      </x:c>
      <x:c r="H53" s="121">
        <x:v>1</x:v>
      </x:c>
      <x:c r="I53" s="106">
        <x:v>1</x:v>
      </x:c>
      <x:c r="J53" s="107"/>
      <x:c r="K53" s="107"/>
      <x:c r="L53" s="41"/>
      <x:c r="M53" s="42"/>
      <x:c r="N53" s="94">
        <x:f t="shared" si="0"/>
        <x:v>1</x:v>
      </x:c>
      <x:c r="O53" s="43">
        <x:f t="shared" si="1"/>
        <x:v>5300</x:v>
      </x:c>
    </x:row>
    <x:row r="54" spans="1:15">
      <x:c r="A54" s="211"/>
      <x:c r="B54" s="35" t="s">
        <x:v>7</x:v>
      </x:c>
      <x:c r="C54" s="35" t="s">
        <x:v>57</x:v>
      </x:c>
      <x:c r="D54" s="35" t="s">
        <x:v>129</x:v>
      </x:c>
      <x:c r="E54" s="65">
        <x:v>6600</x:v>
      </x:c>
      <x:c r="F54" s="37">
        <x:v>6</x:v>
      </x:c>
      <x:c r="G54" s="38">
        <x:v>39600</x:v>
      </x:c>
      <x:c r="H54" s="121">
        <x:v>1</x:v>
      </x:c>
      <x:c r="I54" s="106">
        <x:v>1</x:v>
      </x:c>
      <x:c r="J54" s="107"/>
      <x:c r="K54" s="107">
        <x:v>1</x:v>
      </x:c>
      <x:c r="L54" s="41"/>
      <x:c r="M54" s="42"/>
      <x:c r="N54" s="94">
        <x:f t="shared" si="0"/>
        <x:v>2</x:v>
      </x:c>
      <x:c r="O54" s="43">
        <x:f t="shared" si="1"/>
        <x:v>13200</x:v>
      </x:c>
    </x:row>
    <x:row r="55" spans="1:15">
      <x:c r="A55" s="211"/>
      <x:c r="B55" s="35" t="s">
        <x:v>29</x:v>
      </x:c>
      <x:c r="C55" s="35" t="s">
        <x:v>64</x:v>
      </x:c>
      <x:c r="D55" s="35" t="s">
        <x:v>129</x:v>
      </x:c>
      <x:c r="E55" s="65">
        <x:v>5600</x:v>
      </x:c>
      <x:c r="F55" s="37">
        <x:v>10</x:v>
      </x:c>
      <x:c r="G55" s="38">
        <x:v>56000</x:v>
      </x:c>
      <x:c r="H55" s="121">
        <x:v>1</x:v>
      </x:c>
      <x:c r="I55" s="106"/>
      <x:c r="J55" s="107"/>
      <x:c r="K55" s="107">
        <x:v>1</x:v>
      </x:c>
      <x:c r="L55" s="41"/>
      <x:c r="M55" s="42"/>
      <x:c r="N55" s="94">
        <x:f t="shared" si="0"/>
        <x:v>1</x:v>
      </x:c>
      <x:c r="O55" s="43">
        <x:f t="shared" si="1"/>
        <x:v>5600</x:v>
      </x:c>
    </x:row>
    <x:row r="56" spans="1:15">
      <x:c r="A56" s="211"/>
      <x:c r="B56" s="35" t="s">
        <x:v>145</x:v>
      </x:c>
      <x:c r="C56" s="35" t="s">
        <x:v>59</x:v>
      </x:c>
      <x:c r="D56" s="35" t="s">
        <x:v>129</x:v>
      </x:c>
      <x:c r="E56" s="65">
        <x:v>14100</x:v>
      </x:c>
      <x:c r="F56" s="37">
        <x:v>4</x:v>
      </x:c>
      <x:c r="G56" s="38">
        <x:v>56400</x:v>
      </x:c>
      <x:c r="H56" s="121">
        <x:v>1</x:v>
      </x:c>
      <x:c r="I56" s="106"/>
      <x:c r="J56" s="107"/>
      <x:c r="K56" s="107">
        <x:v>1</x:v>
      </x:c>
      <x:c r="L56" s="41"/>
      <x:c r="M56" s="42"/>
      <x:c r="N56" s="94">
        <x:f t="shared" si="0"/>
        <x:v>1</x:v>
      </x:c>
      <x:c r="O56" s="43">
        <x:f t="shared" si="1"/>
        <x:v>14100</x:v>
      </x:c>
    </x:row>
    <x:row r="57" spans="1:15">
      <x:c r="A57" s="211"/>
      <x:c r="B57" s="35" t="s">
        <x:v>141</x:v>
      </x:c>
      <x:c r="C57" s="35" t="s">
        <x:v>59</x:v>
      </x:c>
      <x:c r="D57" s="35" t="s">
        <x:v>129</x:v>
      </x:c>
      <x:c r="E57" s="65">
        <x:v>15100</x:v>
      </x:c>
      <x:c r="F57" s="37">
        <x:v>4</x:v>
      </x:c>
      <x:c r="G57" s="38">
        <x:v>60400</x:v>
      </x:c>
      <x:c r="H57" s="121">
        <x:v>1</x:v>
      </x:c>
      <x:c r="I57" s="106"/>
      <x:c r="J57" s="107"/>
      <x:c r="K57" s="107"/>
      <x:c r="L57" s="41"/>
      <x:c r="M57" s="42"/>
      <x:c r="N57" s="94">
        <x:f t="shared" si="0"/>
        <x:v>0</x:v>
      </x:c>
      <x:c r="O57" s="43">
        <x:f t="shared" si="1"/>
        <x:v>0</x:v>
      </x:c>
    </x:row>
    <x:row r="58" spans="1:15">
      <x:c r="A58" s="212"/>
      <x:c r="B58" s="49" t="s">
        <x:v>143</x:v>
      </x:c>
      <x:c r="C58" s="49" t="s">
        <x:v>67</x:v>
      </x:c>
      <x:c r="D58" s="49" t="s">
        <x:v>129</x:v>
      </x:c>
      <x:c r="E58" s="87">
        <x:v>15300</x:v>
      </x:c>
      <x:c r="F58" s="27">
        <x:v>4</x:v>
      </x:c>
      <x:c r="G58" s="38">
        <x:v>61200</x:v>
      </x:c>
      <x:c r="H58" s="146">
        <x:v>1</x:v>
      </x:c>
      <x:c r="I58" s="106"/>
      <x:c r="J58" s="104"/>
      <x:c r="K58" s="104"/>
      <x:c r="L58" s="31"/>
      <x:c r="M58" s="32"/>
      <x:c r="N58" s="96">
        <x:f t="shared" si="0"/>
        <x:v>0</x:v>
      </x:c>
      <x:c r="O58" s="33">
        <x:f t="shared" si="1"/>
        <x:v>0</x:v>
      </x:c>
    </x:row>
    <x:row r="59" spans="1:15">
      <x:c r="A59" s="234" t="s">
        <x:v>6</x:v>
      </x:c>
      <x:c r="B59" s="15" t="s">
        <x:v>46</x:v>
      </x:c>
      <x:c r="C59" s="52" t="s">
        <x:v>60</x:v>
      </x:c>
      <x:c r="D59" s="15" t="s">
        <x:v>129</x:v>
      </x:c>
      <x:c r="E59" s="66">
        <x:v>11000</x:v>
      </x:c>
      <x:c r="F59" s="17">
        <x:v>10</x:v>
      </x:c>
      <x:c r="G59" s="54">
        <x:v>110000</x:v>
      </x:c>
      <x:c r="H59" s="123">
        <x:v>6</x:v>
      </x:c>
      <x:c r="I59" s="109">
        <x:v>13</x:v>
      </x:c>
      <x:c r="J59" s="101">
        <x:v>8</x:v>
      </x:c>
      <x:c r="K59" s="101">
        <x:v>10</x:v>
      </x:c>
      <x:c r="L59" s="21"/>
      <x:c r="M59" s="22"/>
      <x:c r="N59" s="93">
        <x:f t="shared" si="0"/>
        <x:v>31</x:v>
      </x:c>
      <x:c r="O59" s="23">
        <x:f t="shared" si="1"/>
        <x:v>341000</x:v>
      </x:c>
    </x:row>
    <x:row r="60" spans="1:15">
      <x:c r="A60" s="236"/>
      <x:c r="B60" s="49" t="s">
        <x:v>42</x:v>
      </x:c>
      <x:c r="C60" s="49" t="s">
        <x:v>60</x:v>
      </x:c>
      <x:c r="D60" s="49" t="s">
        <x:v>129</x:v>
      </x:c>
      <x:c r="E60" s="56">
        <x:v>19000</x:v>
      </x:c>
      <x:c r="F60" s="57">
        <x:v>10</x:v>
      </x:c>
      <x:c r="G60" s="78">
        <x:v>190000</x:v>
      </x:c>
      <x:c r="H60" s="145"/>
      <x:c r="I60" s="116"/>
      <x:c r="J60" s="111"/>
      <x:c r="K60" s="111"/>
      <x:c r="L60" s="61"/>
      <x:c r="M60" s="62"/>
      <x:c r="N60" s="96">
        <x:f t="shared" si="0"/>
        <x:v>0</x:v>
      </x:c>
      <x:c r="O60" s="50">
        <x:f t="shared" si="1"/>
        <x:v>0</x:v>
      </x:c>
    </x:row>
    <x:row r="61" spans="1:15">
      <x:c r="A61" s="210" t="s">
        <x:v>140</x:v>
      </x:c>
      <x:c r="B61" s="15" t="s">
        <x:v>34</x:v>
      </x:c>
      <x:c r="C61" s="15" t="s">
        <x:v>61</x:v>
      </x:c>
      <x:c r="D61" s="15" t="s">
        <x:v>90</x:v>
      </x:c>
      <x:c r="E61" s="16">
        <x:v>4000</x:v>
      </x:c>
      <x:c r="F61" s="17">
        <x:v>1</x:v>
      </x:c>
      <x:c r="G61" s="54">
        <x:v>4000</x:v>
      </x:c>
      <x:c r="H61" s="123">
        <x:v>0.089999999999999991</x:v>
      </x:c>
      <x:c r="I61" s="100">
        <x:v>1</x:v>
      </x:c>
      <x:c r="J61" s="101"/>
      <x:c r="K61" s="101"/>
      <x:c r="L61" s="21"/>
      <x:c r="M61" s="22"/>
      <x:c r="N61" s="97">
        <x:f t="shared" si="0"/>
        <x:v>1</x:v>
      </x:c>
      <x:c r="O61" s="99">
        <x:f t="shared" si="1"/>
        <x:v>4000</x:v>
      </x:c>
    </x:row>
    <x:row r="62" spans="1:15">
      <x:c r="A62" s="211"/>
      <x:c r="B62" s="35" t="s">
        <x:v>45</x:v>
      </x:c>
      <x:c r="C62" s="35" t="s">
        <x:v>61</x:v>
      </x:c>
      <x:c r="D62" s="35" t="s">
        <x:v>90</x:v>
      </x:c>
      <x:c r="E62" s="36">
        <x:v>4000</x:v>
      </x:c>
      <x:c r="F62" s="37">
        <x:v>1</x:v>
      </x:c>
      <x:c r="G62" s="38">
        <x:v>4000</x:v>
      </x:c>
      <x:c r="H62" s="121">
        <x:v>1.0600000000000001</x:v>
      </x:c>
      <x:c r="I62" s="106"/>
      <x:c r="J62" s="107"/>
      <x:c r="K62" s="107"/>
      <x:c r="L62" s="41"/>
      <x:c r="M62" s="42"/>
      <x:c r="N62" s="94">
        <x:f t="shared" si="0"/>
        <x:v>0</x:v>
      </x:c>
      <x:c r="O62" s="43">
        <x:f t="shared" si="1"/>
        <x:v>0</x:v>
      </x:c>
    </x:row>
    <x:row r="63" spans="1:15">
      <x:c r="A63" s="211"/>
      <x:c r="B63" s="35" t="s">
        <x:v>146</x:v>
      </x:c>
      <x:c r="C63" s="35" t="s">
        <x:v>61</x:v>
      </x:c>
      <x:c r="D63" s="35" t="s">
        <x:v>90</x:v>
      </x:c>
      <x:c r="E63" s="36">
        <x:v>4000</x:v>
      </x:c>
      <x:c r="F63" s="37">
        <x:v>1</x:v>
      </x:c>
      <x:c r="G63" s="38">
        <x:v>4000</x:v>
      </x:c>
      <x:c r="H63" s="121">
        <x:v>1.0700000000000001</x:v>
      </x:c>
      <x:c r="I63" s="106"/>
      <x:c r="J63" s="107"/>
      <x:c r="K63" s="107"/>
      <x:c r="L63" s="41"/>
      <x:c r="M63" s="42"/>
      <x:c r="N63" s="94">
        <x:f t="shared" si="0"/>
        <x:v>0</x:v>
      </x:c>
      <x:c r="O63" s="43">
        <x:f t="shared" si="1"/>
        <x:v>0</x:v>
      </x:c>
    </x:row>
    <x:row r="64" spans="1:15">
      <x:c r="A64" s="212"/>
      <x:c r="B64" s="49" t="s">
        <x:v>76</x:v>
      </x:c>
      <x:c r="C64" s="49" t="s">
        <x:v>61</x:v>
      </x:c>
      <x:c r="D64" s="49" t="s">
        <x:v>90</x:v>
      </x:c>
      <x:c r="E64" s="56">
        <x:v>4300</x:v>
      </x:c>
      <x:c r="F64" s="57">
        <x:v>1</x:v>
      </x:c>
      <x:c r="G64" s="58">
        <x:v>4300</x:v>
      </x:c>
      <x:c r="H64" s="145">
        <x:v>1.02</x:v>
      </x:c>
      <x:c r="I64" s="110"/>
      <x:c r="J64" s="111"/>
      <x:c r="K64" s="111"/>
      <x:c r="L64" s="61"/>
      <x:c r="M64" s="62"/>
      <x:c r="N64" s="96">
        <x:f t="shared" si="0"/>
        <x:v>0</x:v>
      </x:c>
      <x:c r="O64" s="50">
        <x:f t="shared" si="1"/>
        <x:v>0</x:v>
      </x:c>
    </x:row>
    <x:row r="65" spans="1:15">
      <x:c r="A65" s="64"/>
      <x:c r="B65" s="64"/>
      <x:c r="C65" s="64"/>
      <x:c r="D65" s="64"/>
      <x:c r="E65" s="64">
        <x:f t="shared" ref="E65:O65" si="2">SUM(E5:E64)</x:f>
        <x:v>264772.21499999997</x:v>
      </x:c>
      <x:c r="F65" s="64">
        <x:f t="shared" si="2"/>
        <x:v>76591</x:v>
      </x:c>
      <x:c r="G65" s="64">
        <x:f t="shared" si="2"/>
        <x:v>2926010</x:v>
      </x:c>
      <x:c r="H65" s="144">
        <x:f t="shared" si="2"/>
        <x:v>12600.24</x:v>
      </x:c>
      <x:c r="I65" s="64">
        <x:f t="shared" si="2"/>
        <x:v>1122</x:v>
      </x:c>
      <x:c r="J65" s="64">
        <x:f t="shared" si="2"/>
        <x:v>4520</x:v>
      </x:c>
      <x:c r="K65" s="64">
        <x:f t="shared" si="2"/>
        <x:v>1528</x:v>
      </x:c>
      <x:c r="L65" s="64">
        <x:f t="shared" si="2"/>
        <x:v>0</x:v>
      </x:c>
      <x:c r="M65" s="64">
        <x:f t="shared" si="2"/>
        <x:v>0</x:v>
      </x:c>
      <x:c r="N65" s="92">
        <x:f t="shared" si="2"/>
        <x:v>7170</x:v>
      </x:c>
      <x:c r="O65" s="98">
        <x:f t="shared" si="2"/>
        <x:v>774690</x:v>
      </x:c>
    </x:row>
  </x:sheetData>
  <x:mergeCells count="7">
    <x:mergeCell ref="A61:A64"/>
    <x:mergeCell ref="A1:O2"/>
    <x:mergeCell ref="A5:A36"/>
    <x:mergeCell ref="A37:A38"/>
    <x:mergeCell ref="A39:A48"/>
    <x:mergeCell ref="A49:A58"/>
    <x:mergeCell ref="A59:A60"/>
  </x:mergeCells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본사창고</vt:lpstr>
      <vt:lpstr>교육용,R&amp;D,삼의원(잇다카페)</vt:lpstr>
      <vt:lpstr>푸른솔</vt:lpstr>
      <vt:lpstr>의과대학</vt:lpstr>
      <vt:lpstr>중앙도서관</vt:lpstr>
      <vt:lpstr>학생회관</vt:lpstr>
      <vt:lpstr>멀티미디어관</vt:lpstr>
      <vt:lpstr>제2기숙사</vt:lpstr>
      <vt:lpstr>선승관</vt:lpstr>
      <vt:lpstr>예술디자인대</vt:lpstr>
      <vt:lpstr>공학관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</cp:lastModifiedBy>
  <cp:revision>3</cp:revision>
  <cp:lastPrinted>2023-11-03T05:10:55.000</cp:lastPrinted>
  <dcterms:created xsi:type="dcterms:W3CDTF">2023-09-22T00:54:38.000</dcterms:created>
  <dcterms:modified xsi:type="dcterms:W3CDTF">2025-02-04T08:29:48.165</dcterms:modified>
  <cp:version>1000.0100.01</cp:version>
</cp:coreProperties>
</file>