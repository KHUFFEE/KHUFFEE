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카페쿠피\"/>
    </mc:Choice>
  </mc:AlternateContent>
  <xr:revisionPtr revIDLastSave="0" documentId="13_ncr:1_{6AF3882A-8822-4328-A594-53D2B84CA69D}" xr6:coauthVersionLast="47" xr6:coauthVersionMax="47" xr10:uidLastSave="{00000000-0000-0000-0000-000000000000}"/>
  <bookViews>
    <workbookView xWindow="-120" yWindow="-120" windowWidth="29040" windowHeight="15840" xr2:uid="{A0377ED1-FE1A-4F6E-91AD-31EE06721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" i="1" l="1"/>
  <c r="F15" i="1" s="1"/>
  <c r="B20" i="1"/>
  <c r="B21" i="1"/>
  <c r="B23" i="1"/>
  <c r="B24" i="1"/>
  <c r="B25" i="1"/>
  <c r="B27" i="1"/>
  <c r="B28" i="1"/>
  <c r="B29" i="1"/>
  <c r="B31" i="1"/>
  <c r="B19" i="1"/>
  <c r="D4" i="1"/>
  <c r="H4" i="1" s="1"/>
  <c r="G4" i="1" s="1"/>
  <c r="D5" i="1"/>
  <c r="H5" i="1" s="1"/>
  <c r="G5" i="1" s="1"/>
  <c r="D7" i="1"/>
  <c r="D8" i="1"/>
  <c r="H8" i="1" s="1"/>
  <c r="G8" i="1" s="1"/>
  <c r="D9" i="1"/>
  <c r="H9" i="1" s="1"/>
  <c r="G9" i="1" s="1"/>
  <c r="D11" i="1"/>
  <c r="D12" i="1"/>
  <c r="D13" i="1"/>
  <c r="D3" i="1"/>
  <c r="H3" i="1" s="1"/>
  <c r="G3" i="1" s="1"/>
  <c r="H15" i="1" l="1"/>
  <c r="G15" i="1" s="1"/>
  <c r="B37" i="1"/>
  <c r="B45" i="1"/>
  <c r="B40" i="1"/>
  <c r="B44" i="1"/>
  <c r="B39" i="1"/>
  <c r="B35" i="1"/>
  <c r="H27" i="1"/>
  <c r="B43" i="1"/>
  <c r="B47" i="1"/>
  <c r="B41" i="1"/>
  <c r="B36" i="1"/>
  <c r="F12" i="1"/>
  <c r="C28" i="1"/>
  <c r="D28" i="1" s="1"/>
  <c r="F28" i="1"/>
  <c r="G28" i="1" s="1"/>
  <c r="C23" i="1"/>
  <c r="D23" i="1" s="1"/>
  <c r="F23" i="1"/>
  <c r="G23" i="1" s="1"/>
  <c r="C24" i="1"/>
  <c r="D24" i="1" s="1"/>
  <c r="F24" i="1"/>
  <c r="G24" i="1" s="1"/>
  <c r="F19" i="1"/>
  <c r="G19" i="1" s="1"/>
  <c r="C19" i="1"/>
  <c r="D19" i="1" s="1"/>
  <c r="F11" i="1"/>
  <c r="F27" i="1"/>
  <c r="G27" i="1" s="1"/>
  <c r="C27" i="1"/>
  <c r="D27" i="1" s="1"/>
  <c r="F21" i="1"/>
  <c r="G21" i="1" s="1"/>
  <c r="C21" i="1"/>
  <c r="D21" i="1" s="1"/>
  <c r="H11" i="1"/>
  <c r="G11" i="1" s="1"/>
  <c r="F3" i="1"/>
  <c r="F13" i="1"/>
  <c r="C29" i="1"/>
  <c r="D29" i="1" s="1"/>
  <c r="F29" i="1"/>
  <c r="G29" i="1" s="1"/>
  <c r="H13" i="1"/>
  <c r="G13" i="1" s="1"/>
  <c r="F31" i="1"/>
  <c r="G31" i="1" s="1"/>
  <c r="C31" i="1"/>
  <c r="D31" i="1" s="1"/>
  <c r="F25" i="1"/>
  <c r="G25" i="1" s="1"/>
  <c r="C25" i="1"/>
  <c r="D25" i="1" s="1"/>
  <c r="F20" i="1"/>
  <c r="G20" i="1" s="1"/>
  <c r="C20" i="1"/>
  <c r="D20" i="1" s="1"/>
  <c r="H7" i="1"/>
  <c r="G7" i="1" s="1"/>
  <c r="H12" i="1"/>
  <c r="G12" i="1" s="1"/>
  <c r="F4" i="1"/>
  <c r="F8" i="1"/>
  <c r="F5" i="1"/>
  <c r="F9" i="1"/>
  <c r="F7" i="1"/>
  <c r="E28" i="1" l="1"/>
  <c r="F44" i="1" s="1"/>
  <c r="H44" i="1" s="1"/>
  <c r="E25" i="1"/>
  <c r="H28" i="1"/>
  <c r="E24" i="1"/>
  <c r="F40" i="1" s="1"/>
  <c r="G40" i="1" s="1"/>
  <c r="H25" i="1"/>
  <c r="E20" i="1"/>
  <c r="E21" i="1"/>
  <c r="F37" i="1" s="1"/>
  <c r="H23" i="1"/>
  <c r="H20" i="1"/>
  <c r="E31" i="1"/>
  <c r="E27" i="1"/>
  <c r="E29" i="1"/>
  <c r="F41" i="1"/>
  <c r="G41" i="1" s="1"/>
  <c r="C41" i="1"/>
  <c r="D41" i="1" s="1"/>
  <c r="C36" i="1"/>
  <c r="D36" i="1" s="1"/>
  <c r="F36" i="1"/>
  <c r="G36" i="1" s="1"/>
  <c r="H19" i="1"/>
  <c r="H21" i="1"/>
  <c r="H31" i="1"/>
  <c r="E19" i="1"/>
  <c r="E23" i="1"/>
  <c r="H24" i="1"/>
  <c r="H29" i="1"/>
  <c r="C40" i="1" l="1"/>
  <c r="D40" i="1" s="1"/>
  <c r="C44" i="1"/>
  <c r="D44" i="1" s="1"/>
  <c r="E36" i="1"/>
  <c r="C37" i="1"/>
  <c r="H40" i="1"/>
  <c r="E44" i="1"/>
  <c r="G44" i="1"/>
  <c r="G37" i="1"/>
  <c r="H37" i="1"/>
  <c r="C47" i="1"/>
  <c r="F47" i="1"/>
  <c r="E41" i="1"/>
  <c r="E40" i="1"/>
  <c r="C43" i="1"/>
  <c r="F43" i="1"/>
  <c r="F39" i="1"/>
  <c r="C39" i="1"/>
  <c r="H36" i="1"/>
  <c r="F35" i="1"/>
  <c r="C35" i="1"/>
  <c r="H41" i="1"/>
  <c r="C45" i="1"/>
  <c r="F45" i="1"/>
  <c r="D37" i="1" l="1"/>
  <c r="E37" i="1"/>
  <c r="D39" i="1"/>
  <c r="E39" i="1"/>
  <c r="D35" i="1"/>
  <c r="E35" i="1"/>
  <c r="G39" i="1"/>
  <c r="H39" i="1"/>
  <c r="G45" i="1"/>
  <c r="H45" i="1"/>
  <c r="G35" i="1"/>
  <c r="H35" i="1"/>
  <c r="G43" i="1"/>
  <c r="H43" i="1"/>
  <c r="G47" i="1"/>
  <c r="H47" i="1"/>
  <c r="D45" i="1"/>
  <c r="E45" i="1"/>
  <c r="D43" i="1"/>
  <c r="E43" i="1"/>
  <c r="D47" i="1"/>
  <c r="E47" i="1"/>
</calcChain>
</file>

<file path=xl/sharedStrings.xml><?xml version="1.0" encoding="utf-8"?>
<sst xmlns="http://schemas.openxmlformats.org/spreadsheetml/2006/main" count="140" uniqueCount="34">
  <si>
    <t>케이크</t>
    <phoneticPr fontId="2" type="noConversion"/>
  </si>
  <si>
    <t>플레인</t>
    <phoneticPr fontId="2" type="noConversion"/>
  </si>
  <si>
    <t>얼그레이</t>
    <phoneticPr fontId="2" type="noConversion"/>
  </si>
  <si>
    <t>다크초코</t>
    <phoneticPr fontId="2" type="noConversion"/>
  </si>
  <si>
    <t>쿠키</t>
    <phoneticPr fontId="2" type="noConversion"/>
  </si>
  <si>
    <t>말차크럼블</t>
    <phoneticPr fontId="2" type="noConversion"/>
  </si>
  <si>
    <t>로투스</t>
    <phoneticPr fontId="2" type="noConversion"/>
  </si>
  <si>
    <t>오레오</t>
    <phoneticPr fontId="2" type="noConversion"/>
  </si>
  <si>
    <t>버터바</t>
    <phoneticPr fontId="2" type="noConversion"/>
  </si>
  <si>
    <t>초코나무숲</t>
    <phoneticPr fontId="2" type="noConversion"/>
  </si>
  <si>
    <t>레몬라즈베리</t>
    <phoneticPr fontId="2" type="noConversion"/>
  </si>
  <si>
    <t>결스콘</t>
    <phoneticPr fontId="2" type="noConversion"/>
  </si>
  <si>
    <t>최소주문</t>
    <phoneticPr fontId="2" type="noConversion"/>
  </si>
  <si>
    <t>16</t>
    <phoneticPr fontId="2" type="noConversion"/>
  </si>
  <si>
    <t>24</t>
    <phoneticPr fontId="2" type="noConversion"/>
  </si>
  <si>
    <t>30</t>
    <phoneticPr fontId="2" type="noConversion"/>
  </si>
  <si>
    <t>28</t>
    <phoneticPr fontId="2" type="noConversion"/>
  </si>
  <si>
    <t>판매가</t>
    <phoneticPr fontId="2" type="noConversion"/>
  </si>
  <si>
    <t>기타</t>
    <phoneticPr fontId="2" type="noConversion"/>
  </si>
  <si>
    <t>원가율</t>
    <phoneticPr fontId="2" type="noConversion"/>
  </si>
  <si>
    <t>마진율</t>
    <phoneticPr fontId="2" type="noConversion"/>
  </si>
  <si>
    <t>마진 금액</t>
    <phoneticPr fontId="2" type="noConversion"/>
  </si>
  <si>
    <t>판매가</t>
    <phoneticPr fontId="2" type="noConversion"/>
  </si>
  <si>
    <t>원가hot</t>
    <phoneticPr fontId="2" type="noConversion"/>
  </si>
  <si>
    <t>원가ice</t>
    <phoneticPr fontId="2" type="noConversion"/>
  </si>
  <si>
    <t>마진율hot</t>
    <phoneticPr fontId="2" type="noConversion"/>
  </si>
  <si>
    <t>마진율ice</t>
    <phoneticPr fontId="2" type="noConversion"/>
  </si>
  <si>
    <t>매입가</t>
  </si>
  <si>
    <t>매입가</t>
    <phoneticPr fontId="2" type="noConversion"/>
  </si>
  <si>
    <t>조각 원가</t>
    <phoneticPr fontId="2" type="noConversion"/>
  </si>
  <si>
    <r>
      <t xml:space="preserve">디저트 </t>
    </r>
    <r>
      <rPr>
        <b/>
        <sz val="11"/>
        <color theme="1"/>
        <rFont val="맑은 고딕"/>
        <family val="3"/>
        <charset val="129"/>
        <scheme val="minor"/>
      </rPr>
      <t>(단일 품목)</t>
    </r>
    <phoneticPr fontId="2" type="noConversion"/>
  </si>
  <si>
    <t xml:space="preserve"> </t>
    <phoneticPr fontId="2" type="noConversion"/>
  </si>
  <si>
    <r>
      <t>아메리카노 세트 {</t>
    </r>
    <r>
      <rPr>
        <b/>
        <sz val="11"/>
        <color theme="1"/>
        <rFont val="맑은 고딕"/>
        <family val="3"/>
        <charset val="129"/>
        <scheme val="minor"/>
      </rPr>
      <t xml:space="preserve">판매가 산정: (디저트 판매가+아메리카노 L: 3,000원)-세트 할인: 500원} </t>
    </r>
    <phoneticPr fontId="2" type="noConversion"/>
  </si>
  <si>
    <r>
      <t xml:space="preserve">카페라떼 세트 </t>
    </r>
    <r>
      <rPr>
        <b/>
        <sz val="11"/>
        <color theme="1"/>
        <rFont val="맑은 고딕"/>
        <family val="3"/>
        <charset val="129"/>
        <scheme val="minor"/>
      </rPr>
      <t xml:space="preserve">{판매가 산정: (디저트 판매가+카페라떼 L: 3,300원)-세트 할인: 500원}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</si>
</sst>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@&quot;조&quot;&quot;각&quot;"/>
    <numFmt numFmtId="177" formatCode="_-* #,##0.0_-;\-* #,##0.0_-;_-* &quot;-&quot;?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41" fontId="0" fillId="0" borderId="0" xfId="1" applyNumberFormat="1" applyFont="1">
      <alignment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>
      <alignment vertical="center"/>
    </xf>
    <xf numFmtId="41" fontId="0" fillId="0" borderId="3" xfId="1" applyNumberFormat="1" applyFont="1" applyBorder="1">
      <alignment vertical="center"/>
    </xf>
    <xf numFmtId="41" fontId="0" fillId="0" borderId="4" xfId="1" applyNumberFormat="1" applyFont="1" applyBorder="1">
      <alignment vertical="center"/>
    </xf>
    <xf numFmtId="41" fontId="0" fillId="0" borderId="0" xfId="1" applyNumberFormat="1" applyFont="1" applyBorder="1">
      <alignment vertical="center"/>
    </xf>
    <xf numFmtId="176" fontId="0" fillId="0" borderId="4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41" fontId="0" fillId="2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3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1" fontId="0" fillId="4" borderId="1" xfId="1" applyNumberFormat="1" applyFont="1" applyFill="1" applyBorder="1" applyAlignment="1">
      <alignment horizontal="center" vertical="center"/>
    </xf>
    <xf numFmtId="43" fontId="0" fillId="0" borderId="2" xfId="1" applyNumberFormat="1" applyFont="1" applyBorder="1">
      <alignment vertical="center"/>
    </xf>
    <xf numFmtId="43" fontId="0" fillId="0" borderId="3" xfId="1" applyNumberFormat="1" applyFont="1" applyBorder="1">
      <alignment vertical="center"/>
    </xf>
    <xf numFmtId="177" fontId="0" fillId="0" borderId="0" xfId="0" applyNumberFormat="1">
      <alignment vertical="center"/>
    </xf>
    <xf numFmtId="177" fontId="0" fillId="2" borderId="1" xfId="1" applyNumberFormat="1" applyFont="1" applyFill="1" applyBorder="1" applyAlignment="1">
      <alignment horizontal="center" vertical="center"/>
    </xf>
    <xf numFmtId="177" fontId="0" fillId="3" borderId="1" xfId="1" applyNumberFormat="1" applyFont="1" applyFill="1" applyBorder="1" applyAlignment="1">
      <alignment horizontal="center" vertical="center"/>
    </xf>
    <xf numFmtId="177" fontId="0" fillId="4" borderId="1" xfId="1" applyNumberFormat="1" applyFont="1" applyFill="1" applyBorder="1" applyAlignment="1">
      <alignment horizontal="center" vertical="center"/>
    </xf>
    <xf numFmtId="177" fontId="0" fillId="0" borderId="0" xfId="1" applyNumberFormat="1" applyFont="1">
      <alignment vertical="center"/>
    </xf>
    <xf numFmtId="177" fontId="0" fillId="0" borderId="3" xfId="1" applyNumberFormat="1" applyFont="1" applyBorder="1">
      <alignment vertical="center"/>
    </xf>
    <xf numFmtId="177" fontId="0" fillId="0" borderId="4" xfId="1" applyNumberFormat="1" applyFont="1" applyBorder="1">
      <alignment vertical="center"/>
    </xf>
    <xf numFmtId="10" fontId="0" fillId="0" borderId="0" xfId="2" applyNumberFormat="1" applyFont="1">
      <alignment vertical="center"/>
    </xf>
    <xf numFmtId="10" fontId="0" fillId="0" borderId="4" xfId="2" applyNumberFormat="1" applyFont="1" applyBorder="1">
      <alignment vertical="center"/>
    </xf>
    <xf numFmtId="10" fontId="0" fillId="0" borderId="0" xfId="0" applyNumberFormat="1">
      <alignment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3" borderId="1" xfId="1" applyNumberFormat="1" applyFon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0" fontId="0" fillId="0" borderId="3" xfId="0" applyNumberFormat="1" applyBorder="1">
      <alignment vertical="center"/>
    </xf>
    <xf numFmtId="177" fontId="0" fillId="0" borderId="3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41" fontId="0" fillId="0" borderId="3" xfId="0" applyNumberFormat="1" applyBorder="1">
      <alignment vertical="center"/>
    </xf>
    <xf numFmtId="43" fontId="0" fillId="0" borderId="3" xfId="0" applyNumberFormat="1" applyBorder="1">
      <alignment vertical="center"/>
    </xf>
    <xf numFmtId="10" fontId="0" fillId="0" borderId="3" xfId="2" applyNumberFormat="1" applyFont="1" applyBorder="1">
      <alignment vertical="center"/>
    </xf>
    <xf numFmtId="10" fontId="0" fillId="2" borderId="1" xfId="2" applyNumberFormat="1" applyFon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10" fontId="0" fillId="4" borderId="1" xfId="2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7" fontId="0" fillId="5" borderId="1" xfId="1" applyNumberFormat="1" applyFont="1" applyFill="1" applyBorder="1" applyAlignment="1">
      <alignment horizontal="center" vertical="center"/>
    </xf>
    <xf numFmtId="41" fontId="0" fillId="5" borderId="1" xfId="1" applyNumberFormat="1" applyFont="1" applyFill="1" applyBorder="1" applyAlignment="1">
      <alignment horizontal="center" vertical="center"/>
    </xf>
    <xf numFmtId="10" fontId="0" fillId="5" borderId="1" xfId="1" applyNumberFormat="1" applyFont="1" applyFill="1" applyBorder="1" applyAlignment="1">
      <alignment horizontal="center" vertical="center"/>
    </xf>
    <xf numFmtId="10" fontId="0" fillId="5" borderId="1" xfId="2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5" xfId="0" applyNumberFormat="1" applyBorder="1">
      <alignment vertical="center"/>
    </xf>
    <xf numFmtId="41" fontId="0" fillId="0" borderId="5" xfId="1" applyNumberFormat="1" applyFont="1" applyBorder="1">
      <alignment vertical="center"/>
    </xf>
    <xf numFmtId="177" fontId="0" fillId="0" borderId="5" xfId="1" applyNumberFormat="1" applyFont="1" applyBorder="1">
      <alignment vertical="center"/>
    </xf>
    <xf numFmtId="10" fontId="0" fillId="0" borderId="5" xfId="2" applyNumberFormat="1" applyFont="1" applyBorder="1">
      <alignment vertical="center"/>
    </xf>
    <xf numFmtId="10" fontId="0" fillId="0" borderId="5" xfId="0" applyNumberFormat="1" applyBorder="1">
      <alignment vertical="center"/>
    </xf>
    <xf numFmtId="41" fontId="0" fillId="0" borderId="5" xfId="0" applyNumberFormat="1" applyBorder="1">
      <alignment vertical="center"/>
    </xf>
    <xf numFmtId="43" fontId="0" fillId="0" borderId="5" xfId="0" applyNumberFormat="1" applyBorder="1">
      <alignment vertical="center"/>
    </xf>
    <xf numFmtId="177" fontId="0" fillId="0" borderId="5" xfId="0" applyNumberFormat="1" applyBorder="1">
      <alignment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>
      <alignment vertical="center"/>
    </xf>
    <xf numFmtId="41" fontId="0" fillId="0" borderId="6" xfId="1" applyNumberFormat="1" applyFont="1" applyBorder="1">
      <alignment vertical="center"/>
    </xf>
    <xf numFmtId="177" fontId="0" fillId="0" borderId="6" xfId="1" applyNumberFormat="1" applyFont="1" applyBorder="1">
      <alignment vertical="center"/>
    </xf>
    <xf numFmtId="10" fontId="0" fillId="0" borderId="6" xfId="2" applyNumberFormat="1" applyFont="1" applyBorder="1">
      <alignment vertical="center"/>
    </xf>
    <xf numFmtId="10" fontId="0" fillId="0" borderId="6" xfId="0" applyNumberFormat="1" applyBorder="1">
      <alignment vertical="center"/>
    </xf>
    <xf numFmtId="177" fontId="0" fillId="0" borderId="6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7" xfId="0" applyNumberFormat="1" applyBorder="1">
      <alignment vertical="center"/>
    </xf>
    <xf numFmtId="41" fontId="0" fillId="0" borderId="7" xfId="1" applyNumberFormat="1" applyFont="1" applyBorder="1">
      <alignment vertical="center"/>
    </xf>
    <xf numFmtId="177" fontId="0" fillId="0" borderId="7" xfId="1" applyNumberFormat="1" applyFont="1" applyBorder="1">
      <alignment vertical="center"/>
    </xf>
    <xf numFmtId="10" fontId="0" fillId="0" borderId="7" xfId="2" applyNumberFormat="1" applyFont="1" applyBorder="1">
      <alignment vertical="center"/>
    </xf>
    <xf numFmtId="10" fontId="0" fillId="0" borderId="7" xfId="0" applyNumberFormat="1" applyBorder="1">
      <alignment vertical="center"/>
    </xf>
    <xf numFmtId="177" fontId="0" fillId="0" borderId="7" xfId="0" applyNumberFormat="1" applyBorder="1">
      <alignment vertical="center"/>
    </xf>
    <xf numFmtId="41" fontId="0" fillId="0" borderId="6" xfId="0" applyNumberFormat="1" applyBorder="1">
      <alignment vertical="center"/>
    </xf>
    <xf numFmtId="43" fontId="0" fillId="0" borderId="6" xfId="0" applyNumberFormat="1" applyBorder="1">
      <alignment vertical="center"/>
    </xf>
    <xf numFmtId="10" fontId="0" fillId="2" borderId="1" xfId="0" applyNumberFormat="1" applyFill="1" applyBorder="1" applyAlignment="1">
      <alignment horizontal="center" vertical="center"/>
    </xf>
    <xf numFmtId="41" fontId="0" fillId="0" borderId="7" xfId="0" applyNumberFormat="1" applyBorder="1">
      <alignment vertical="center"/>
    </xf>
    <xf numFmtId="43" fontId="0" fillId="0" borderId="7" xfId="0" applyNumberFormat="1" applyBorder="1">
      <alignment vertical="center"/>
    </xf>
    <xf numFmtId="10" fontId="0" fillId="3" borderId="1" xfId="0" applyNumberForma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43" fontId="0" fillId="5" borderId="1" xfId="1" applyNumberFormat="1" applyFont="1" applyFill="1" applyBorder="1">
      <alignment vertical="center"/>
    </xf>
    <xf numFmtId="177" fontId="0" fillId="5" borderId="1" xfId="1" applyNumberFormat="1" applyFont="1" applyFill="1" applyBorder="1">
      <alignment vertical="center"/>
    </xf>
    <xf numFmtId="43" fontId="0" fillId="4" borderId="1" xfId="1" applyNumberFormat="1" applyFont="1" applyFill="1" applyBorder="1">
      <alignment vertical="center"/>
    </xf>
    <xf numFmtId="177" fontId="0" fillId="4" borderId="1" xfId="1" applyNumberFormat="1" applyFont="1" applyFill="1" applyBorder="1">
      <alignment vertical="center"/>
    </xf>
    <xf numFmtId="43" fontId="0" fillId="3" borderId="1" xfId="1" applyNumberFormat="1" applyFont="1" applyFill="1" applyBorder="1">
      <alignment vertical="center"/>
    </xf>
    <xf numFmtId="177" fontId="0" fillId="3" borderId="1" xfId="1" applyNumberFormat="1" applyFont="1" applyFill="1" applyBorder="1">
      <alignment vertical="center"/>
    </xf>
    <xf numFmtId="43" fontId="0" fillId="2" borderId="1" xfId="1" applyNumberFormat="1" applyFont="1" applyFill="1" applyBorder="1">
      <alignment vertical="center"/>
    </xf>
    <xf numFmtId="177" fontId="0" fillId="2" borderId="1" xfId="1" applyNumberFormat="1" applyFont="1" applyFill="1" applyBorder="1">
      <alignment vertical="center"/>
    </xf>
    <xf numFmtId="43" fontId="0" fillId="0" borderId="7" xfId="1" applyNumberFormat="1" applyFont="1" applyBorder="1">
      <alignment vertical="center"/>
    </xf>
    <xf numFmtId="43" fontId="0" fillId="0" borderId="8" xfId="1" applyNumberFormat="1" applyFont="1" applyBorder="1">
      <alignment vertical="center"/>
    </xf>
    <xf numFmtId="43" fontId="0" fillId="0" borderId="9" xfId="1" applyNumberFormat="1" applyFont="1" applyBorder="1">
      <alignment vertical="center"/>
    </xf>
    <xf numFmtId="43" fontId="0" fillId="0" borderId="5" xfId="1" applyNumberFormat="1" applyFont="1" applyBorder="1">
      <alignment vertical="center"/>
    </xf>
    <xf numFmtId="43" fontId="0" fillId="0" borderId="6" xfId="1" applyNumberFormat="1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76" fontId="0" fillId="0" borderId="0" xfId="0" applyNumberFormat="1">
      <alignment vertical="center"/>
    </xf>
  </cellXfs>
  <cellStyles count="3">
    <cellStyle name="백분율" xfId="2" builtinId="5"/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F510-B190-430E-8E17-BB36E3580A3F}">
  <sheetPr>
    <pageSetUpPr fitToPage="1"/>
  </sheetPr>
  <dimension ref="A1:M47"/>
  <sheetViews>
    <sheetView tabSelected="1" workbookViewId="0">
      <selection activeCell="I3" sqref="I3:J16"/>
    </sheetView>
  </sheetViews>
  <sheetFormatPr defaultRowHeight="16.5" x14ac:dyDescent="0.3"/>
  <cols>
    <col min="1" max="2" width="12.625" customWidth="1"/>
    <col min="3" max="3" width="12.625" style="1" customWidth="1"/>
    <col min="4" max="4" width="12.625" style="20" customWidth="1"/>
    <col min="5" max="5" width="12.625" style="1" customWidth="1"/>
    <col min="6" max="6" width="12.625" style="23" customWidth="1"/>
    <col min="7" max="7" width="12.625" style="25" customWidth="1"/>
    <col min="8" max="8" width="12.625" style="16" customWidth="1"/>
    <col min="9" max="9" width="14.875" customWidth="1"/>
    <col min="10" max="10" width="9.75" bestFit="1" customWidth="1"/>
    <col min="11" max="11" width="9.75" style="23" customWidth="1"/>
    <col min="12" max="12" width="9.75" bestFit="1" customWidth="1"/>
    <col min="13" max="13" width="9" style="25"/>
  </cols>
  <sheetData>
    <row r="1" spans="1:10" ht="17.25" thickBot="1" x14ac:dyDescent="0.35">
      <c r="A1" s="87" t="s">
        <v>30</v>
      </c>
      <c r="B1" s="88"/>
      <c r="C1" s="88"/>
      <c r="D1" s="88"/>
      <c r="E1" s="88"/>
      <c r="F1" s="88"/>
      <c r="G1" s="88"/>
      <c r="H1" s="89"/>
    </row>
    <row r="2" spans="1:10" ht="17.25" thickBot="1" x14ac:dyDescent="0.35">
      <c r="A2" s="8" t="s">
        <v>0</v>
      </c>
      <c r="B2" s="8" t="s">
        <v>12</v>
      </c>
      <c r="C2" s="9" t="s">
        <v>28</v>
      </c>
      <c r="D2" s="17" t="s">
        <v>29</v>
      </c>
      <c r="E2" s="9" t="s">
        <v>17</v>
      </c>
      <c r="F2" s="35" t="s">
        <v>19</v>
      </c>
      <c r="G2" s="26" t="s">
        <v>20</v>
      </c>
      <c r="H2" s="17" t="s">
        <v>21</v>
      </c>
    </row>
    <row r="3" spans="1:10" x14ac:dyDescent="0.3">
      <c r="A3" s="52" t="s">
        <v>1</v>
      </c>
      <c r="B3" s="53" t="s">
        <v>13</v>
      </c>
      <c r="C3" s="54">
        <v>63800</v>
      </c>
      <c r="D3" s="55">
        <f>C3/B3</f>
        <v>3987.5</v>
      </c>
      <c r="E3" s="54">
        <v>5500</v>
      </c>
      <c r="F3" s="56">
        <f>D3/E3</f>
        <v>0.72499999999999998</v>
      </c>
      <c r="G3" s="57">
        <f>H3/E3</f>
        <v>0.27500000000000002</v>
      </c>
      <c r="H3" s="58">
        <f>E3-D3</f>
        <v>1512.5</v>
      </c>
      <c r="I3" s="90"/>
      <c r="J3" s="90"/>
    </row>
    <row r="4" spans="1:10" x14ac:dyDescent="0.3">
      <c r="A4" s="43" t="s">
        <v>2</v>
      </c>
      <c r="B4" s="44" t="s">
        <v>13</v>
      </c>
      <c r="C4" s="45">
        <v>66000</v>
      </c>
      <c r="D4" s="46">
        <f t="shared" ref="D4:D15" si="0">C4/B4</f>
        <v>4125</v>
      </c>
      <c r="E4" s="45">
        <v>5800</v>
      </c>
      <c r="F4" s="47">
        <f>D4/E4</f>
        <v>0.71120689655172409</v>
      </c>
      <c r="G4" s="48">
        <f t="shared" ref="G4:G5" si="1">H4/E4</f>
        <v>0.28879310344827586</v>
      </c>
      <c r="H4" s="51">
        <f t="shared" ref="H4:H5" si="2">E4-D4</f>
        <v>1675</v>
      </c>
      <c r="I4" s="90"/>
      <c r="J4" s="90"/>
    </row>
    <row r="5" spans="1:10" ht="17.25" thickBot="1" x14ac:dyDescent="0.35">
      <c r="A5" s="59" t="s">
        <v>3</v>
      </c>
      <c r="B5" s="60" t="s">
        <v>13</v>
      </c>
      <c r="C5" s="61">
        <v>72600</v>
      </c>
      <c r="D5" s="62">
        <f t="shared" si="0"/>
        <v>4537.5</v>
      </c>
      <c r="E5" s="61">
        <v>5800</v>
      </c>
      <c r="F5" s="63">
        <f t="shared" ref="F5:F15" si="3">D5/E5</f>
        <v>0.78232758620689657</v>
      </c>
      <c r="G5" s="64">
        <f t="shared" si="1"/>
        <v>0.21767241379310345</v>
      </c>
      <c r="H5" s="65">
        <f t="shared" si="2"/>
        <v>1262.5</v>
      </c>
      <c r="I5" s="90"/>
      <c r="J5" s="90"/>
    </row>
    <row r="6" spans="1:10" ht="17.25" thickBot="1" x14ac:dyDescent="0.35">
      <c r="A6" s="10" t="s">
        <v>4</v>
      </c>
      <c r="B6" s="10" t="s">
        <v>12</v>
      </c>
      <c r="C6" s="11" t="s">
        <v>28</v>
      </c>
      <c r="D6" s="18" t="s">
        <v>29</v>
      </c>
      <c r="E6" s="11" t="s">
        <v>17</v>
      </c>
      <c r="F6" s="36" t="s">
        <v>19</v>
      </c>
      <c r="G6" s="27" t="s">
        <v>20</v>
      </c>
      <c r="H6" s="18" t="s">
        <v>21</v>
      </c>
      <c r="I6" s="90"/>
      <c r="J6" s="90"/>
    </row>
    <row r="7" spans="1:10" x14ac:dyDescent="0.3">
      <c r="A7" s="52" t="s">
        <v>5</v>
      </c>
      <c r="B7" s="53" t="s">
        <v>14</v>
      </c>
      <c r="C7" s="54">
        <v>66000</v>
      </c>
      <c r="D7" s="55">
        <f t="shared" si="0"/>
        <v>2750</v>
      </c>
      <c r="E7" s="54">
        <v>3900</v>
      </c>
      <c r="F7" s="56">
        <f t="shared" si="3"/>
        <v>0.70512820512820518</v>
      </c>
      <c r="G7" s="57">
        <f>H7/E7</f>
        <v>0.29487179487179488</v>
      </c>
      <c r="H7" s="58">
        <f>E7-D7</f>
        <v>1150</v>
      </c>
      <c r="I7" s="90"/>
      <c r="J7" s="90"/>
    </row>
    <row r="8" spans="1:10" x14ac:dyDescent="0.3">
      <c r="A8" s="43" t="s">
        <v>6</v>
      </c>
      <c r="B8" s="44" t="s">
        <v>14</v>
      </c>
      <c r="C8" s="45">
        <v>66000</v>
      </c>
      <c r="D8" s="46">
        <f t="shared" si="0"/>
        <v>2750</v>
      </c>
      <c r="E8" s="45">
        <v>3900</v>
      </c>
      <c r="F8" s="47">
        <f t="shared" si="3"/>
        <v>0.70512820512820518</v>
      </c>
      <c r="G8" s="48">
        <f t="shared" ref="G8:G9" si="4">H8/E8</f>
        <v>0.29487179487179488</v>
      </c>
      <c r="H8" s="51">
        <f t="shared" ref="H8:H9" si="5">E8-D8</f>
        <v>1150</v>
      </c>
      <c r="I8" s="90"/>
      <c r="J8" s="90"/>
    </row>
    <row r="9" spans="1:10" ht="17.25" thickBot="1" x14ac:dyDescent="0.35">
      <c r="A9" s="59" t="s">
        <v>7</v>
      </c>
      <c r="B9" s="60" t="s">
        <v>14</v>
      </c>
      <c r="C9" s="61">
        <v>66000</v>
      </c>
      <c r="D9" s="62">
        <f t="shared" si="0"/>
        <v>2750</v>
      </c>
      <c r="E9" s="61">
        <v>3900</v>
      </c>
      <c r="F9" s="63">
        <f t="shared" si="3"/>
        <v>0.70512820512820518</v>
      </c>
      <c r="G9" s="64">
        <f t="shared" si="4"/>
        <v>0.29487179487179488</v>
      </c>
      <c r="H9" s="65">
        <f t="shared" si="5"/>
        <v>1150</v>
      </c>
      <c r="I9" s="90"/>
      <c r="J9" s="90"/>
    </row>
    <row r="10" spans="1:10" ht="17.25" thickBot="1" x14ac:dyDescent="0.35">
      <c r="A10" s="12" t="s">
        <v>8</v>
      </c>
      <c r="B10" s="12" t="s">
        <v>12</v>
      </c>
      <c r="C10" s="13" t="s">
        <v>27</v>
      </c>
      <c r="D10" s="19" t="s">
        <v>29</v>
      </c>
      <c r="E10" s="13" t="s">
        <v>17</v>
      </c>
      <c r="F10" s="37" t="s">
        <v>19</v>
      </c>
      <c r="G10" s="28" t="s">
        <v>20</v>
      </c>
      <c r="H10" s="19" t="s">
        <v>21</v>
      </c>
      <c r="I10" s="90"/>
      <c r="J10" s="90"/>
    </row>
    <row r="11" spans="1:10" x14ac:dyDescent="0.3">
      <c r="A11" s="52" t="s">
        <v>1</v>
      </c>
      <c r="B11" s="53" t="s">
        <v>16</v>
      </c>
      <c r="C11" s="54">
        <v>70840</v>
      </c>
      <c r="D11" s="55">
        <f t="shared" si="0"/>
        <v>2530</v>
      </c>
      <c r="E11" s="54">
        <v>3600</v>
      </c>
      <c r="F11" s="56">
        <f t="shared" si="3"/>
        <v>0.70277777777777772</v>
      </c>
      <c r="G11" s="57">
        <f>H11/E11</f>
        <v>0.29722222222222222</v>
      </c>
      <c r="H11" s="58">
        <f>E11-D11</f>
        <v>1070</v>
      </c>
      <c r="I11" s="90"/>
      <c r="J11" s="90"/>
    </row>
    <row r="12" spans="1:10" x14ac:dyDescent="0.3">
      <c r="A12" s="43" t="s">
        <v>9</v>
      </c>
      <c r="B12" s="44" t="s">
        <v>16</v>
      </c>
      <c r="C12" s="45">
        <v>73920</v>
      </c>
      <c r="D12" s="46">
        <f t="shared" si="0"/>
        <v>2640</v>
      </c>
      <c r="E12" s="45">
        <v>3700</v>
      </c>
      <c r="F12" s="47">
        <f t="shared" si="3"/>
        <v>0.71351351351351355</v>
      </c>
      <c r="G12" s="48">
        <f t="shared" ref="G12:G13" si="6">H12/E12</f>
        <v>0.2864864864864865</v>
      </c>
      <c r="H12" s="51">
        <f>E12-D12</f>
        <v>1060</v>
      </c>
      <c r="I12" s="90"/>
      <c r="J12" s="90"/>
    </row>
    <row r="13" spans="1:10" ht="17.25" thickBot="1" x14ac:dyDescent="0.35">
      <c r="A13" s="59" t="s">
        <v>10</v>
      </c>
      <c r="B13" s="60" t="s">
        <v>16</v>
      </c>
      <c r="C13" s="61">
        <v>89320</v>
      </c>
      <c r="D13" s="62">
        <f t="shared" si="0"/>
        <v>3190</v>
      </c>
      <c r="E13" s="61">
        <v>4200</v>
      </c>
      <c r="F13" s="63">
        <f t="shared" si="3"/>
        <v>0.75952380952380949</v>
      </c>
      <c r="G13" s="64">
        <f t="shared" si="6"/>
        <v>0.24047619047619048</v>
      </c>
      <c r="H13" s="65">
        <f>E13-D13</f>
        <v>1010</v>
      </c>
      <c r="I13" s="90"/>
      <c r="J13" s="90"/>
    </row>
    <row r="14" spans="1:10" ht="17.25" thickBot="1" x14ac:dyDescent="0.35">
      <c r="A14" s="38" t="s">
        <v>18</v>
      </c>
      <c r="B14" s="38" t="s">
        <v>12</v>
      </c>
      <c r="C14" s="40" t="s">
        <v>27</v>
      </c>
      <c r="D14" s="39" t="s">
        <v>29</v>
      </c>
      <c r="E14" s="40" t="s">
        <v>17</v>
      </c>
      <c r="F14" s="42" t="s">
        <v>19</v>
      </c>
      <c r="G14" s="41" t="s">
        <v>20</v>
      </c>
      <c r="H14" s="39" t="s">
        <v>21</v>
      </c>
      <c r="I14" s="90"/>
      <c r="J14" s="90"/>
    </row>
    <row r="15" spans="1:10" ht="17.25" thickBot="1" x14ac:dyDescent="0.35">
      <c r="A15" s="2" t="s">
        <v>11</v>
      </c>
      <c r="B15" s="3" t="s">
        <v>15</v>
      </c>
      <c r="C15" s="4">
        <v>62700</v>
      </c>
      <c r="D15" s="21">
        <f t="shared" si="0"/>
        <v>2090</v>
      </c>
      <c r="E15" s="4">
        <v>3200</v>
      </c>
      <c r="F15" s="34">
        <f t="shared" si="3"/>
        <v>0.65312499999999996</v>
      </c>
      <c r="G15" s="29">
        <f>H15/E15</f>
        <v>0.34687499999999999</v>
      </c>
      <c r="H15" s="30">
        <f>E15-D15</f>
        <v>1110</v>
      </c>
      <c r="I15" s="90"/>
      <c r="J15" s="90"/>
    </row>
    <row r="16" spans="1:10" ht="17.25" thickBot="1" x14ac:dyDescent="0.35">
      <c r="A16" s="31"/>
      <c r="B16" s="7"/>
      <c r="C16" s="5"/>
      <c r="D16" s="22"/>
      <c r="E16" s="6"/>
      <c r="F16" s="24"/>
      <c r="I16" s="90"/>
      <c r="J16" s="90"/>
    </row>
    <row r="17" spans="1:9" ht="17.25" thickBot="1" x14ac:dyDescent="0.35">
      <c r="A17" s="87" t="s">
        <v>32</v>
      </c>
      <c r="B17" s="88"/>
      <c r="C17" s="88"/>
      <c r="D17" s="88"/>
      <c r="E17" s="88"/>
      <c r="F17" s="88"/>
      <c r="G17" s="88"/>
      <c r="H17" s="89"/>
      <c r="I17" t="s">
        <v>31</v>
      </c>
    </row>
    <row r="18" spans="1:9" ht="17.25" thickBot="1" x14ac:dyDescent="0.35">
      <c r="A18" s="8" t="s">
        <v>0</v>
      </c>
      <c r="B18" s="8" t="s">
        <v>22</v>
      </c>
      <c r="C18" s="8" t="s">
        <v>23</v>
      </c>
      <c r="D18" s="35" t="s">
        <v>25</v>
      </c>
      <c r="E18" s="80" t="s">
        <v>21</v>
      </c>
      <c r="F18" s="8" t="s">
        <v>24</v>
      </c>
      <c r="G18" s="68" t="s">
        <v>26</v>
      </c>
      <c r="H18" s="81" t="s">
        <v>21</v>
      </c>
    </row>
    <row r="19" spans="1:9" x14ac:dyDescent="0.3">
      <c r="A19" s="52" t="s">
        <v>1</v>
      </c>
      <c r="B19" s="66">
        <f>E3+2500</f>
        <v>8000</v>
      </c>
      <c r="C19" s="67">
        <f>D3+404.58</f>
        <v>4392.08</v>
      </c>
      <c r="D19" s="56">
        <f>C19/B19</f>
        <v>0.54901</v>
      </c>
      <c r="E19" s="14">
        <f>B19-C19</f>
        <v>3607.92</v>
      </c>
      <c r="F19" s="67">
        <f>D3+414.04</f>
        <v>4401.54</v>
      </c>
      <c r="G19" s="57">
        <f>F19/B19</f>
        <v>0.55019249999999997</v>
      </c>
      <c r="H19" s="14">
        <f>B19-F19</f>
        <v>3598.46</v>
      </c>
    </row>
    <row r="20" spans="1:9" x14ac:dyDescent="0.3">
      <c r="A20" s="43" t="s">
        <v>2</v>
      </c>
      <c r="B20" s="49">
        <f>E4+2500</f>
        <v>8300</v>
      </c>
      <c r="C20" s="50">
        <f>D4+404.58</f>
        <v>4529.58</v>
      </c>
      <c r="D20" s="47">
        <f>C20/B20</f>
        <v>0.54573253012048195</v>
      </c>
      <c r="E20" s="82">
        <f t="shared" ref="E20:E31" si="7">B20-C20</f>
        <v>3770.42</v>
      </c>
      <c r="F20" s="50">
        <f>D4+414.04</f>
        <v>4539.04</v>
      </c>
      <c r="G20" s="48">
        <f>F20/B20</f>
        <v>0.54687228915662656</v>
      </c>
      <c r="H20" s="85">
        <f t="shared" ref="H20:H31" si="8">B20-F20</f>
        <v>3760.96</v>
      </c>
    </row>
    <row r="21" spans="1:9" ht="17.25" thickBot="1" x14ac:dyDescent="0.35">
      <c r="A21" s="59" t="s">
        <v>3</v>
      </c>
      <c r="B21" s="69">
        <f>E5+2500</f>
        <v>8300</v>
      </c>
      <c r="C21" s="70">
        <f>D5+404.58</f>
        <v>4942.08</v>
      </c>
      <c r="D21" s="63">
        <f>C21/B21</f>
        <v>0.59543132530120479</v>
      </c>
      <c r="E21" s="83">
        <f t="shared" si="7"/>
        <v>3357.92</v>
      </c>
      <c r="F21" s="70">
        <f>D5+414.04</f>
        <v>4951.54</v>
      </c>
      <c r="G21" s="64">
        <f>F21/B21</f>
        <v>0.5965710843373494</v>
      </c>
      <c r="H21" s="14">
        <f t="shared" si="8"/>
        <v>3348.46</v>
      </c>
    </row>
    <row r="22" spans="1:9" ht="17.25" thickBot="1" x14ac:dyDescent="0.35">
      <c r="A22" s="10" t="s">
        <v>4</v>
      </c>
      <c r="B22" s="10" t="s">
        <v>22</v>
      </c>
      <c r="C22" s="10" t="s">
        <v>23</v>
      </c>
      <c r="D22" s="36" t="s">
        <v>25</v>
      </c>
      <c r="E22" s="78" t="s">
        <v>21</v>
      </c>
      <c r="F22" s="10" t="s">
        <v>24</v>
      </c>
      <c r="G22" s="71" t="s">
        <v>26</v>
      </c>
      <c r="H22" s="79" t="s">
        <v>21</v>
      </c>
    </row>
    <row r="23" spans="1:9" x14ac:dyDescent="0.3">
      <c r="A23" s="52" t="s">
        <v>5</v>
      </c>
      <c r="B23" s="66">
        <f>E7+2500</f>
        <v>6400</v>
      </c>
      <c r="C23" s="67">
        <f>D7+404.58</f>
        <v>3154.58</v>
      </c>
      <c r="D23" s="56">
        <f>C23/B23</f>
        <v>0.492903125</v>
      </c>
      <c r="E23" s="84">
        <f t="shared" si="7"/>
        <v>3245.42</v>
      </c>
      <c r="F23" s="67">
        <f>D7+414.04</f>
        <v>3164.04</v>
      </c>
      <c r="G23" s="57">
        <f>F23/B23</f>
        <v>0.49438124999999999</v>
      </c>
      <c r="H23" s="14">
        <f t="shared" si="8"/>
        <v>3235.96</v>
      </c>
    </row>
    <row r="24" spans="1:9" x14ac:dyDescent="0.3">
      <c r="A24" s="43" t="s">
        <v>6</v>
      </c>
      <c r="B24" s="49">
        <f>E8+2500</f>
        <v>6400</v>
      </c>
      <c r="C24" s="50">
        <f>D8+404.58</f>
        <v>3154.58</v>
      </c>
      <c r="D24" s="47">
        <f>C24/B24</f>
        <v>0.492903125</v>
      </c>
      <c r="E24" s="14">
        <f t="shared" si="7"/>
        <v>3245.42</v>
      </c>
      <c r="F24" s="50">
        <f>D8+414.04</f>
        <v>3164.04</v>
      </c>
      <c r="G24" s="48">
        <f>F24/B24</f>
        <v>0.49438124999999999</v>
      </c>
      <c r="H24" s="85">
        <f t="shared" si="8"/>
        <v>3235.96</v>
      </c>
    </row>
    <row r="25" spans="1:9" ht="17.25" thickBot="1" x14ac:dyDescent="0.35">
      <c r="A25" s="59" t="s">
        <v>7</v>
      </c>
      <c r="B25" s="69">
        <f>E9+2500</f>
        <v>6400</v>
      </c>
      <c r="C25" s="70">
        <f>D9+404.58</f>
        <v>3154.58</v>
      </c>
      <c r="D25" s="63">
        <f>C25/B25</f>
        <v>0.492903125</v>
      </c>
      <c r="E25" s="83">
        <f t="shared" si="7"/>
        <v>3245.42</v>
      </c>
      <c r="F25" s="70">
        <f>D9+414.04</f>
        <v>3164.04</v>
      </c>
      <c r="G25" s="64">
        <f>F25/B25</f>
        <v>0.49438124999999999</v>
      </c>
      <c r="H25" s="83">
        <f t="shared" si="8"/>
        <v>3235.96</v>
      </c>
    </row>
    <row r="26" spans="1:9" ht="17.25" thickBot="1" x14ac:dyDescent="0.35">
      <c r="A26" s="12" t="s">
        <v>8</v>
      </c>
      <c r="B26" s="12" t="s">
        <v>22</v>
      </c>
      <c r="C26" s="12" t="s">
        <v>23</v>
      </c>
      <c r="D26" s="37" t="s">
        <v>25</v>
      </c>
      <c r="E26" s="76" t="s">
        <v>21</v>
      </c>
      <c r="F26" s="12" t="s">
        <v>24</v>
      </c>
      <c r="G26" s="72" t="s">
        <v>26</v>
      </c>
      <c r="H26" s="77" t="s">
        <v>21</v>
      </c>
    </row>
    <row r="27" spans="1:9" x14ac:dyDescent="0.3">
      <c r="A27" s="52" t="s">
        <v>1</v>
      </c>
      <c r="B27" s="66">
        <f>E11+2500</f>
        <v>6100</v>
      </c>
      <c r="C27" s="67">
        <f>D11+404.58</f>
        <v>2934.58</v>
      </c>
      <c r="D27" s="56">
        <f>C27/B27</f>
        <v>0.48107868852459013</v>
      </c>
      <c r="E27" s="14">
        <f t="shared" si="7"/>
        <v>3165.42</v>
      </c>
      <c r="F27" s="67">
        <f>D11+414.04</f>
        <v>2944.04</v>
      </c>
      <c r="G27" s="57">
        <f>F27/B27</f>
        <v>0.48262950819672129</v>
      </c>
      <c r="H27" s="14">
        <f t="shared" si="8"/>
        <v>3155.96</v>
      </c>
    </row>
    <row r="28" spans="1:9" x14ac:dyDescent="0.3">
      <c r="A28" s="43" t="s">
        <v>9</v>
      </c>
      <c r="B28" s="49">
        <f>E12+2500</f>
        <v>6200</v>
      </c>
      <c r="C28" s="50">
        <f>D12+404.58</f>
        <v>3044.58</v>
      </c>
      <c r="D28" s="47">
        <f>C28/B28</f>
        <v>0.49106129032258061</v>
      </c>
      <c r="E28" s="82">
        <f t="shared" si="7"/>
        <v>3155.42</v>
      </c>
      <c r="F28" s="50">
        <f>D12+414.04</f>
        <v>3054.04</v>
      </c>
      <c r="G28" s="48">
        <f>F28/B28</f>
        <v>0.49258709677419354</v>
      </c>
      <c r="H28" s="82">
        <f t="shared" si="8"/>
        <v>3145.96</v>
      </c>
    </row>
    <row r="29" spans="1:9" ht="17.25" thickBot="1" x14ac:dyDescent="0.35">
      <c r="A29" s="59" t="s">
        <v>10</v>
      </c>
      <c r="B29" s="69">
        <f>E13+2500</f>
        <v>6700</v>
      </c>
      <c r="C29" s="70">
        <f>D13+404.58</f>
        <v>3594.58</v>
      </c>
      <c r="D29" s="63">
        <f>C29/B29</f>
        <v>0.53650447761194031</v>
      </c>
      <c r="E29" s="83">
        <f t="shared" si="7"/>
        <v>3105.42</v>
      </c>
      <c r="F29" s="70">
        <f>D13+414.04</f>
        <v>3604.04</v>
      </c>
      <c r="G29" s="64">
        <f>F29/B29</f>
        <v>0.53791641791044775</v>
      </c>
      <c r="H29" s="83">
        <f t="shared" si="8"/>
        <v>3095.96</v>
      </c>
    </row>
    <row r="30" spans="1:9" ht="17.25" thickBot="1" x14ac:dyDescent="0.35">
      <c r="A30" s="38" t="s">
        <v>18</v>
      </c>
      <c r="B30" s="38" t="s">
        <v>22</v>
      </c>
      <c r="C30" s="38" t="s">
        <v>23</v>
      </c>
      <c r="D30" s="42" t="s">
        <v>25</v>
      </c>
      <c r="E30" s="74" t="s">
        <v>21</v>
      </c>
      <c r="F30" s="38" t="s">
        <v>24</v>
      </c>
      <c r="G30" s="73" t="s">
        <v>26</v>
      </c>
      <c r="H30" s="75" t="s">
        <v>21</v>
      </c>
    </row>
    <row r="31" spans="1:9" ht="17.25" thickBot="1" x14ac:dyDescent="0.35">
      <c r="A31" s="2" t="s">
        <v>11</v>
      </c>
      <c r="B31" s="32">
        <f>E15+2500</f>
        <v>5700</v>
      </c>
      <c r="C31" s="33">
        <f>D15+404.58</f>
        <v>2494.58</v>
      </c>
      <c r="D31" s="34">
        <f>C31/B31</f>
        <v>0.43764561403508773</v>
      </c>
      <c r="E31" s="15">
        <f t="shared" si="7"/>
        <v>3205.42</v>
      </c>
      <c r="F31" s="33">
        <f>D15+414.04</f>
        <v>2504.04</v>
      </c>
      <c r="G31" s="29">
        <f>F31/B31</f>
        <v>0.43930526315789475</v>
      </c>
      <c r="H31" s="15">
        <f t="shared" si="8"/>
        <v>3195.96</v>
      </c>
    </row>
    <row r="32" spans="1:9" ht="17.25" thickBot="1" x14ac:dyDescent="0.35">
      <c r="C32"/>
      <c r="D32" s="1"/>
      <c r="E32" s="20"/>
      <c r="F32" s="1"/>
      <c r="G32" s="23"/>
      <c r="H32" s="25"/>
    </row>
    <row r="33" spans="1:8" ht="17.25" thickBot="1" x14ac:dyDescent="0.35">
      <c r="A33" s="87" t="s">
        <v>33</v>
      </c>
      <c r="B33" s="88"/>
      <c r="C33" s="88"/>
      <c r="D33" s="88"/>
      <c r="E33" s="88"/>
      <c r="F33" s="88"/>
      <c r="G33" s="88"/>
      <c r="H33" s="89"/>
    </row>
    <row r="34" spans="1:8" ht="17.25" thickBot="1" x14ac:dyDescent="0.35">
      <c r="A34" s="8" t="s">
        <v>0</v>
      </c>
      <c r="B34" s="8" t="s">
        <v>22</v>
      </c>
      <c r="C34" s="8" t="s">
        <v>23</v>
      </c>
      <c r="D34" s="35" t="s">
        <v>25</v>
      </c>
      <c r="E34" s="80" t="s">
        <v>21</v>
      </c>
      <c r="F34" s="8" t="s">
        <v>24</v>
      </c>
      <c r="G34" s="68" t="s">
        <v>26</v>
      </c>
      <c r="H34" s="81" t="s">
        <v>21</v>
      </c>
    </row>
    <row r="35" spans="1:8" x14ac:dyDescent="0.3">
      <c r="A35" s="52" t="s">
        <v>1</v>
      </c>
      <c r="B35" s="66">
        <f>B19+300</f>
        <v>8300</v>
      </c>
      <c r="C35" s="67">
        <f>E19+404.58</f>
        <v>4012.5</v>
      </c>
      <c r="D35" s="56">
        <f>C35/B35</f>
        <v>0.48343373493975905</v>
      </c>
      <c r="E35" s="84">
        <f>B35-C35</f>
        <v>4287.5</v>
      </c>
      <c r="F35" s="67">
        <f>E19+414.04</f>
        <v>4021.96</v>
      </c>
      <c r="G35" s="57">
        <f>F35/B35</f>
        <v>0.4845734939759036</v>
      </c>
      <c r="H35" s="84">
        <f>B35-F35</f>
        <v>4278.04</v>
      </c>
    </row>
    <row r="36" spans="1:8" x14ac:dyDescent="0.3">
      <c r="A36" s="43" t="s">
        <v>2</v>
      </c>
      <c r="B36" s="66">
        <f t="shared" ref="B36:B37" si="9">B20+300</f>
        <v>8600</v>
      </c>
      <c r="C36" s="50">
        <f>E20+404.58</f>
        <v>4175</v>
      </c>
      <c r="D36" s="47">
        <f>C36/B36</f>
        <v>0.48546511627906974</v>
      </c>
      <c r="E36" s="14">
        <f t="shared" ref="E36:E37" si="10">B36-C36</f>
        <v>4425</v>
      </c>
      <c r="F36" s="50">
        <f>E20+414.04</f>
        <v>4184.46</v>
      </c>
      <c r="G36" s="48">
        <f>F36/B36</f>
        <v>0.48656511627906979</v>
      </c>
      <c r="H36" s="86">
        <f t="shared" ref="H36:H37" si="11">B36-F36</f>
        <v>4415.54</v>
      </c>
    </row>
    <row r="37" spans="1:8" ht="17.25" thickBot="1" x14ac:dyDescent="0.35">
      <c r="A37" s="59" t="s">
        <v>3</v>
      </c>
      <c r="B37" s="66">
        <f t="shared" si="9"/>
        <v>8600</v>
      </c>
      <c r="C37" s="70">
        <f>E21+404.58</f>
        <v>3762.5</v>
      </c>
      <c r="D37" s="63">
        <f>C37/B37</f>
        <v>0.4375</v>
      </c>
      <c r="E37" s="83">
        <f t="shared" si="10"/>
        <v>4837.5</v>
      </c>
      <c r="F37" s="70">
        <f>E21+414.04</f>
        <v>3771.96</v>
      </c>
      <c r="G37" s="64">
        <f>F37/B37</f>
        <v>0.43859999999999999</v>
      </c>
      <c r="H37" s="14">
        <f t="shared" si="11"/>
        <v>4828.04</v>
      </c>
    </row>
    <row r="38" spans="1:8" ht="17.25" thickBot="1" x14ac:dyDescent="0.35">
      <c r="A38" s="10" t="s">
        <v>4</v>
      </c>
      <c r="B38" s="10" t="s">
        <v>22</v>
      </c>
      <c r="C38" s="10" t="s">
        <v>23</v>
      </c>
      <c r="D38" s="36" t="s">
        <v>25</v>
      </c>
      <c r="E38" s="78" t="s">
        <v>21</v>
      </c>
      <c r="F38" s="10" t="s">
        <v>24</v>
      </c>
      <c r="G38" s="71" t="s">
        <v>26</v>
      </c>
      <c r="H38" s="79" t="s">
        <v>21</v>
      </c>
    </row>
    <row r="39" spans="1:8" x14ac:dyDescent="0.3">
      <c r="A39" s="52" t="s">
        <v>5</v>
      </c>
      <c r="B39" s="66">
        <f>B23+300</f>
        <v>6700</v>
      </c>
      <c r="C39" s="67">
        <f>E23+404.58</f>
        <v>3650</v>
      </c>
      <c r="D39" s="56">
        <f>C39/B39</f>
        <v>0.54477611940298509</v>
      </c>
      <c r="E39" s="14">
        <f t="shared" ref="E39:E41" si="12">B39-C39</f>
        <v>3050</v>
      </c>
      <c r="F39" s="67">
        <f>E23+414.04</f>
        <v>3659.46</v>
      </c>
      <c r="G39" s="57">
        <f>F39/B39</f>
        <v>0.54618805970149253</v>
      </c>
      <c r="H39" s="84">
        <f t="shared" ref="H39:H41" si="13">B39-F39</f>
        <v>3040.54</v>
      </c>
    </row>
    <row r="40" spans="1:8" x14ac:dyDescent="0.3">
      <c r="A40" s="43" t="s">
        <v>6</v>
      </c>
      <c r="B40" s="66">
        <f t="shared" ref="B40:B41" si="14">B24+300</f>
        <v>6700</v>
      </c>
      <c r="C40" s="50">
        <f>E24+404.58</f>
        <v>3650</v>
      </c>
      <c r="D40" s="47">
        <f>C40/B40</f>
        <v>0.54477611940298509</v>
      </c>
      <c r="E40" s="82">
        <f t="shared" si="12"/>
        <v>3050</v>
      </c>
      <c r="F40" s="50">
        <f>E24+414.04</f>
        <v>3659.46</v>
      </c>
      <c r="G40" s="48">
        <f>F40/B40</f>
        <v>0.54618805970149253</v>
      </c>
      <c r="H40" s="14">
        <f t="shared" si="13"/>
        <v>3040.54</v>
      </c>
    </row>
    <row r="41" spans="1:8" ht="17.25" thickBot="1" x14ac:dyDescent="0.35">
      <c r="A41" s="59" t="s">
        <v>7</v>
      </c>
      <c r="B41" s="66">
        <f t="shared" si="14"/>
        <v>6700</v>
      </c>
      <c r="C41" s="70">
        <f>E25+404.58</f>
        <v>3650</v>
      </c>
      <c r="D41" s="63">
        <f>C41/B41</f>
        <v>0.54477611940298509</v>
      </c>
      <c r="E41" s="83">
        <f t="shared" si="12"/>
        <v>3050</v>
      </c>
      <c r="F41" s="70">
        <f>E25+414.04</f>
        <v>3659.46</v>
      </c>
      <c r="G41" s="64">
        <f>F41/B41</f>
        <v>0.54618805970149253</v>
      </c>
      <c r="H41" s="83">
        <f t="shared" si="13"/>
        <v>3040.54</v>
      </c>
    </row>
    <row r="42" spans="1:8" ht="17.25" thickBot="1" x14ac:dyDescent="0.35">
      <c r="A42" s="12" t="s">
        <v>8</v>
      </c>
      <c r="B42" s="12" t="s">
        <v>22</v>
      </c>
      <c r="C42" s="12" t="s">
        <v>23</v>
      </c>
      <c r="D42" s="37" t="s">
        <v>25</v>
      </c>
      <c r="E42" s="76" t="s">
        <v>21</v>
      </c>
      <c r="F42" s="12" t="s">
        <v>24</v>
      </c>
      <c r="G42" s="72" t="s">
        <v>26</v>
      </c>
      <c r="H42" s="77" t="s">
        <v>21</v>
      </c>
    </row>
    <row r="43" spans="1:8" x14ac:dyDescent="0.3">
      <c r="A43" s="52" t="s">
        <v>1</v>
      </c>
      <c r="B43" s="66">
        <f>B27+300</f>
        <v>6400</v>
      </c>
      <c r="C43" s="67">
        <f>E27+404.58</f>
        <v>3570</v>
      </c>
      <c r="D43" s="56">
        <f>C43/B43</f>
        <v>0.55781250000000004</v>
      </c>
      <c r="E43" s="14">
        <f t="shared" ref="E43:E45" si="15">B43-C43</f>
        <v>2830</v>
      </c>
      <c r="F43" s="67">
        <f>E27+414.04</f>
        <v>3579.46</v>
      </c>
      <c r="G43" s="57">
        <f>F43/B43</f>
        <v>0.55929062500000004</v>
      </c>
      <c r="H43" s="14">
        <f t="shared" ref="H43:H45" si="16">B43-F43</f>
        <v>2820.54</v>
      </c>
    </row>
    <row r="44" spans="1:8" x14ac:dyDescent="0.3">
      <c r="A44" s="43" t="s">
        <v>9</v>
      </c>
      <c r="B44" s="66">
        <f t="shared" ref="B44:B45" si="17">B28+300</f>
        <v>6500</v>
      </c>
      <c r="C44" s="50">
        <f>E28+404.58</f>
        <v>3560</v>
      </c>
      <c r="D44" s="47">
        <f>C44/B44</f>
        <v>0.5476923076923077</v>
      </c>
      <c r="E44" s="82">
        <f t="shared" si="15"/>
        <v>2940</v>
      </c>
      <c r="F44" s="50">
        <f>E28+414.04</f>
        <v>3569.46</v>
      </c>
      <c r="G44" s="48">
        <f>F44/B44</f>
        <v>0.54914769230769234</v>
      </c>
      <c r="H44" s="85">
        <f t="shared" si="16"/>
        <v>2930.54</v>
      </c>
    </row>
    <row r="45" spans="1:8" ht="17.25" thickBot="1" x14ac:dyDescent="0.35">
      <c r="A45" s="59" t="s">
        <v>10</v>
      </c>
      <c r="B45" s="66">
        <f t="shared" si="17"/>
        <v>7000</v>
      </c>
      <c r="C45" s="70">
        <f>E29+404.58</f>
        <v>3510</v>
      </c>
      <c r="D45" s="63">
        <f>C45/B45</f>
        <v>0.50142857142857145</v>
      </c>
      <c r="E45" s="83">
        <f t="shared" si="15"/>
        <v>3490</v>
      </c>
      <c r="F45" s="70">
        <f>E29+414.04</f>
        <v>3519.46</v>
      </c>
      <c r="G45" s="64">
        <f>F45/B45</f>
        <v>0.50278</v>
      </c>
      <c r="H45" s="14">
        <f t="shared" si="16"/>
        <v>3480.54</v>
      </c>
    </row>
    <row r="46" spans="1:8" ht="17.25" thickBot="1" x14ac:dyDescent="0.35">
      <c r="A46" s="38" t="s">
        <v>18</v>
      </c>
      <c r="B46" s="38" t="s">
        <v>22</v>
      </c>
      <c r="C46" s="38" t="s">
        <v>23</v>
      </c>
      <c r="D46" s="42" t="s">
        <v>25</v>
      </c>
      <c r="E46" s="74" t="s">
        <v>21</v>
      </c>
      <c r="F46" s="38" t="s">
        <v>24</v>
      </c>
      <c r="G46" s="73" t="s">
        <v>26</v>
      </c>
      <c r="H46" s="75" t="s">
        <v>21</v>
      </c>
    </row>
    <row r="47" spans="1:8" ht="17.25" thickBot="1" x14ac:dyDescent="0.35">
      <c r="A47" s="2" t="s">
        <v>11</v>
      </c>
      <c r="B47" s="32">
        <f>B31+300</f>
        <v>6000</v>
      </c>
      <c r="C47" s="33">
        <f>E31+404.58</f>
        <v>3610</v>
      </c>
      <c r="D47" s="34">
        <f>C47/B47</f>
        <v>0.60166666666666668</v>
      </c>
      <c r="E47" s="15">
        <f t="shared" ref="E47" si="18">B47-C47</f>
        <v>2390</v>
      </c>
      <c r="F47" s="33">
        <f>E31+414.04</f>
        <v>3619.46</v>
      </c>
      <c r="G47" s="29">
        <f>F47/B47</f>
        <v>0.60324333333333335</v>
      </c>
      <c r="H47" s="15">
        <f t="shared" ref="H47" si="19">B47-F47</f>
        <v>2380.54</v>
      </c>
    </row>
  </sheetData>
  <mergeCells count="3">
    <mergeCell ref="A1:H1"/>
    <mergeCell ref="A17:H17"/>
    <mergeCell ref="A33:H33"/>
  </mergeCells>
  <phoneticPr fontId="2" type="noConversion"/>
  <pageMargins left="0.25" right="0.25" top="0.75" bottom="0.75" header="0.3" footer="0.3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cp:lastPrinted>2025-01-24T04:50:25Z</cp:lastPrinted>
  <dcterms:created xsi:type="dcterms:W3CDTF">2025-01-16T05:41:19Z</dcterms:created>
  <dcterms:modified xsi:type="dcterms:W3CDTF">2025-01-24T05:11:37Z</dcterms:modified>
</cp:coreProperties>
</file>