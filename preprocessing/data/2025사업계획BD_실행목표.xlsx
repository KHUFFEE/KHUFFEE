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사업계획\2025사업계획\"/>
    </mc:Choice>
  </mc:AlternateContent>
  <bookViews>
    <workbookView xWindow="0" yWindow="0" windowWidth="28800" windowHeight="12285"/>
  </bookViews>
  <sheets>
    <sheet name="2025카페사업팀사업계획_추정손익_ver.1" sheetId="5" r:id="rId1"/>
    <sheet name="2025년목표 매출" sheetId="4" r:id="rId2"/>
    <sheet name="24년 목표대비 달성률" sheetId="2" r:id="rId3"/>
    <sheet name="2024년 매장별 목표 및 23년 대비 차액" sheetId="3" r:id="rId4"/>
    <sheet name="24년 매장별 물류 사용량" sheetId="6" r:id="rId5"/>
    <sheet name="Sheet1" sheetId="1" r:id="rId6"/>
  </sheets>
  <definedNames>
    <definedName name="_xlnm.Print_Area" localSheetId="0">'2025카페사업팀사업계획_추정손익_ver.1'!$A$1:$E$26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6" l="1"/>
  <c r="N6" i="6"/>
  <c r="B7" i="6"/>
  <c r="C7" i="6"/>
  <c r="N7" i="6" s="1"/>
  <c r="D7" i="6"/>
  <c r="E7" i="6"/>
  <c r="E16" i="6" s="1"/>
  <c r="F7" i="6"/>
  <c r="G7" i="6"/>
  <c r="H7" i="6"/>
  <c r="I7" i="6"/>
  <c r="J7" i="6"/>
  <c r="K7" i="6"/>
  <c r="L7" i="6"/>
  <c r="M7" i="6"/>
  <c r="M16" i="6" s="1"/>
  <c r="N8" i="6"/>
  <c r="N9" i="6"/>
  <c r="N10" i="6"/>
  <c r="N11" i="6"/>
  <c r="N12" i="6"/>
  <c r="N13" i="6"/>
  <c r="N14" i="6"/>
  <c r="B15" i="6"/>
  <c r="B16" i="6" s="1"/>
  <c r="C15" i="6"/>
  <c r="D15" i="6"/>
  <c r="E15" i="6"/>
  <c r="F15" i="6"/>
  <c r="G15" i="6"/>
  <c r="H15" i="6"/>
  <c r="I15" i="6"/>
  <c r="J15" i="6"/>
  <c r="J16" i="6" s="1"/>
  <c r="K15" i="6"/>
  <c r="L15" i="6"/>
  <c r="M15" i="6"/>
  <c r="C16" i="6"/>
  <c r="D16" i="6"/>
  <c r="F16" i="6"/>
  <c r="G16" i="6"/>
  <c r="H16" i="6"/>
  <c r="I16" i="6"/>
  <c r="K16" i="6"/>
  <c r="L16" i="6"/>
  <c r="H20" i="6"/>
  <c r="C21" i="6"/>
  <c r="R6" i="6" s="1"/>
  <c r="K21" i="6"/>
  <c r="Z6" i="6" s="1"/>
  <c r="I23" i="6"/>
  <c r="D24" i="6"/>
  <c r="S9" i="6" s="1"/>
  <c r="L24" i="6"/>
  <c r="AA9" i="6" s="1"/>
  <c r="G25" i="6"/>
  <c r="V10" i="6" s="1"/>
  <c r="B26" i="6"/>
  <c r="Q11" i="6" s="1"/>
  <c r="J26" i="6"/>
  <c r="Y11" i="6" s="1"/>
  <c r="E27" i="6"/>
  <c r="T12" i="6" s="1"/>
  <c r="M27" i="6"/>
  <c r="AB12" i="6" s="1"/>
  <c r="C29" i="6"/>
  <c r="R14" i="6" s="1"/>
  <c r="K29" i="6"/>
  <c r="Z14" i="6" s="1"/>
  <c r="B35" i="6"/>
  <c r="B20" i="6" s="1"/>
  <c r="C35" i="6"/>
  <c r="C20" i="6" s="1"/>
  <c r="D35" i="6"/>
  <c r="N35" i="6" s="1"/>
  <c r="E35" i="6"/>
  <c r="E20" i="6" s="1"/>
  <c r="F35" i="6"/>
  <c r="F20" i="6" s="1"/>
  <c r="G35" i="6"/>
  <c r="G20" i="6" s="1"/>
  <c r="H35" i="6"/>
  <c r="I35" i="6"/>
  <c r="I20" i="6" s="1"/>
  <c r="J35" i="6"/>
  <c r="J20" i="6" s="1"/>
  <c r="K35" i="6"/>
  <c r="K20" i="6" s="1"/>
  <c r="L35" i="6"/>
  <c r="L20" i="6" s="1"/>
  <c r="M35" i="6"/>
  <c r="M20" i="6" s="1"/>
  <c r="AC35" i="6"/>
  <c r="B36" i="6"/>
  <c r="B21" i="6" s="1"/>
  <c r="C36" i="6"/>
  <c r="D36" i="6"/>
  <c r="D21" i="6" s="1"/>
  <c r="S6" i="6" s="1"/>
  <c r="E36" i="6"/>
  <c r="E21" i="6" s="1"/>
  <c r="T6" i="6" s="1"/>
  <c r="F36" i="6"/>
  <c r="F21" i="6" s="1"/>
  <c r="U6" i="6" s="1"/>
  <c r="G36" i="6"/>
  <c r="G21" i="6" s="1"/>
  <c r="V6" i="6" s="1"/>
  <c r="H36" i="6"/>
  <c r="H21" i="6" s="1"/>
  <c r="W6" i="6" s="1"/>
  <c r="I36" i="6"/>
  <c r="I37" i="6" s="1"/>
  <c r="I46" i="6" s="1"/>
  <c r="J36" i="6"/>
  <c r="J21" i="6" s="1"/>
  <c r="Y6" i="6" s="1"/>
  <c r="K36" i="6"/>
  <c r="L36" i="6"/>
  <c r="L21" i="6" s="1"/>
  <c r="AA6" i="6" s="1"/>
  <c r="M36" i="6"/>
  <c r="M21" i="6" s="1"/>
  <c r="AB6" i="6" s="1"/>
  <c r="N36" i="6"/>
  <c r="AC36" i="6"/>
  <c r="B37" i="6"/>
  <c r="C37" i="6"/>
  <c r="E37" i="6"/>
  <c r="H37" i="6"/>
  <c r="J37" i="6"/>
  <c r="K37" i="6"/>
  <c r="M37" i="6"/>
  <c r="Q37" i="6"/>
  <c r="R37" i="6"/>
  <c r="AC37" i="6" s="1"/>
  <c r="S37" i="6"/>
  <c r="T37" i="6"/>
  <c r="U37" i="6"/>
  <c r="V37" i="6"/>
  <c r="W37" i="6"/>
  <c r="X37" i="6"/>
  <c r="Y37" i="6"/>
  <c r="Z37" i="6"/>
  <c r="Z46" i="6" s="1"/>
  <c r="AA37" i="6"/>
  <c r="AB37" i="6"/>
  <c r="B38" i="6"/>
  <c r="B23" i="6" s="1"/>
  <c r="C38" i="6"/>
  <c r="C23" i="6" s="1"/>
  <c r="D38" i="6"/>
  <c r="D23" i="6" s="1"/>
  <c r="E38" i="6"/>
  <c r="E23" i="6" s="1"/>
  <c r="F38" i="6"/>
  <c r="F45" i="6" s="1"/>
  <c r="G38" i="6"/>
  <c r="G23" i="6" s="1"/>
  <c r="H38" i="6"/>
  <c r="H23" i="6" s="1"/>
  <c r="I38" i="6"/>
  <c r="J38" i="6"/>
  <c r="J23" i="6" s="1"/>
  <c r="K38" i="6"/>
  <c r="K23" i="6" s="1"/>
  <c r="L38" i="6"/>
  <c r="L23" i="6" s="1"/>
  <c r="M38" i="6"/>
  <c r="M23" i="6" s="1"/>
  <c r="N38" i="6"/>
  <c r="AC38" i="6"/>
  <c r="B39" i="6"/>
  <c r="B24" i="6" s="1"/>
  <c r="C39" i="6"/>
  <c r="N39" i="6" s="1"/>
  <c r="D39" i="6"/>
  <c r="E39" i="6"/>
  <c r="E24" i="6" s="1"/>
  <c r="T9" i="6" s="1"/>
  <c r="F39" i="6"/>
  <c r="F24" i="6" s="1"/>
  <c r="U9" i="6" s="1"/>
  <c r="G39" i="6"/>
  <c r="G24" i="6" s="1"/>
  <c r="V9" i="6" s="1"/>
  <c r="H39" i="6"/>
  <c r="H24" i="6" s="1"/>
  <c r="W9" i="6" s="1"/>
  <c r="I39" i="6"/>
  <c r="I24" i="6" s="1"/>
  <c r="X9" i="6" s="1"/>
  <c r="J39" i="6"/>
  <c r="J24" i="6" s="1"/>
  <c r="Y9" i="6" s="1"/>
  <c r="K39" i="6"/>
  <c r="K24" i="6" s="1"/>
  <c r="Z9" i="6" s="1"/>
  <c r="L39" i="6"/>
  <c r="M39" i="6"/>
  <c r="M24" i="6" s="1"/>
  <c r="AB9" i="6" s="1"/>
  <c r="AC39" i="6"/>
  <c r="B40" i="6"/>
  <c r="B25" i="6" s="1"/>
  <c r="C40" i="6"/>
  <c r="C25" i="6" s="1"/>
  <c r="R10" i="6" s="1"/>
  <c r="D40" i="6"/>
  <c r="D25" i="6" s="1"/>
  <c r="S10" i="6" s="1"/>
  <c r="E40" i="6"/>
  <c r="E25" i="6" s="1"/>
  <c r="T10" i="6" s="1"/>
  <c r="F40" i="6"/>
  <c r="F25" i="6" s="1"/>
  <c r="U10" i="6" s="1"/>
  <c r="G40" i="6"/>
  <c r="H40" i="6"/>
  <c r="H25" i="6" s="1"/>
  <c r="W10" i="6" s="1"/>
  <c r="I40" i="6"/>
  <c r="I25" i="6" s="1"/>
  <c r="X10" i="6" s="1"/>
  <c r="J40" i="6"/>
  <c r="J25" i="6" s="1"/>
  <c r="Y10" i="6" s="1"/>
  <c r="K40" i="6"/>
  <c r="K25" i="6" s="1"/>
  <c r="Z10" i="6" s="1"/>
  <c r="L40" i="6"/>
  <c r="L25" i="6" s="1"/>
  <c r="AA10" i="6" s="1"/>
  <c r="M40" i="6"/>
  <c r="M25" i="6" s="1"/>
  <c r="AB10" i="6" s="1"/>
  <c r="AC40" i="6"/>
  <c r="B41" i="6"/>
  <c r="N41" i="6" s="1"/>
  <c r="C41" i="6"/>
  <c r="C26" i="6" s="1"/>
  <c r="R11" i="6" s="1"/>
  <c r="D41" i="6"/>
  <c r="D26" i="6" s="1"/>
  <c r="S11" i="6" s="1"/>
  <c r="E41" i="6"/>
  <c r="E26" i="6" s="1"/>
  <c r="T11" i="6" s="1"/>
  <c r="F41" i="6"/>
  <c r="F26" i="6" s="1"/>
  <c r="U11" i="6" s="1"/>
  <c r="G41" i="6"/>
  <c r="G26" i="6" s="1"/>
  <c r="V11" i="6" s="1"/>
  <c r="H41" i="6"/>
  <c r="H26" i="6" s="1"/>
  <c r="W11" i="6" s="1"/>
  <c r="I41" i="6"/>
  <c r="I26" i="6" s="1"/>
  <c r="X11" i="6" s="1"/>
  <c r="J41" i="6"/>
  <c r="K41" i="6"/>
  <c r="K26" i="6" s="1"/>
  <c r="Z11" i="6" s="1"/>
  <c r="L41" i="6"/>
  <c r="L26" i="6" s="1"/>
  <c r="AA11" i="6" s="1"/>
  <c r="M41" i="6"/>
  <c r="M26" i="6" s="1"/>
  <c r="AB11" i="6" s="1"/>
  <c r="AC41" i="6"/>
  <c r="B42" i="6"/>
  <c r="B27" i="6" s="1"/>
  <c r="C42" i="6"/>
  <c r="C27" i="6" s="1"/>
  <c r="R12" i="6" s="1"/>
  <c r="D42" i="6"/>
  <c r="D27" i="6" s="1"/>
  <c r="S12" i="6" s="1"/>
  <c r="E42" i="6"/>
  <c r="F42" i="6"/>
  <c r="F27" i="6" s="1"/>
  <c r="U12" i="6" s="1"/>
  <c r="G42" i="6"/>
  <c r="G27" i="6" s="1"/>
  <c r="V12" i="6" s="1"/>
  <c r="H42" i="6"/>
  <c r="H27" i="6" s="1"/>
  <c r="W12" i="6" s="1"/>
  <c r="I42" i="6"/>
  <c r="I27" i="6" s="1"/>
  <c r="X12" i="6" s="1"/>
  <c r="J42" i="6"/>
  <c r="J27" i="6" s="1"/>
  <c r="Y12" i="6" s="1"/>
  <c r="K42" i="6"/>
  <c r="K27" i="6" s="1"/>
  <c r="Z12" i="6" s="1"/>
  <c r="L42" i="6"/>
  <c r="L27" i="6" s="1"/>
  <c r="AA12" i="6" s="1"/>
  <c r="M42" i="6"/>
  <c r="N42" i="6"/>
  <c r="AC42" i="6"/>
  <c r="B43" i="6"/>
  <c r="B28" i="6" s="1"/>
  <c r="C43" i="6"/>
  <c r="C28" i="6" s="1"/>
  <c r="R13" i="6" s="1"/>
  <c r="D43" i="6"/>
  <c r="D28" i="6" s="1"/>
  <c r="S13" i="6" s="1"/>
  <c r="E43" i="6"/>
  <c r="E28" i="6" s="1"/>
  <c r="T13" i="6" s="1"/>
  <c r="F43" i="6"/>
  <c r="F28" i="6" s="1"/>
  <c r="U13" i="6" s="1"/>
  <c r="G43" i="6"/>
  <c r="G28" i="6" s="1"/>
  <c r="V13" i="6" s="1"/>
  <c r="H43" i="6"/>
  <c r="H28" i="6" s="1"/>
  <c r="W13" i="6" s="1"/>
  <c r="I43" i="6"/>
  <c r="I28" i="6" s="1"/>
  <c r="X13" i="6" s="1"/>
  <c r="J43" i="6"/>
  <c r="J28" i="6" s="1"/>
  <c r="Y13" i="6" s="1"/>
  <c r="K43" i="6"/>
  <c r="K28" i="6" s="1"/>
  <c r="Z13" i="6" s="1"/>
  <c r="L43" i="6"/>
  <c r="L28" i="6" s="1"/>
  <c r="AA13" i="6" s="1"/>
  <c r="M43" i="6"/>
  <c r="M28" i="6" s="1"/>
  <c r="AB13" i="6" s="1"/>
  <c r="AC43" i="6"/>
  <c r="B44" i="6"/>
  <c r="N44" i="6" s="1"/>
  <c r="C44" i="6"/>
  <c r="D44" i="6"/>
  <c r="D29" i="6" s="1"/>
  <c r="S14" i="6" s="1"/>
  <c r="E44" i="6"/>
  <c r="E45" i="6" s="1"/>
  <c r="E46" i="6" s="1"/>
  <c r="F44" i="6"/>
  <c r="F29" i="6" s="1"/>
  <c r="U14" i="6" s="1"/>
  <c r="G44" i="6"/>
  <c r="G29" i="6" s="1"/>
  <c r="V14" i="6" s="1"/>
  <c r="H44" i="6"/>
  <c r="H29" i="6" s="1"/>
  <c r="W14" i="6" s="1"/>
  <c r="I44" i="6"/>
  <c r="I29" i="6" s="1"/>
  <c r="X14" i="6" s="1"/>
  <c r="J44" i="6"/>
  <c r="J29" i="6" s="1"/>
  <c r="Y14" i="6" s="1"/>
  <c r="K44" i="6"/>
  <c r="L44" i="6"/>
  <c r="L29" i="6" s="1"/>
  <c r="AA14" i="6" s="1"/>
  <c r="M44" i="6"/>
  <c r="M45" i="6" s="1"/>
  <c r="M46" i="6" s="1"/>
  <c r="AC44" i="6"/>
  <c r="D45" i="6"/>
  <c r="G45" i="6"/>
  <c r="I45" i="6"/>
  <c r="L45" i="6"/>
  <c r="Q45" i="6"/>
  <c r="Q46" i="6" s="1"/>
  <c r="R45" i="6"/>
  <c r="S45" i="6"/>
  <c r="T45" i="6"/>
  <c r="U45" i="6"/>
  <c r="V45" i="6"/>
  <c r="V46" i="6" s="1"/>
  <c r="W45" i="6"/>
  <c r="X45" i="6"/>
  <c r="Y45" i="6"/>
  <c r="Y46" i="6" s="1"/>
  <c r="Z45" i="6"/>
  <c r="AA45" i="6"/>
  <c r="AB45" i="6"/>
  <c r="S46" i="6"/>
  <c r="T46" i="6"/>
  <c r="U46" i="6"/>
  <c r="W46" i="6"/>
  <c r="X46" i="6"/>
  <c r="AA46" i="6"/>
  <c r="AB46" i="6"/>
  <c r="N51" i="6"/>
  <c r="N52" i="6"/>
  <c r="B53" i="6"/>
  <c r="C53" i="6"/>
  <c r="D53" i="6"/>
  <c r="E53" i="6"/>
  <c r="F53" i="6"/>
  <c r="F62" i="6" s="1"/>
  <c r="F63" i="6" s="1"/>
  <c r="G53" i="6"/>
  <c r="H53" i="6"/>
  <c r="I53" i="6"/>
  <c r="I62" i="6" s="1"/>
  <c r="I63" i="6" s="1"/>
  <c r="J53" i="6"/>
  <c r="K53" i="6"/>
  <c r="L53" i="6"/>
  <c r="M53" i="6"/>
  <c r="N54" i="6"/>
  <c r="N55" i="6"/>
  <c r="N56" i="6"/>
  <c r="N57" i="6"/>
  <c r="N58" i="6"/>
  <c r="N59" i="6"/>
  <c r="N60" i="6"/>
  <c r="B61" i="6"/>
  <c r="N61" i="6" s="1"/>
  <c r="C61" i="6"/>
  <c r="D61" i="6"/>
  <c r="E61" i="6"/>
  <c r="F61" i="6"/>
  <c r="G61" i="6"/>
  <c r="H61" i="6"/>
  <c r="I61" i="6"/>
  <c r="J61" i="6"/>
  <c r="J62" i="6" s="1"/>
  <c r="J63" i="6" s="1"/>
  <c r="K61" i="6"/>
  <c r="L61" i="6"/>
  <c r="M61" i="6"/>
  <c r="C62" i="6"/>
  <c r="D62" i="6"/>
  <c r="E62" i="6"/>
  <c r="E63" i="6" s="1"/>
  <c r="G62" i="6"/>
  <c r="H62" i="6"/>
  <c r="H63" i="6" s="1"/>
  <c r="K62" i="6"/>
  <c r="K63" i="6" s="1"/>
  <c r="L62" i="6"/>
  <c r="M62" i="6"/>
  <c r="M63" i="6" s="1"/>
  <c r="D63" i="6"/>
  <c r="G63" i="6"/>
  <c r="L63" i="6"/>
  <c r="N67" i="6"/>
  <c r="N68" i="6"/>
  <c r="B69" i="6"/>
  <c r="C69" i="6"/>
  <c r="C78" i="6" s="1"/>
  <c r="D69" i="6"/>
  <c r="E69" i="6"/>
  <c r="F69" i="6"/>
  <c r="G69" i="6"/>
  <c r="H69" i="6"/>
  <c r="I69" i="6"/>
  <c r="J69" i="6"/>
  <c r="K69" i="6"/>
  <c r="K78" i="6" s="1"/>
  <c r="L69" i="6"/>
  <c r="M69" i="6"/>
  <c r="N70" i="6"/>
  <c r="N71" i="6"/>
  <c r="N72" i="6"/>
  <c r="N73" i="6"/>
  <c r="N74" i="6"/>
  <c r="N75" i="6"/>
  <c r="N76" i="6"/>
  <c r="B77" i="6"/>
  <c r="N77" i="6" s="1"/>
  <c r="C77" i="6"/>
  <c r="D77" i="6"/>
  <c r="E77" i="6"/>
  <c r="F77" i="6"/>
  <c r="G77" i="6"/>
  <c r="G78" i="6" s="1"/>
  <c r="H77" i="6"/>
  <c r="I77" i="6"/>
  <c r="J77" i="6"/>
  <c r="K77" i="6"/>
  <c r="L77" i="6"/>
  <c r="M77" i="6"/>
  <c r="B78" i="6"/>
  <c r="D78" i="6"/>
  <c r="E78" i="6"/>
  <c r="F78" i="6"/>
  <c r="H78" i="6"/>
  <c r="I78" i="6"/>
  <c r="J78" i="6"/>
  <c r="L78" i="6"/>
  <c r="M78" i="6"/>
  <c r="Q13" i="6" l="1"/>
  <c r="AC13" i="6" s="1"/>
  <c r="N28" i="6"/>
  <c r="Q10" i="6"/>
  <c r="AC10" i="6" s="1"/>
  <c r="N25" i="6"/>
  <c r="R5" i="6"/>
  <c r="R7" i="6" s="1"/>
  <c r="C22" i="6"/>
  <c r="AA8" i="6"/>
  <c r="AA15" i="6" s="1"/>
  <c r="L30" i="6"/>
  <c r="S8" i="6"/>
  <c r="S15" i="6" s="1"/>
  <c r="D30" i="6"/>
  <c r="Y5" i="6"/>
  <c r="Y7" i="6" s="1"/>
  <c r="J22" i="6"/>
  <c r="J31" i="6" s="1"/>
  <c r="Q5" i="6"/>
  <c r="B22" i="6"/>
  <c r="N20" i="6"/>
  <c r="T8" i="6"/>
  <c r="T15" i="6" s="1"/>
  <c r="N78" i="6"/>
  <c r="K30" i="6"/>
  <c r="Z8" i="6"/>
  <c r="Z15" i="6" s="1"/>
  <c r="R8" i="6"/>
  <c r="R15" i="6" s="1"/>
  <c r="C30" i="6"/>
  <c r="X5" i="6"/>
  <c r="X7" i="6" s="1"/>
  <c r="X16" i="6" s="1"/>
  <c r="N16" i="6"/>
  <c r="AB8" i="6"/>
  <c r="J30" i="6"/>
  <c r="Y8" i="6"/>
  <c r="Y15" i="6" s="1"/>
  <c r="B30" i="6"/>
  <c r="N23" i="6"/>
  <c r="Q8" i="6"/>
  <c r="I30" i="6"/>
  <c r="Q6" i="6"/>
  <c r="AC6" i="6" s="1"/>
  <c r="N21" i="6"/>
  <c r="G22" i="6"/>
  <c r="G31" i="6" s="1"/>
  <c r="V5" i="6"/>
  <c r="V7" i="6" s="1"/>
  <c r="V16" i="6" s="1"/>
  <c r="N24" i="6"/>
  <c r="Q9" i="6"/>
  <c r="H30" i="6"/>
  <c r="W8" i="6"/>
  <c r="W15" i="6" s="1"/>
  <c r="F22" i="6"/>
  <c r="U5" i="6"/>
  <c r="U7" i="6" s="1"/>
  <c r="Z5" i="6"/>
  <c r="Z7" i="6" s="1"/>
  <c r="Z16" i="6" s="1"/>
  <c r="K22" i="6"/>
  <c r="K31" i="6" s="1"/>
  <c r="N27" i="6"/>
  <c r="Q12" i="6"/>
  <c r="AC12" i="6" s="1"/>
  <c r="G30" i="6"/>
  <c r="V8" i="6"/>
  <c r="V15" i="6" s="1"/>
  <c r="AB5" i="6"/>
  <c r="AB7" i="6" s="1"/>
  <c r="M22" i="6"/>
  <c r="T5" i="6"/>
  <c r="T7" i="6" s="1"/>
  <c r="E22" i="6"/>
  <c r="H22" i="6"/>
  <c r="H31" i="6" s="1"/>
  <c r="AA5" i="6"/>
  <c r="AA7" i="6" s="1"/>
  <c r="L22" i="6"/>
  <c r="AC11" i="6"/>
  <c r="N53" i="6"/>
  <c r="AC45" i="6"/>
  <c r="K45" i="6"/>
  <c r="K46" i="6" s="1"/>
  <c r="C45" i="6"/>
  <c r="C46" i="6" s="1"/>
  <c r="G37" i="6"/>
  <c r="G46" i="6" s="1"/>
  <c r="B29" i="6"/>
  <c r="C24" i="6"/>
  <c r="R9" i="6" s="1"/>
  <c r="R46" i="6"/>
  <c r="AC46" i="6" s="1"/>
  <c r="J45" i="6"/>
  <c r="J46" i="6" s="1"/>
  <c r="B45" i="6"/>
  <c r="N43" i="6"/>
  <c r="F37" i="6"/>
  <c r="F46" i="6" s="1"/>
  <c r="I21" i="6"/>
  <c r="X6" i="6" s="1"/>
  <c r="X8" i="6"/>
  <c r="X15" i="6" s="1"/>
  <c r="B62" i="6"/>
  <c r="F23" i="6"/>
  <c r="H45" i="6"/>
  <c r="H46" i="6" s="1"/>
  <c r="N40" i="6"/>
  <c r="L37" i="6"/>
  <c r="L46" i="6" s="1"/>
  <c r="D37" i="6"/>
  <c r="D46" i="6" s="1"/>
  <c r="N26" i="6"/>
  <c r="D20" i="6"/>
  <c r="N15" i="6"/>
  <c r="N69" i="6"/>
  <c r="W5" i="6"/>
  <c r="W7" i="6" s="1"/>
  <c r="W16" i="6" s="1"/>
  <c r="M29" i="6"/>
  <c r="AB14" i="6" s="1"/>
  <c r="E29" i="6"/>
  <c r="T14" i="6" s="1"/>
  <c r="C31" i="6" l="1"/>
  <c r="F31" i="6"/>
  <c r="Q7" i="6"/>
  <c r="AC5" i="6"/>
  <c r="R16" i="6"/>
  <c r="N62" i="6"/>
  <c r="N63" i="6"/>
  <c r="AB15" i="6"/>
  <c r="AB16" i="6" s="1"/>
  <c r="Y16" i="6"/>
  <c r="T16" i="6"/>
  <c r="B31" i="6"/>
  <c r="N37" i="6"/>
  <c r="Q14" i="6"/>
  <c r="AC14" i="6" s="1"/>
  <c r="N29" i="6"/>
  <c r="AA16" i="6"/>
  <c r="N45" i="6"/>
  <c r="B46" i="6"/>
  <c r="N46" i="6" s="1"/>
  <c r="U8" i="6"/>
  <c r="U15" i="6" s="1"/>
  <c r="U16" i="6" s="1"/>
  <c r="F30" i="6"/>
  <c r="M30" i="6"/>
  <c r="M31" i="6" s="1"/>
  <c r="L31" i="6"/>
  <c r="S5" i="6"/>
  <c r="S7" i="6" s="1"/>
  <c r="S16" i="6" s="1"/>
  <c r="D22" i="6"/>
  <c r="D31" i="6" s="1"/>
  <c r="AC9" i="6"/>
  <c r="AC8" i="6"/>
  <c r="Q15" i="6"/>
  <c r="I22" i="6"/>
  <c r="I31" i="6" s="1"/>
  <c r="E30" i="6"/>
  <c r="E31" i="6" s="1"/>
  <c r="N31" i="6" l="1"/>
  <c r="Q16" i="6"/>
  <c r="N22" i="6"/>
  <c r="N30" i="6"/>
  <c r="C5" i="5" l="1"/>
  <c r="D6" i="5"/>
  <c r="C6" i="5" s="1"/>
  <c r="D7" i="5"/>
  <c r="C7" i="5" s="1"/>
  <c r="D8" i="5"/>
  <c r="D20" i="5" s="1"/>
  <c r="D9" i="5"/>
  <c r="C9" i="5" s="1"/>
  <c r="C10" i="5"/>
  <c r="C11" i="5"/>
  <c r="C12" i="5"/>
  <c r="D13" i="5"/>
  <c r="C13" i="5" s="1"/>
  <c r="C14" i="5"/>
  <c r="C15" i="5"/>
  <c r="C16" i="5"/>
  <c r="C17" i="5"/>
  <c r="C18" i="5"/>
  <c r="C19" i="5"/>
  <c r="D21" i="5"/>
  <c r="C21" i="5" s="1"/>
  <c r="C22" i="5"/>
  <c r="C23" i="5"/>
  <c r="C24" i="5"/>
  <c r="D25" i="5"/>
  <c r="C25" i="5" s="1"/>
  <c r="B96" i="4"/>
  <c r="B97" i="4"/>
  <c r="D26" i="5" l="1"/>
  <c r="C20" i="5"/>
  <c r="D27" i="5"/>
  <c r="C8" i="5"/>
  <c r="C26" i="5" l="1"/>
  <c r="C27" i="5"/>
  <c r="B100" i="4" l="1"/>
  <c r="O42" i="4"/>
  <c r="O5" i="4"/>
  <c r="O6" i="4"/>
  <c r="O7" i="4"/>
  <c r="O8" i="4"/>
  <c r="O9" i="4"/>
  <c r="O10" i="4"/>
  <c r="O11" i="4"/>
  <c r="O12" i="4"/>
  <c r="O13" i="4"/>
  <c r="C14" i="4"/>
  <c r="C18" i="4" s="1"/>
  <c r="D14" i="4"/>
  <c r="D22" i="4" s="1"/>
  <c r="E14" i="4"/>
  <c r="E20" i="4" s="1"/>
  <c r="F14" i="4"/>
  <c r="F21" i="4" s="1"/>
  <c r="G14" i="4"/>
  <c r="G22" i="4" s="1"/>
  <c r="H14" i="4"/>
  <c r="H21" i="4" s="1"/>
  <c r="I14" i="4"/>
  <c r="I24" i="4" s="1"/>
  <c r="J14" i="4"/>
  <c r="J24" i="4" s="1"/>
  <c r="K14" i="4"/>
  <c r="K18" i="4" s="1"/>
  <c r="L14" i="4"/>
  <c r="L22" i="4" s="1"/>
  <c r="M14" i="4"/>
  <c r="M18" i="4" s="1"/>
  <c r="N14" i="4"/>
  <c r="N18" i="4" s="1"/>
  <c r="C57" i="4"/>
  <c r="D57" i="4"/>
  <c r="E57" i="4"/>
  <c r="F57" i="4"/>
  <c r="G57" i="4"/>
  <c r="H57" i="4"/>
  <c r="I57" i="4"/>
  <c r="J57" i="4"/>
  <c r="K57" i="4"/>
  <c r="L57" i="4"/>
  <c r="M57" i="4"/>
  <c r="N57" i="4"/>
  <c r="D76" i="4"/>
  <c r="E76" i="4" s="1"/>
  <c r="D77" i="4"/>
  <c r="E77" i="4" s="1"/>
  <c r="D78" i="4"/>
  <c r="E78" i="4" s="1"/>
  <c r="O79" i="4"/>
  <c r="O80" i="4" s="1"/>
  <c r="L81" i="4"/>
  <c r="M82" i="4" s="1"/>
  <c r="M83" i="4" s="1"/>
  <c r="B86" i="4"/>
  <c r="G86" i="4"/>
  <c r="B87" i="4"/>
  <c r="G87" i="4"/>
  <c r="B95" i="4"/>
  <c r="K2" i="3"/>
  <c r="K3" i="3"/>
  <c r="B5" i="3"/>
  <c r="C5" i="3"/>
  <c r="D5" i="3"/>
  <c r="K5" i="3" s="1"/>
  <c r="E5" i="3"/>
  <c r="F5" i="3"/>
  <c r="G5" i="3"/>
  <c r="H5" i="3"/>
  <c r="I5" i="3"/>
  <c r="J5" i="3"/>
  <c r="K8" i="3"/>
  <c r="K9" i="3"/>
  <c r="B10" i="3"/>
  <c r="C10" i="3"/>
  <c r="D10" i="3"/>
  <c r="E10" i="3"/>
  <c r="F10" i="3"/>
  <c r="G10" i="3"/>
  <c r="H10" i="3"/>
  <c r="I10" i="3"/>
  <c r="J10" i="3"/>
  <c r="B11" i="3"/>
  <c r="K11" i="3" s="1"/>
  <c r="C11" i="3"/>
  <c r="D11" i="3"/>
  <c r="E11" i="3"/>
  <c r="F11" i="3"/>
  <c r="G11" i="3"/>
  <c r="H11" i="3"/>
  <c r="I11" i="3"/>
  <c r="J11" i="3"/>
  <c r="L3" i="2"/>
  <c r="C5" i="2"/>
  <c r="D5" i="2"/>
  <c r="E5" i="2"/>
  <c r="F5" i="2"/>
  <c r="G5" i="2"/>
  <c r="H5" i="2"/>
  <c r="I5" i="2"/>
  <c r="J5" i="2"/>
  <c r="K5" i="2"/>
  <c r="L6" i="2"/>
  <c r="L7" i="2"/>
  <c r="C8" i="2"/>
  <c r="D8" i="2"/>
  <c r="E8" i="2"/>
  <c r="F8" i="2"/>
  <c r="G8" i="2"/>
  <c r="H8" i="2"/>
  <c r="I8" i="2"/>
  <c r="J8" i="2"/>
  <c r="K8" i="2"/>
  <c r="L8" i="2"/>
  <c r="L9" i="2"/>
  <c r="L10" i="2"/>
  <c r="C11" i="2"/>
  <c r="D11" i="2"/>
  <c r="E11" i="2"/>
  <c r="F11" i="2"/>
  <c r="G11" i="2"/>
  <c r="H11" i="2"/>
  <c r="I11" i="2"/>
  <c r="J11" i="2"/>
  <c r="K11" i="2"/>
  <c r="L11" i="2"/>
  <c r="L12" i="2"/>
  <c r="L14" i="2" s="1"/>
  <c r="L13" i="2"/>
  <c r="C14" i="2"/>
  <c r="D14" i="2"/>
  <c r="E14" i="2"/>
  <c r="F14" i="2"/>
  <c r="G14" i="2"/>
  <c r="H14" i="2"/>
  <c r="I14" i="2"/>
  <c r="J14" i="2"/>
  <c r="K14" i="2"/>
  <c r="L15" i="2"/>
  <c r="L16" i="2"/>
  <c r="C17" i="2"/>
  <c r="D17" i="2"/>
  <c r="E17" i="2"/>
  <c r="F17" i="2"/>
  <c r="G17" i="2"/>
  <c r="H17" i="2"/>
  <c r="I17" i="2"/>
  <c r="J17" i="2"/>
  <c r="K17" i="2"/>
  <c r="L17" i="2"/>
  <c r="L18" i="2"/>
  <c r="L19" i="2"/>
  <c r="C20" i="2"/>
  <c r="D20" i="2"/>
  <c r="E20" i="2"/>
  <c r="F20" i="2"/>
  <c r="G20" i="2"/>
  <c r="H20" i="2"/>
  <c r="I20" i="2"/>
  <c r="J20" i="2"/>
  <c r="K20" i="2"/>
  <c r="L21" i="2"/>
  <c r="L23" i="2" s="1"/>
  <c r="L22" i="2"/>
  <c r="C23" i="2"/>
  <c r="D23" i="2"/>
  <c r="E23" i="2"/>
  <c r="F23" i="2"/>
  <c r="G23" i="2"/>
  <c r="H23" i="2"/>
  <c r="I23" i="2"/>
  <c r="J23" i="2"/>
  <c r="K23" i="2"/>
  <c r="C24" i="2"/>
  <c r="D24" i="2"/>
  <c r="D26" i="2" s="1"/>
  <c r="I24" i="2"/>
  <c r="L24" i="2"/>
  <c r="L26" i="2" s="1"/>
  <c r="L25" i="2"/>
  <c r="C26" i="2"/>
  <c r="E26" i="2"/>
  <c r="F26" i="2"/>
  <c r="G26" i="2"/>
  <c r="H26" i="2"/>
  <c r="I26" i="2"/>
  <c r="J26" i="2"/>
  <c r="K26" i="2"/>
  <c r="E27" i="2"/>
  <c r="F27" i="2"/>
  <c r="G27" i="2"/>
  <c r="H27" i="2"/>
  <c r="H39" i="2" s="1"/>
  <c r="J27" i="2"/>
  <c r="J29" i="2" s="1"/>
  <c r="K27" i="2"/>
  <c r="K29" i="2" s="1"/>
  <c r="L27" i="2"/>
  <c r="L28" i="2"/>
  <c r="C29" i="2"/>
  <c r="D29" i="2"/>
  <c r="E29" i="2"/>
  <c r="F29" i="2"/>
  <c r="G29" i="2"/>
  <c r="H29" i="2"/>
  <c r="I29" i="2"/>
  <c r="L30" i="2"/>
  <c r="L32" i="2" s="1"/>
  <c r="L31" i="2"/>
  <c r="C32" i="2"/>
  <c r="D32" i="2"/>
  <c r="E32" i="2"/>
  <c r="F32" i="2"/>
  <c r="G32" i="2"/>
  <c r="H32" i="2"/>
  <c r="I32" i="2"/>
  <c r="J32" i="2"/>
  <c r="K32" i="2"/>
  <c r="L33" i="2"/>
  <c r="L34" i="2"/>
  <c r="C35" i="2"/>
  <c r="D35" i="2"/>
  <c r="E35" i="2"/>
  <c r="F35" i="2"/>
  <c r="G35" i="2"/>
  <c r="H35" i="2"/>
  <c r="I35" i="2"/>
  <c r="J35" i="2"/>
  <c r="K35" i="2"/>
  <c r="L35" i="2"/>
  <c r="L36" i="2"/>
  <c r="L37" i="2"/>
  <c r="C38" i="2"/>
  <c r="D38" i="2"/>
  <c r="E38" i="2"/>
  <c r="F38" i="2"/>
  <c r="G38" i="2"/>
  <c r="H38" i="2"/>
  <c r="I38" i="2"/>
  <c r="J38" i="2"/>
  <c r="K38" i="2"/>
  <c r="C39" i="2"/>
  <c r="D39" i="2"/>
  <c r="D41" i="2" s="1"/>
  <c r="E39" i="2"/>
  <c r="F39" i="2"/>
  <c r="F41" i="2" s="1"/>
  <c r="G39" i="2"/>
  <c r="G41" i="2" s="1"/>
  <c r="I39" i="2"/>
  <c r="J39" i="2"/>
  <c r="C40" i="2"/>
  <c r="D40" i="2"/>
  <c r="E40" i="2"/>
  <c r="F40" i="2"/>
  <c r="G40" i="2"/>
  <c r="H40" i="2"/>
  <c r="I40" i="2"/>
  <c r="I41" i="2" s="1"/>
  <c r="J40" i="2"/>
  <c r="K40" i="2"/>
  <c r="C41" i="2"/>
  <c r="E41" i="2"/>
  <c r="J41" i="2"/>
  <c r="D49" i="4" l="1"/>
  <c r="P79" i="4"/>
  <c r="P80" i="4" s="1"/>
  <c r="O57" i="4"/>
  <c r="B98" i="4"/>
  <c r="E26" i="4"/>
  <c r="O43" i="4"/>
  <c r="B89" i="4"/>
  <c r="B90" i="4" s="1"/>
  <c r="L25" i="4"/>
  <c r="L19" i="4"/>
  <c r="D19" i="4"/>
  <c r="M22" i="4"/>
  <c r="D24" i="4"/>
  <c r="L23" i="4"/>
  <c r="L24" i="4"/>
  <c r="E23" i="4"/>
  <c r="D23" i="4"/>
  <c r="K24" i="4"/>
  <c r="C22" i="4"/>
  <c r="E18" i="4"/>
  <c r="M26" i="4"/>
  <c r="D25" i="4"/>
  <c r="E22" i="4"/>
  <c r="L20" i="4"/>
  <c r="M23" i="4"/>
  <c r="D20" i="4"/>
  <c r="K26" i="4"/>
  <c r="F24" i="4"/>
  <c r="F26" i="4"/>
  <c r="F22" i="4"/>
  <c r="J18" i="4"/>
  <c r="G18" i="4"/>
  <c r="K23" i="4"/>
  <c r="C25" i="4"/>
  <c r="F23" i="4"/>
  <c r="N26" i="4"/>
  <c r="C20" i="4"/>
  <c r="C26" i="4"/>
  <c r="K21" i="4"/>
  <c r="K19" i="4"/>
  <c r="C24" i="4"/>
  <c r="C23" i="4"/>
  <c r="C21" i="4"/>
  <c r="G19" i="4"/>
  <c r="K25" i="4"/>
  <c r="N23" i="4"/>
  <c r="N22" i="4"/>
  <c r="M20" i="4"/>
  <c r="E19" i="4"/>
  <c r="K22" i="4"/>
  <c r="K20" i="4"/>
  <c r="C19" i="4"/>
  <c r="J25" i="4"/>
  <c r="F18" i="4"/>
  <c r="J26" i="4"/>
  <c r="F25" i="4"/>
  <c r="N21" i="4"/>
  <c r="F20" i="4"/>
  <c r="F19" i="4"/>
  <c r="J21" i="4"/>
  <c r="N24" i="4"/>
  <c r="N19" i="4"/>
  <c r="J19" i="4"/>
  <c r="N25" i="4"/>
  <c r="J22" i="4"/>
  <c r="N20" i="4"/>
  <c r="M19" i="4"/>
  <c r="H24" i="4"/>
  <c r="G20" i="4"/>
  <c r="G26" i="4"/>
  <c r="G25" i="4"/>
  <c r="G24" i="4"/>
  <c r="G23" i="4"/>
  <c r="G21" i="4"/>
  <c r="H19" i="4"/>
  <c r="D74" i="4"/>
  <c r="E74" i="4" s="1"/>
  <c r="L26" i="4"/>
  <c r="D26" i="4"/>
  <c r="I25" i="4"/>
  <c r="H22" i="4"/>
  <c r="M21" i="4"/>
  <c r="E21" i="4"/>
  <c r="J20" i="4"/>
  <c r="L18" i="4"/>
  <c r="D18" i="4"/>
  <c r="O14" i="4"/>
  <c r="I19" i="4"/>
  <c r="I22" i="4"/>
  <c r="H25" i="4"/>
  <c r="M24" i="4"/>
  <c r="E24" i="4"/>
  <c r="J23" i="4"/>
  <c r="L21" i="4"/>
  <c r="D21" i="4"/>
  <c r="I20" i="4"/>
  <c r="I23" i="4"/>
  <c r="H20" i="4"/>
  <c r="I26" i="4"/>
  <c r="H23" i="4"/>
  <c r="I18" i="4"/>
  <c r="L82" i="4"/>
  <c r="L83" i="4" s="1"/>
  <c r="N82" i="4" s="1"/>
  <c r="D46" i="4"/>
  <c r="D48" i="4" s="1"/>
  <c r="H26" i="4"/>
  <c r="M25" i="4"/>
  <c r="E25" i="4"/>
  <c r="I21" i="4"/>
  <c r="H18" i="4"/>
  <c r="D45" i="4"/>
  <c r="H41" i="2"/>
  <c r="N28" i="2"/>
  <c r="N19" i="2"/>
  <c r="N34" i="2"/>
  <c r="N37" i="2"/>
  <c r="N4" i="2"/>
  <c r="K39" i="2"/>
  <c r="L29" i="2"/>
  <c r="L20" i="2"/>
  <c r="L38" i="2"/>
  <c r="L5" i="2"/>
  <c r="L43" i="2"/>
  <c r="P11" i="4" l="1"/>
  <c r="B101" i="4"/>
  <c r="B102" i="4" s="1"/>
  <c r="K27" i="4"/>
  <c r="C27" i="4"/>
  <c r="F27" i="4"/>
  <c r="N27" i="4"/>
  <c r="O22" i="4"/>
  <c r="O24" i="4"/>
  <c r="O19" i="4"/>
  <c r="G27" i="4"/>
  <c r="D27" i="4"/>
  <c r="E27" i="4"/>
  <c r="P5" i="4"/>
  <c r="H15" i="4"/>
  <c r="H42" i="4" s="1"/>
  <c r="H40" i="4" s="1"/>
  <c r="H61" i="4" s="1"/>
  <c r="O25" i="4"/>
  <c r="O20" i="4"/>
  <c r="P9" i="4"/>
  <c r="M27" i="4"/>
  <c r="O23" i="4"/>
  <c r="O18" i="4"/>
  <c r="L27" i="4"/>
  <c r="H27" i="4"/>
  <c r="J27" i="4"/>
  <c r="O21" i="4"/>
  <c r="P7" i="4"/>
  <c r="D15" i="4"/>
  <c r="D42" i="4" s="1"/>
  <c r="L15" i="4"/>
  <c r="L42" i="4" s="1"/>
  <c r="C15" i="4"/>
  <c r="P6" i="4"/>
  <c r="P10" i="4"/>
  <c r="F15" i="4"/>
  <c r="F42" i="4" s="1"/>
  <c r="N15" i="4"/>
  <c r="N42" i="4" s="1"/>
  <c r="G15" i="4"/>
  <c r="G42" i="4" s="1"/>
  <c r="K15" i="4"/>
  <c r="K42" i="4" s="1"/>
  <c r="P12" i="4"/>
  <c r="P8" i="4"/>
  <c r="J15" i="4"/>
  <c r="J42" i="4" s="1"/>
  <c r="P13" i="4"/>
  <c r="E15" i="4"/>
  <c r="E42" i="4" s="1"/>
  <c r="I27" i="4"/>
  <c r="I15" i="4"/>
  <c r="I42" i="4" s="1"/>
  <c r="O26" i="4"/>
  <c r="M15" i="4"/>
  <c r="M42" i="4" s="1"/>
  <c r="K41" i="2"/>
  <c r="L39" i="2"/>
  <c r="N22" i="2"/>
  <c r="L45" i="2"/>
  <c r="N13" i="2"/>
  <c r="N10" i="2"/>
  <c r="N39" i="2" s="1"/>
  <c r="N25" i="2"/>
  <c r="N31" i="2"/>
  <c r="N16" i="2"/>
  <c r="N7" i="2"/>
  <c r="H38" i="4" l="1"/>
  <c r="H37" i="4"/>
  <c r="H58" i="4" s="1"/>
  <c r="H35" i="4"/>
  <c r="H56" i="4" s="1"/>
  <c r="H36" i="4"/>
  <c r="H39" i="4"/>
  <c r="H60" i="4" s="1"/>
  <c r="O27" i="4"/>
  <c r="H34" i="4"/>
  <c r="H55" i="4" s="1"/>
  <c r="P14" i="4"/>
  <c r="H41" i="4"/>
  <c r="H33" i="4"/>
  <c r="H54" i="4" s="1"/>
  <c r="D35" i="4"/>
  <c r="D56" i="4" s="1"/>
  <c r="D37" i="4"/>
  <c r="D58" i="4" s="1"/>
  <c r="D38" i="4"/>
  <c r="D41" i="4"/>
  <c r="D33" i="4"/>
  <c r="D54" i="4" s="1"/>
  <c r="D36" i="4"/>
  <c r="D40" i="4"/>
  <c r="D61" i="4" s="1"/>
  <c r="D34" i="4"/>
  <c r="D55" i="4" s="1"/>
  <c r="D39" i="4"/>
  <c r="D60" i="4" s="1"/>
  <c r="I33" i="4"/>
  <c r="I54" i="4" s="1"/>
  <c r="I34" i="4"/>
  <c r="I55" i="4" s="1"/>
  <c r="I35" i="4"/>
  <c r="I56" i="4" s="1"/>
  <c r="I36" i="4"/>
  <c r="I37" i="4"/>
  <c r="I58" i="4" s="1"/>
  <c r="I38" i="4"/>
  <c r="I39" i="4"/>
  <c r="I60" i="4" s="1"/>
  <c r="I40" i="4"/>
  <c r="I61" i="4" s="1"/>
  <c r="I41" i="4"/>
  <c r="N33" i="4"/>
  <c r="N54" i="4" s="1"/>
  <c r="N34" i="4"/>
  <c r="N55" i="4" s="1"/>
  <c r="N35" i="4"/>
  <c r="N56" i="4" s="1"/>
  <c r="N36" i="4"/>
  <c r="N37" i="4"/>
  <c r="N58" i="4" s="1"/>
  <c r="N38" i="4"/>
  <c r="N39" i="4"/>
  <c r="N60" i="4" s="1"/>
  <c r="N40" i="4"/>
  <c r="N61" i="4" s="1"/>
  <c r="N41" i="4"/>
  <c r="L35" i="4"/>
  <c r="L56" i="4" s="1"/>
  <c r="L38" i="4"/>
  <c r="L40" i="4"/>
  <c r="L61" i="4" s="1"/>
  <c r="L33" i="4"/>
  <c r="L54" i="4" s="1"/>
  <c r="L37" i="4"/>
  <c r="L58" i="4" s="1"/>
  <c r="L41" i="4"/>
  <c r="L39" i="4"/>
  <c r="L60" i="4" s="1"/>
  <c r="L34" i="4"/>
  <c r="L55" i="4" s="1"/>
  <c r="L36" i="4"/>
  <c r="G35" i="4"/>
  <c r="G56" i="4" s="1"/>
  <c r="G38" i="4"/>
  <c r="G39" i="4"/>
  <c r="G60" i="4" s="1"/>
  <c r="G40" i="4"/>
  <c r="G61" i="4" s="1"/>
  <c r="G41" i="4"/>
  <c r="G33" i="4"/>
  <c r="G54" i="4" s="1"/>
  <c r="G34" i="4"/>
  <c r="G55" i="4" s="1"/>
  <c r="G36" i="4"/>
  <c r="G37" i="4"/>
  <c r="G58" i="4" s="1"/>
  <c r="F33" i="4"/>
  <c r="F54" i="4" s="1"/>
  <c r="F34" i="4"/>
  <c r="F55" i="4" s="1"/>
  <c r="F35" i="4"/>
  <c r="F56" i="4" s="1"/>
  <c r="F36" i="4"/>
  <c r="F37" i="4"/>
  <c r="F58" i="4" s="1"/>
  <c r="F38" i="4"/>
  <c r="F39" i="4"/>
  <c r="F60" i="4" s="1"/>
  <c r="F40" i="4"/>
  <c r="F61" i="4" s="1"/>
  <c r="F41" i="4"/>
  <c r="K33" i="4"/>
  <c r="K54" i="4" s="1"/>
  <c r="K34" i="4"/>
  <c r="K55" i="4" s="1"/>
  <c r="K35" i="4"/>
  <c r="K56" i="4" s="1"/>
  <c r="K36" i="4"/>
  <c r="K37" i="4"/>
  <c r="K58" i="4" s="1"/>
  <c r="K38" i="4"/>
  <c r="K39" i="4"/>
  <c r="K60" i="4" s="1"/>
  <c r="K40" i="4"/>
  <c r="K61" i="4" s="1"/>
  <c r="K41" i="4"/>
  <c r="E33" i="4"/>
  <c r="E54" i="4" s="1"/>
  <c r="E34" i="4"/>
  <c r="E35" i="4"/>
  <c r="E56" i="4" s="1"/>
  <c r="E36" i="4"/>
  <c r="E37" i="4"/>
  <c r="E58" i="4" s="1"/>
  <c r="E38" i="4"/>
  <c r="E39" i="4"/>
  <c r="E60" i="4" s="1"/>
  <c r="E40" i="4"/>
  <c r="E61" i="4" s="1"/>
  <c r="E41" i="4"/>
  <c r="M33" i="4"/>
  <c r="M54" i="4" s="1"/>
  <c r="M34" i="4"/>
  <c r="M55" i="4" s="1"/>
  <c r="M35" i="4"/>
  <c r="M56" i="4" s="1"/>
  <c r="M36" i="4"/>
  <c r="M37" i="4"/>
  <c r="M58" i="4" s="1"/>
  <c r="M38" i="4"/>
  <c r="M39" i="4"/>
  <c r="M60" i="4" s="1"/>
  <c r="M40" i="4"/>
  <c r="M61" i="4" s="1"/>
  <c r="M41" i="4"/>
  <c r="J33" i="4"/>
  <c r="J54" i="4" s="1"/>
  <c r="J34" i="4"/>
  <c r="J55" i="4" s="1"/>
  <c r="J35" i="4"/>
  <c r="J56" i="4" s="1"/>
  <c r="J36" i="4"/>
  <c r="J37" i="4"/>
  <c r="J58" i="4" s="1"/>
  <c r="J38" i="4"/>
  <c r="J39" i="4"/>
  <c r="J60" i="4" s="1"/>
  <c r="J40" i="4"/>
  <c r="J61" i="4" s="1"/>
  <c r="J41" i="4"/>
  <c r="O15" i="4"/>
  <c r="C42" i="4"/>
  <c r="I48" i="2"/>
  <c r="J48" i="2"/>
  <c r="E48" i="2"/>
  <c r="C48" i="2"/>
  <c r="G48" i="2"/>
  <c r="D48" i="2"/>
  <c r="H48" i="2"/>
  <c r="F48" i="2"/>
  <c r="K48" i="2"/>
  <c r="C33" i="4" l="1"/>
  <c r="C34" i="4"/>
  <c r="C35" i="4"/>
  <c r="C36" i="4"/>
  <c r="O36" i="4" s="1"/>
  <c r="C37" i="4"/>
  <c r="C38" i="4"/>
  <c r="O38" i="4" s="1"/>
  <c r="C39" i="4"/>
  <c r="C40" i="4"/>
  <c r="C41" i="4"/>
  <c r="O41" i="4" s="1"/>
  <c r="E55" i="4"/>
  <c r="C75" i="4"/>
  <c r="C79" i="4" s="1"/>
  <c r="L48" i="2"/>
  <c r="C55" i="4" l="1"/>
  <c r="O55" i="4" s="1"/>
  <c r="O34" i="4"/>
  <c r="P36" i="4"/>
  <c r="P41" i="4"/>
  <c r="O33" i="4"/>
  <c r="C54" i="4"/>
  <c r="O54" i="4" s="1"/>
  <c r="C61" i="4"/>
  <c r="O61" i="4" s="1"/>
  <c r="O40" i="4"/>
  <c r="C60" i="4"/>
  <c r="O60" i="4" s="1"/>
  <c r="O39" i="4"/>
  <c r="P38" i="4"/>
  <c r="C58" i="4"/>
  <c r="O58" i="4" s="1"/>
  <c r="O37" i="4"/>
  <c r="O35" i="4"/>
  <c r="C56" i="4"/>
  <c r="O56" i="4" s="1"/>
  <c r="D71" i="4" l="1"/>
  <c r="E71" i="4" s="1"/>
  <c r="D70" i="4"/>
  <c r="E70" i="4" s="1"/>
  <c r="P37" i="4"/>
  <c r="P33" i="4"/>
  <c r="P40" i="4"/>
  <c r="D73" i="4"/>
  <c r="E73" i="4" s="1"/>
  <c r="D69" i="4"/>
  <c r="P34" i="4"/>
  <c r="P35" i="4"/>
  <c r="O64" i="4"/>
  <c r="O65" i="4" s="1"/>
  <c r="D75" i="4"/>
  <c r="E75" i="4" s="1"/>
  <c r="P39" i="4"/>
  <c r="D72" i="4"/>
  <c r="E72" i="4" s="1"/>
  <c r="P42" i="4" l="1"/>
  <c r="D79" i="4"/>
  <c r="E79" i="4" s="1"/>
  <c r="E69" i="4"/>
</calcChain>
</file>

<file path=xl/sharedStrings.xml><?xml version="1.0" encoding="utf-8"?>
<sst xmlns="http://schemas.openxmlformats.org/spreadsheetml/2006/main" count="540" uniqueCount="287">
  <si>
    <t>매장별 보다는 작년 실매출로 그래프</t>
    <phoneticPr fontId="3" type="noConversion"/>
  </si>
  <si>
    <t>24년</t>
    <phoneticPr fontId="3" type="noConversion"/>
  </si>
  <si>
    <t>23년</t>
    <phoneticPr fontId="3" type="noConversion"/>
  </si>
  <si>
    <t>공과대학</t>
    <phoneticPr fontId="3" type="noConversion"/>
  </si>
  <si>
    <t>선승관</t>
    <phoneticPr fontId="3" type="noConversion"/>
  </si>
  <si>
    <t>제2기숙사</t>
    <phoneticPr fontId="3" type="noConversion"/>
  </si>
  <si>
    <t>멀티미디어</t>
    <phoneticPr fontId="3" type="noConversion"/>
  </si>
  <si>
    <t>예술디자인</t>
    <phoneticPr fontId="3" type="noConversion"/>
  </si>
  <si>
    <t>학생회관</t>
    <phoneticPr fontId="3" type="noConversion"/>
  </si>
  <si>
    <t>중앙도서관</t>
    <phoneticPr fontId="3" type="noConversion"/>
  </si>
  <si>
    <t>의과대학</t>
    <phoneticPr fontId="3" type="noConversion"/>
  </si>
  <si>
    <t>푸른솔</t>
    <phoneticPr fontId="3" type="noConversion"/>
  </si>
  <si>
    <t>매장별 점유율</t>
    <phoneticPr fontId="3" type="noConversion"/>
  </si>
  <si>
    <t>총 달성률</t>
    <phoneticPr fontId="3" type="noConversion"/>
  </si>
  <si>
    <t>목표매출 총 누계</t>
    <phoneticPr fontId="3" type="noConversion"/>
  </si>
  <si>
    <t>실매출 총누계</t>
    <phoneticPr fontId="3" type="noConversion"/>
  </si>
  <si>
    <t>미달성</t>
    <phoneticPr fontId="3" type="noConversion"/>
  </si>
  <si>
    <t>달성</t>
    <phoneticPr fontId="3" type="noConversion"/>
  </si>
  <si>
    <t>미달성</t>
    <phoneticPr fontId="3" type="noConversion"/>
  </si>
  <si>
    <t>판정</t>
    <phoneticPr fontId="3" type="noConversion"/>
  </si>
  <si>
    <t>달성률</t>
    <phoneticPr fontId="3" type="noConversion"/>
  </si>
  <si>
    <t>매장별 목표매출 누계</t>
    <phoneticPr fontId="3" type="noConversion"/>
  </si>
  <si>
    <t>매장별 실매출 누계</t>
    <phoneticPr fontId="3" type="noConversion"/>
  </si>
  <si>
    <t>달성률</t>
  </si>
  <si>
    <t>목표매출</t>
    <phoneticPr fontId="3" type="noConversion"/>
  </si>
  <si>
    <t>12월</t>
    <phoneticPr fontId="3" type="noConversion"/>
  </si>
  <si>
    <t>실매출</t>
    <phoneticPr fontId="3" type="noConversion"/>
  </si>
  <si>
    <t>12월</t>
  </si>
  <si>
    <t>달성률</t>
    <phoneticPr fontId="3" type="noConversion"/>
  </si>
  <si>
    <t>목표매출</t>
    <phoneticPr fontId="3" type="noConversion"/>
  </si>
  <si>
    <t>11월</t>
    <phoneticPr fontId="3" type="noConversion"/>
  </si>
  <si>
    <t>실매출</t>
    <phoneticPr fontId="3" type="noConversion"/>
  </si>
  <si>
    <t>11월</t>
  </si>
  <si>
    <t>10월</t>
    <phoneticPr fontId="3" type="noConversion"/>
  </si>
  <si>
    <t>10월</t>
  </si>
  <si>
    <t>9월</t>
    <phoneticPr fontId="3" type="noConversion"/>
  </si>
  <si>
    <t>9월</t>
  </si>
  <si>
    <t>8월</t>
    <phoneticPr fontId="3" type="noConversion"/>
  </si>
  <si>
    <t>8월</t>
  </si>
  <si>
    <t>7월</t>
    <phoneticPr fontId="3" type="noConversion"/>
  </si>
  <si>
    <t>7월</t>
  </si>
  <si>
    <t>6월</t>
    <phoneticPr fontId="3" type="noConversion"/>
  </si>
  <si>
    <t>6월</t>
  </si>
  <si>
    <t>5월</t>
    <phoneticPr fontId="3" type="noConversion"/>
  </si>
  <si>
    <t>5월</t>
  </si>
  <si>
    <t>4월</t>
    <phoneticPr fontId="3" type="noConversion"/>
  </si>
  <si>
    <t>4월</t>
  </si>
  <si>
    <t>3월</t>
    <phoneticPr fontId="3" type="noConversion"/>
  </si>
  <si>
    <t>2월</t>
    <phoneticPr fontId="3" type="noConversion"/>
  </si>
  <si>
    <t>1월</t>
    <phoneticPr fontId="3" type="noConversion"/>
  </si>
  <si>
    <t>24년</t>
    <phoneticPr fontId="3" type="noConversion"/>
  </si>
  <si>
    <t>23년</t>
    <phoneticPr fontId="3" type="noConversion"/>
  </si>
  <si>
    <t>월별 누계</t>
    <phoneticPr fontId="3" type="noConversion"/>
  </si>
  <si>
    <t>공과대학</t>
    <phoneticPr fontId="3" type="noConversion"/>
  </si>
  <si>
    <t>선승관</t>
    <phoneticPr fontId="3" type="noConversion"/>
  </si>
  <si>
    <t>제2기숙사</t>
    <phoneticPr fontId="3" type="noConversion"/>
  </si>
  <si>
    <t>멀티미디어</t>
    <phoneticPr fontId="3" type="noConversion"/>
  </si>
  <si>
    <t>예술디자인</t>
    <phoneticPr fontId="3" type="noConversion"/>
  </si>
  <si>
    <t>학생회관</t>
    <phoneticPr fontId="3" type="noConversion"/>
  </si>
  <si>
    <t>중앙도서관</t>
    <phoneticPr fontId="3" type="noConversion"/>
  </si>
  <si>
    <t>의과대학</t>
    <phoneticPr fontId="3" type="noConversion"/>
  </si>
  <si>
    <t>푸른솔</t>
    <phoneticPr fontId="3" type="noConversion"/>
  </si>
  <si>
    <t>구분</t>
    <phoneticPr fontId="3" type="noConversion"/>
  </si>
  <si>
    <t>월별 점유율</t>
    <phoneticPr fontId="3" type="noConversion"/>
  </si>
  <si>
    <t xml:space="preserve">점포별 월 매출 현황 및 목표매출 대비 실 목표 달성률 </t>
    <phoneticPr fontId="3" type="noConversion"/>
  </si>
  <si>
    <t>미달성</t>
    <phoneticPr fontId="3" type="noConversion"/>
  </si>
  <si>
    <t>달성</t>
    <phoneticPr fontId="3" type="noConversion"/>
  </si>
  <si>
    <t>판정</t>
    <phoneticPr fontId="3" type="noConversion"/>
  </si>
  <si>
    <t>전년도 실매출 대비 차액</t>
    <phoneticPr fontId="3" type="noConversion"/>
  </si>
  <si>
    <t>달성률</t>
    <phoneticPr fontId="3" type="noConversion"/>
  </si>
  <si>
    <t>매장별 2023년 실매출</t>
    <phoneticPr fontId="3" type="noConversion"/>
  </si>
  <si>
    <t>매장별 2024년 실매출</t>
    <phoneticPr fontId="3" type="noConversion"/>
  </si>
  <si>
    <t>미달성</t>
  </si>
  <si>
    <t>달성</t>
  </si>
  <si>
    <t>판정</t>
  </si>
  <si>
    <t>목표매출 대비 차액</t>
    <phoneticPr fontId="3" type="noConversion"/>
  </si>
  <si>
    <t>매장별 목표매출</t>
    <phoneticPr fontId="3" type="noConversion"/>
  </si>
  <si>
    <t>매장별 실매출</t>
    <phoneticPr fontId="3" type="noConversion"/>
  </si>
  <si>
    <t>공과대학</t>
  </si>
  <si>
    <t>선승관</t>
  </si>
  <si>
    <t>제2기숙사</t>
  </si>
  <si>
    <t>멀티미디어</t>
  </si>
  <si>
    <t>예술디자인</t>
  </si>
  <si>
    <t>학생회관</t>
  </si>
  <si>
    <t>중앙도서관</t>
  </si>
  <si>
    <t>의과대학</t>
  </si>
  <si>
    <t>푸른솔</t>
  </si>
  <si>
    <t>실행목표</t>
    <phoneticPr fontId="3" type="noConversion"/>
  </si>
  <si>
    <t>합계</t>
    <phoneticPr fontId="3" type="noConversion"/>
  </si>
  <si>
    <t>장애인</t>
    <phoneticPr fontId="3" type="noConversion"/>
  </si>
  <si>
    <t>매니저</t>
    <phoneticPr fontId="3" type="noConversion"/>
  </si>
  <si>
    <t>업무추진비 월 10만원 * 12개월</t>
    <phoneticPr fontId="3" type="noConversion"/>
  </si>
  <si>
    <t>본사</t>
    <phoneticPr fontId="3" type="noConversion"/>
  </si>
  <si>
    <t>비고</t>
    <phoneticPr fontId="3" type="noConversion"/>
  </si>
  <si>
    <t>비용</t>
    <phoneticPr fontId="3" type="noConversion"/>
  </si>
  <si>
    <t>항목</t>
    <phoneticPr fontId="3" type="noConversion"/>
  </si>
  <si>
    <t>복리후생비 산정</t>
    <phoneticPr fontId="3" type="noConversion"/>
  </si>
  <si>
    <t>카드수수료 매출액 1.3%</t>
    <phoneticPr fontId="3" type="noConversion"/>
  </si>
  <si>
    <t>카드수수료</t>
    <phoneticPr fontId="3" type="noConversion"/>
  </si>
  <si>
    <t>무상지원금</t>
    <phoneticPr fontId="3" type="noConversion"/>
  </si>
  <si>
    <t>키오스크 임대 월 7.5만원*2매장*12개월</t>
    <phoneticPr fontId="3" type="noConversion"/>
  </si>
  <si>
    <t>포스임대2</t>
    <phoneticPr fontId="3" type="noConversion"/>
  </si>
  <si>
    <t>포스임대 월 3만원*9매장*12개월</t>
    <phoneticPr fontId="3" type="noConversion"/>
  </si>
  <si>
    <t>포스임대1</t>
    <phoneticPr fontId="3" type="noConversion"/>
  </si>
  <si>
    <t>교육장보수 / 교육 시설 운영</t>
    <phoneticPr fontId="3" type="noConversion"/>
  </si>
  <si>
    <t>유지보수</t>
    <phoneticPr fontId="3" type="noConversion"/>
  </si>
  <si>
    <t>1회 비용 1,589,000원 (출장비-방문점검비 포함)</t>
    <phoneticPr fontId="3" type="noConversion"/>
  </si>
  <si>
    <t>필터교체 22년 10월 4일 교체 기안 근거 * 연간 2회</t>
    <phoneticPr fontId="3" type="noConversion"/>
  </si>
  <si>
    <t>본사부담금</t>
    <phoneticPr fontId="3" type="noConversion"/>
  </si>
  <si>
    <t>비고</t>
    <phoneticPr fontId="3" type="noConversion"/>
  </si>
  <si>
    <t>총계</t>
    <phoneticPr fontId="3" type="noConversion"/>
  </si>
  <si>
    <t>지급수수료 산정</t>
    <phoneticPr fontId="3" type="noConversion"/>
  </si>
  <si>
    <t>지원금</t>
    <phoneticPr fontId="3" type="noConversion"/>
  </si>
  <si>
    <t>3그룹</t>
    <phoneticPr fontId="3" type="noConversion"/>
  </si>
  <si>
    <t>공단 무상지원금 내역</t>
    <phoneticPr fontId="3" type="noConversion"/>
  </si>
  <si>
    <t>로스팅공장</t>
    <phoneticPr fontId="3" type="noConversion"/>
  </si>
  <si>
    <t>푸른솔</t>
    <phoneticPr fontId="3" type="noConversion"/>
  </si>
  <si>
    <t>의대</t>
    <phoneticPr fontId="3" type="noConversion"/>
  </si>
  <si>
    <t>선승</t>
    <phoneticPr fontId="3" type="noConversion"/>
  </si>
  <si>
    <t>기숙</t>
    <phoneticPr fontId="3" type="noConversion"/>
  </si>
  <si>
    <t>예디</t>
    <phoneticPr fontId="3" type="noConversion"/>
  </si>
  <si>
    <t>공대</t>
    <phoneticPr fontId="3" type="noConversion"/>
  </si>
  <si>
    <t>멀티</t>
    <phoneticPr fontId="3" type="noConversion"/>
  </si>
  <si>
    <t>중도</t>
    <phoneticPr fontId="3" type="noConversion"/>
  </si>
  <si>
    <t>학관</t>
    <phoneticPr fontId="3" type="noConversion"/>
  </si>
  <si>
    <t>차액</t>
    <phoneticPr fontId="3" type="noConversion"/>
  </si>
  <si>
    <t>예상 임차료</t>
    <phoneticPr fontId="3" type="noConversion"/>
  </si>
  <si>
    <t>기존임차료(연)</t>
    <phoneticPr fontId="3" type="noConversion"/>
  </si>
  <si>
    <t>기존 고정임차료 대비 목표매출 임차료 비교</t>
    <phoneticPr fontId="3" type="noConversion"/>
  </si>
  <si>
    <t>로스팅창고</t>
    <phoneticPr fontId="3" type="noConversion"/>
  </si>
  <si>
    <t>연 4,363,636원</t>
    <phoneticPr fontId="3" type="noConversion"/>
  </si>
  <si>
    <t>카페쿠피(푸른솔문화관)</t>
  </si>
  <si>
    <t>월 매출 15%</t>
    <phoneticPr fontId="3" type="noConversion"/>
  </si>
  <si>
    <t>카페쿠피(예술디자인대)</t>
  </si>
  <si>
    <t>월 매출 15%</t>
    <phoneticPr fontId="3" type="noConversion"/>
  </si>
  <si>
    <t>카페쿠피(공학관)</t>
  </si>
  <si>
    <t>연 2,400,000원</t>
    <phoneticPr fontId="3" type="noConversion"/>
  </si>
  <si>
    <t>카페쿠피(의과대학)</t>
  </si>
  <si>
    <t>월 매출 15%</t>
    <phoneticPr fontId="3" type="noConversion"/>
  </si>
  <si>
    <t>카페쿠피(학생회관)</t>
  </si>
  <si>
    <t>월 20만원 (부가세 포함)</t>
    <phoneticPr fontId="3" type="noConversion"/>
  </si>
  <si>
    <t>카페쿠피(제2기숙사)</t>
  </si>
  <si>
    <t>월 매출 15%</t>
    <phoneticPr fontId="3" type="noConversion"/>
  </si>
  <si>
    <t>카페쿠피(멀티교육관)</t>
  </si>
  <si>
    <t>월 매출 15%</t>
    <phoneticPr fontId="3" type="noConversion"/>
  </si>
  <si>
    <t>카페쿠피(중앙도서관)</t>
  </si>
  <si>
    <t>카페쿠피(선승관)</t>
  </si>
  <si>
    <t>합계</t>
    <phoneticPr fontId="3" type="noConversion"/>
  </si>
  <si>
    <t>3월</t>
  </si>
  <si>
    <t>2월</t>
  </si>
  <si>
    <t>1월</t>
    <phoneticPr fontId="3" type="noConversion"/>
  </si>
  <si>
    <t>4) 목표 매출 근거 예상 임차료 산정</t>
    <phoneticPr fontId="3" type="noConversion"/>
  </si>
  <si>
    <t>매장용소모품 0.5% 추정 (세제외)</t>
    <phoneticPr fontId="3" type="noConversion"/>
  </si>
  <si>
    <t>소모품 추산</t>
    <phoneticPr fontId="3" type="noConversion"/>
  </si>
  <si>
    <t>매장 원가+ 원두납품 원가</t>
    <phoneticPr fontId="3" type="noConversion"/>
  </si>
  <si>
    <t>원가 합계</t>
    <phoneticPr fontId="3" type="noConversion"/>
  </si>
  <si>
    <t>24년 연간 계약 목표 / 미정</t>
    <phoneticPr fontId="3" type="noConversion"/>
  </si>
  <si>
    <t>원두납품원가</t>
    <phoneticPr fontId="3" type="noConversion"/>
  </si>
  <si>
    <t>점포 원재료 사용 금액 (음료 제조용+우유+디저트+부자재)</t>
    <phoneticPr fontId="3" type="noConversion"/>
  </si>
  <si>
    <t>매장원가(25%)</t>
    <phoneticPr fontId="3" type="noConversion"/>
  </si>
  <si>
    <t>점포 목표 매출</t>
    <phoneticPr fontId="3" type="noConversion"/>
  </si>
  <si>
    <t>목표매출 합계</t>
    <phoneticPr fontId="3" type="noConversion"/>
  </si>
  <si>
    <t>원두매출(삼의원)</t>
    <phoneticPr fontId="3" type="noConversion"/>
  </si>
  <si>
    <t>월별 목표 매출액</t>
    <phoneticPr fontId="3" type="noConversion"/>
  </si>
  <si>
    <t>카페쿠피(선승관)</t>
    <phoneticPr fontId="3" type="noConversion"/>
  </si>
  <si>
    <t>점유율</t>
    <phoneticPr fontId="3" type="noConversion"/>
  </si>
  <si>
    <t>점포별
누 계</t>
    <phoneticPr fontId="3" type="noConversion"/>
  </si>
  <si>
    <t>1월</t>
    <phoneticPr fontId="3" type="noConversion"/>
  </si>
  <si>
    <t>월별 점유율</t>
  </si>
  <si>
    <t>합 계</t>
  </si>
  <si>
    <t>매장별 점유율</t>
    <phoneticPr fontId="3" type="noConversion"/>
  </si>
  <si>
    <t>매장별 합계</t>
    <phoneticPr fontId="3" type="noConversion"/>
  </si>
  <si>
    <t>2월</t>
    <phoneticPr fontId="3" type="noConversion"/>
  </si>
  <si>
    <t>점포명</t>
    <phoneticPr fontId="3" type="noConversion"/>
  </si>
  <si>
    <t>1) 2024년 매장별 매출 점유율 (정상 매출 기준)</t>
    <phoneticPr fontId="3" type="noConversion"/>
  </si>
  <si>
    <t>2025년 목표 매출</t>
    <phoneticPr fontId="3" type="noConversion"/>
  </si>
  <si>
    <t>2024년</t>
    <phoneticPr fontId="3" type="noConversion"/>
  </si>
  <si>
    <t>2) 2024년 월별 매출 점유율 (정상 매출 기준)</t>
    <phoneticPr fontId="3" type="noConversion"/>
  </si>
  <si>
    <t xml:space="preserve">2024년
점포별 월별
점유율
</t>
    <phoneticPr fontId="3" type="noConversion"/>
  </si>
  <si>
    <t xml:space="preserve">3) 2025년 점포별/월별 매출 목표 </t>
    <phoneticPr fontId="3" type="noConversion"/>
  </si>
  <si>
    <t>2025
목표 매출액</t>
    <phoneticPr fontId="3" type="noConversion"/>
  </si>
  <si>
    <t>2024년 3% 성장 매출
기준액</t>
    <phoneticPr fontId="3" type="noConversion"/>
  </si>
  <si>
    <t>25년 연간 계약 목표 / 미정</t>
    <phoneticPr fontId="3" type="noConversion"/>
  </si>
  <si>
    <t>예디,멀티(공대, 중도) 커피머신 교체 계획 24년 2월
총 비용 12,800,000원(부가세 별도)
 -. 7,680,000원 무상지원금 (투자금의 70%)
- 5,120,000원 자사 부담금(투자금의 30%+부가세)</t>
    <phoneticPr fontId="3" type="noConversion"/>
  </si>
  <si>
    <t>25 목표</t>
    <phoneticPr fontId="3" type="noConversion"/>
  </si>
  <si>
    <t>24 매출</t>
    <phoneticPr fontId="3" type="noConversion"/>
  </si>
  <si>
    <t>장애인 근로자 42명 * 8천원</t>
    <phoneticPr fontId="3" type="noConversion"/>
  </si>
  <si>
    <t>매니저 5인 * 식대 8천원 * 12개월</t>
    <phoneticPr fontId="3" type="noConversion"/>
  </si>
  <si>
    <t>&lt;참고&gt; 부담금
감면 제외 이익</t>
    <phoneticPr fontId="3" type="noConversion"/>
  </si>
  <si>
    <t>법인세전이익</t>
    <phoneticPr fontId="21" type="noConversion"/>
  </si>
  <si>
    <t xml:space="preserve"> ▶ 교육사업 진행 실습 원부자재 비용 + 메뉴개발비용 예상 산출 , 교육 비용의 20%</t>
    <phoneticPr fontId="23" type="noConversion"/>
  </si>
  <si>
    <t>영업외비용</t>
    <phoneticPr fontId="21" type="noConversion"/>
  </si>
  <si>
    <t xml:space="preserve"> ▶ 지원고용 및 일배움 프로그램 (일 19,340원 기준)  / 2024년도 실 지급 비용 기준 산정</t>
    <phoneticPr fontId="23" type="noConversion"/>
  </si>
  <si>
    <t>교육사업</t>
    <phoneticPr fontId="21" type="noConversion"/>
  </si>
  <si>
    <t xml:space="preserve"> ▶ 2025년 1월 기존 중증 35인, 경증 2인+신규 채용 중증 5인 계획(6월) </t>
    <phoneticPr fontId="23" type="noConversion"/>
  </si>
  <si>
    <t>장애인장려금</t>
    <phoneticPr fontId="21" type="noConversion"/>
  </si>
  <si>
    <t xml:space="preserve"> ▶ 2025년 기준 부담금 감면액 1인 1,333,480원 기존 중증 35인, 경증 2인+신규 채용 중증 5인 계획(6월)</t>
    <phoneticPr fontId="23" type="noConversion"/>
  </si>
  <si>
    <t>부담금감면수익</t>
    <phoneticPr fontId="21" type="noConversion"/>
  </si>
  <si>
    <t xml:space="preserve"> 영업외수익 계</t>
    <phoneticPr fontId="21" type="noConversion"/>
  </si>
  <si>
    <t>영업이익</t>
    <phoneticPr fontId="21" type="noConversion"/>
  </si>
  <si>
    <t xml:space="preserve"> ▶ 카페쿠피: 운반비, 인쇄비, 수선비, 보험비, 차량유지비(스타렉스: 배송차량), 회의비, 수도광열비, 통신비, 
               교육훈련비(위생교육) 등 / 신규 개설 점포 예비비 1천만원</t>
    <phoneticPr fontId="23" type="noConversion"/>
  </si>
  <si>
    <t>기타</t>
    <phoneticPr fontId="21" type="noConversion"/>
  </si>
  <si>
    <t xml:space="preserve"> ▶ 카페쿠피: 연간 정수 필터 2회 교체 비용 3,200,000원, 교육장 기기장비 보수비용 3,000,000원
                신규 POS 9개점 연간 임대 비용 5,040,000원 
                (기본POS 월 30,000원 * 9개점 * 12개월 + 키오스크 월 75,000원 * 2개점 * 12개월) 
                무상지원금 신청 자사 부담금 5,120,000원(커피머신 3대의 30%+부가세), 카드수수료(1.3%) 등</t>
    <phoneticPr fontId="23" type="noConversion"/>
  </si>
  <si>
    <t>지급수수료</t>
    <phoneticPr fontId="21" type="noConversion"/>
  </si>
  <si>
    <t xml:space="preserve"> ▶ 카페쿠피: 서울캠퍼스 - 푸른솔 연간 4,363,636원, 의대 연간 2,400,000원 
               국제캠퍼스 - 중도,학관,예디대,멀티,공학관,선승관 목표 매출액의 15% 산정
                                제2기숙사 연간 2,181,818원
               본사물류창고 - 회기로 111번지 창고 임차료 11,454,545원 반영</t>
    <phoneticPr fontId="23" type="noConversion"/>
  </si>
  <si>
    <t>지급임차료</t>
    <phoneticPr fontId="21" type="noConversion"/>
  </si>
  <si>
    <t xml:space="preserve"> ▶ 2025년 카페쿠피 감가상각비</t>
    <phoneticPr fontId="3" type="noConversion"/>
  </si>
  <si>
    <t>감가상각비</t>
    <phoneticPr fontId="21" type="noConversion"/>
  </si>
  <si>
    <t xml:space="preserve"> ▶ 카페쿠피: 소모품비 (세척세제외 기타 소모품) 매출액의 0.5% 산정 </t>
    <phoneticPr fontId="23" type="noConversion"/>
  </si>
  <si>
    <t>사무용품비, 
 소모품비</t>
    <phoneticPr fontId="21" type="noConversion"/>
  </si>
  <si>
    <t xml:space="preserve"> ▶ 본사: 업무추진비 월 10만원 * 12개월= 1,200,000원 
 ▶ 매니저 5인 * 식대 8천원 * 12개월 = 576,000원 / 장애인 근로자 42명 * 8천원 = 352,000원     </t>
    <phoneticPr fontId="23" type="noConversion"/>
  </si>
  <si>
    <t>복리후생비</t>
    <phoneticPr fontId="21" type="noConversion"/>
  </si>
  <si>
    <t>인건비 외</t>
    <phoneticPr fontId="21" type="noConversion"/>
  </si>
  <si>
    <t xml:space="preserve"> ▶ 국민, 건강, 고용, 산재</t>
    <phoneticPr fontId="3" type="noConversion"/>
  </si>
  <si>
    <t>4대보험</t>
    <phoneticPr fontId="21" type="noConversion"/>
  </si>
  <si>
    <t xml:space="preserve"> ▶ 퇴직급여 충당금</t>
    <phoneticPr fontId="3" type="noConversion"/>
  </si>
  <si>
    <t>퇴직급여</t>
    <phoneticPr fontId="21" type="noConversion"/>
  </si>
  <si>
    <t xml:space="preserve"> ▶ 본사: 지하아린팀장, 공예주S/V, 물류 보조 장애인 근로자(중증) 2인
 ▶ 점포: 매니져 5인, 장애인 42인(25년 37인, 6월까지 중증 5인 채용 계획) </t>
    <phoneticPr fontId="23" type="noConversion"/>
  </si>
  <si>
    <t>인건비</t>
    <phoneticPr fontId="21" type="noConversion"/>
  </si>
  <si>
    <t>판관비 계</t>
    <phoneticPr fontId="21" type="noConversion"/>
  </si>
  <si>
    <t>매출총이익</t>
    <phoneticPr fontId="21" type="noConversion"/>
  </si>
  <si>
    <t xml:space="preserve"> ▶ 카페쿠피: 원재료 매입 비용 매출액의 27% 산정 / 부자재 항목 포함 (22년까지는 소모품 비용으로 합산)
     -. 매장 실사용분은 25% 수준으로 관리하고있으나, 여유 재고분 확보를 위한 매입 비용 2% 추가 산정</t>
    <phoneticPr fontId="23" type="noConversion"/>
  </si>
  <si>
    <t>매출원가</t>
    <phoneticPr fontId="21" type="noConversion"/>
  </si>
  <si>
    <t xml:space="preserve"> ▶ 서울캠퍼스2, 국제캠퍼스 7 (2024년 달성 매출 대비 3% 추가 상승 목표)</t>
    <phoneticPr fontId="23" type="noConversion"/>
  </si>
  <si>
    <t>매 출 액</t>
    <phoneticPr fontId="21" type="noConversion"/>
  </si>
  <si>
    <t>카페쿠피</t>
    <phoneticPr fontId="21" type="noConversion"/>
  </si>
  <si>
    <t>비  고</t>
    <phoneticPr fontId="21" type="noConversion"/>
  </si>
  <si>
    <t>식품유통사업부</t>
    <phoneticPr fontId="21" type="noConversion"/>
  </si>
  <si>
    <t>총 계</t>
    <phoneticPr fontId="21" type="noConversion"/>
  </si>
  <si>
    <t>구 분</t>
    <phoneticPr fontId="21" type="noConversion"/>
  </si>
  <si>
    <t>(단위 : 원 / 부가세별도)</t>
    <phoneticPr fontId="23" type="noConversion"/>
  </si>
  <si>
    <t>&lt;2025.01.01 ~ 2025.12.31&gt;</t>
    <phoneticPr fontId="21" type="noConversion"/>
  </si>
  <si>
    <t>2025년 식품유통사업부 사업계획</t>
    <phoneticPr fontId="21" type="noConversion"/>
  </si>
  <si>
    <t>디저트 총계</t>
    <phoneticPr fontId="21" type="noConversion"/>
  </si>
  <si>
    <t>국제캠 계</t>
  </si>
  <si>
    <t>예디대</t>
  </si>
  <si>
    <t>공학관</t>
  </si>
  <si>
    <t>서울캠 계</t>
  </si>
  <si>
    <t>계</t>
    <phoneticPr fontId="21" type="noConversion"/>
  </si>
  <si>
    <t>1월</t>
  </si>
  <si>
    <t>디저트 비용</t>
    <phoneticPr fontId="21" type="noConversion"/>
  </si>
  <si>
    <t>창고 총계</t>
    <phoneticPr fontId="21" type="noConversion"/>
  </si>
  <si>
    <t>11월 대비 12월 매출 7.7% 감소, 아메리카노 행사, 방학 시작 시기로 우유 사용량 감소 (전월 대비 -270ea)</t>
    <phoneticPr fontId="3" type="noConversion"/>
  </si>
  <si>
    <t>국제캠</t>
    <phoneticPr fontId="3" type="noConversion"/>
  </si>
  <si>
    <t>11월 대비 12월 매출 7.4% 감소, 방학 시작으로 우유 사용량 감소 (전월 대비 -15ea)</t>
    <phoneticPr fontId="3" type="noConversion"/>
  </si>
  <si>
    <t xml:space="preserve">서울캠 </t>
    <phoneticPr fontId="3" type="noConversion"/>
  </si>
  <si>
    <t>창고 비용</t>
    <phoneticPr fontId="21" type="noConversion"/>
  </si>
  <si>
    <t>우유 총계</t>
    <phoneticPr fontId="21" type="noConversion"/>
  </si>
  <si>
    <t>우유 총계</t>
    <phoneticPr fontId="21" type="noConversion"/>
  </si>
  <si>
    <t>국제캠 계</t>
    <phoneticPr fontId="21" type="noConversion"/>
  </si>
  <si>
    <t>제2기숙사</t>
    <phoneticPr fontId="21" type="noConversion"/>
  </si>
  <si>
    <t>제2기숙사</t>
    <phoneticPr fontId="21" type="noConversion"/>
  </si>
  <si>
    <t>선승관</t>
    <phoneticPr fontId="21" type="noConversion"/>
  </si>
  <si>
    <t>멀티미디어</t>
    <phoneticPr fontId="21" type="noConversion"/>
  </si>
  <si>
    <t>멀티미디어</t>
    <phoneticPr fontId="21" type="noConversion"/>
  </si>
  <si>
    <t>예디대</t>
    <phoneticPr fontId="21" type="noConversion"/>
  </si>
  <si>
    <t>공학관</t>
    <phoneticPr fontId="21" type="noConversion"/>
  </si>
  <si>
    <t>학생회관</t>
    <phoneticPr fontId="21" type="noConversion"/>
  </si>
  <si>
    <t>학생회관</t>
    <phoneticPr fontId="21" type="noConversion"/>
  </si>
  <si>
    <t>중앙도서관</t>
    <phoneticPr fontId="21" type="noConversion"/>
  </si>
  <si>
    <t>서울캠 계</t>
    <phoneticPr fontId="21" type="noConversion"/>
  </si>
  <si>
    <t>의과대학</t>
    <phoneticPr fontId="21" type="noConversion"/>
  </si>
  <si>
    <t>푸른솔</t>
    <phoneticPr fontId="21" type="noConversion"/>
  </si>
  <si>
    <t>계</t>
    <phoneticPr fontId="21" type="noConversion"/>
  </si>
  <si>
    <t>1월</t>
    <phoneticPr fontId="21" type="noConversion"/>
  </si>
  <si>
    <t>1월</t>
    <phoneticPr fontId="21" type="noConversion"/>
  </si>
  <si>
    <t>우유 사용 개수</t>
    <phoneticPr fontId="21" type="noConversion"/>
  </si>
  <si>
    <t>우유 비용</t>
    <phoneticPr fontId="21" type="noConversion"/>
  </si>
  <si>
    <t>물류 총계</t>
    <phoneticPr fontId="21" type="noConversion"/>
  </si>
  <si>
    <t>총 물류 사용 비용</t>
    <phoneticPr fontId="21" type="noConversion"/>
  </si>
  <si>
    <t>원가 월 평균</t>
    <phoneticPr fontId="21" type="noConversion"/>
  </si>
  <si>
    <t>매출 총계</t>
    <phoneticPr fontId="21" type="noConversion"/>
  </si>
  <si>
    <t>예디대</t>
    <phoneticPr fontId="21" type="noConversion"/>
  </si>
  <si>
    <t>공학관</t>
    <phoneticPr fontId="21" type="noConversion"/>
  </si>
  <si>
    <t>공학관</t>
    <phoneticPr fontId="21" type="noConversion"/>
  </si>
  <si>
    <t>학생회관</t>
    <phoneticPr fontId="21" type="noConversion"/>
  </si>
  <si>
    <t>중앙도서관</t>
    <phoneticPr fontId="21" type="noConversion"/>
  </si>
  <si>
    <t>서울캠 계</t>
    <phoneticPr fontId="21" type="noConversion"/>
  </si>
  <si>
    <t>의과대학</t>
    <phoneticPr fontId="21" type="noConversion"/>
  </si>
  <si>
    <t>푸른솔</t>
    <phoneticPr fontId="21" type="noConversion"/>
  </si>
  <si>
    <t>매장 누적 평균</t>
    <phoneticPr fontId="21" type="noConversion"/>
  </si>
  <si>
    <t>1월</t>
    <phoneticPr fontId="21" type="noConversion"/>
  </si>
  <si>
    <t>계</t>
    <phoneticPr fontId="21" type="noConversion"/>
  </si>
  <si>
    <t>2024년</t>
    <phoneticPr fontId="21" type="noConversion"/>
  </si>
  <si>
    <t>원가율</t>
    <phoneticPr fontId="21" type="noConversion"/>
  </si>
  <si>
    <t>매출액</t>
    <phoneticPr fontId="21" type="noConversion"/>
  </si>
  <si>
    <t>2024년 카페쿠피 월별 매장별 물류 사용량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</si>
</sst>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_-;\-* #,##0_-;_-* &quot;-&quot;??_-;_-@_-"/>
    <numFmt numFmtId="178" formatCode="_-* #,##0_-;\-* #,##0_-;_-* &quot;-&quot;?_-;_-@_-"/>
    <numFmt numFmtId="179" formatCode="#,##0_ "/>
    <numFmt numFmtId="181" formatCode="#,##0_);[Red]\(#,##0\)"/>
    <numFmt numFmtId="182" formatCode="#,##0.0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theme="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0" tint="-0.49998474074526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medium">
        <color indexed="64"/>
      </top>
      <bottom style="medium">
        <color theme="3" tint="-0.24994659260841701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theme="3" tint="-0.2499465926084170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3" tint="-0.24994659260841701"/>
      </bottom>
      <diagonal/>
    </border>
    <border>
      <left/>
      <right style="medium">
        <color theme="1"/>
      </right>
      <top style="medium">
        <color indexed="64"/>
      </top>
      <bottom style="medium">
        <color theme="3" tint="-0.24994659260841701"/>
      </bottom>
      <diagonal/>
    </border>
    <border>
      <left/>
      <right/>
      <top style="medium">
        <color indexed="64"/>
      </top>
      <bottom style="medium">
        <color theme="3" tint="-0.24994659260841701"/>
      </bottom>
      <diagonal/>
    </border>
    <border>
      <left style="thin">
        <color indexed="64"/>
      </left>
      <right/>
      <top style="thin">
        <color theme="3" tint="-0.2499465926084170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3" tint="-0.24994659260841701"/>
      </left>
      <right style="medium">
        <color theme="1"/>
      </right>
      <top style="thin">
        <color indexed="64"/>
      </top>
      <bottom/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indexed="64"/>
      </top>
      <bottom/>
      <diagonal/>
    </border>
    <border>
      <left style="medium">
        <color rgb="FFFF0000"/>
      </left>
      <right style="thin">
        <color theme="3" tint="-0.24994659260841701"/>
      </right>
      <top style="thin">
        <color indexed="64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/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/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 style="medium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medium">
        <color theme="3" tint="-0.24994659260841701"/>
      </bottom>
      <diagonal/>
    </border>
    <border>
      <left style="thin">
        <color theme="3" tint="-0.24994659260841701"/>
      </left>
      <right/>
      <top style="medium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medium">
        <color theme="3" tint="-0.24994659260841701"/>
      </top>
      <bottom style="thin">
        <color theme="3" tint="-0.2499465926084170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385">
    <xf numFmtId="0" fontId="0" fillId="0" borderId="0" xfId="0">
      <alignment vertical="center"/>
    </xf>
    <xf numFmtId="176" fontId="0" fillId="0" borderId="0" xfId="3" applyNumberFormat="1" applyFont="1">
      <alignment vertical="center"/>
    </xf>
    <xf numFmtId="41" fontId="0" fillId="0" borderId="0" xfId="0" applyNumberFormat="1">
      <alignment vertical="center"/>
    </xf>
    <xf numFmtId="176" fontId="0" fillId="0" borderId="1" xfId="3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9" fontId="0" fillId="2" borderId="3" xfId="3" applyFont="1" applyFill="1" applyBorder="1">
      <alignment vertical="center"/>
    </xf>
    <xf numFmtId="0" fontId="0" fillId="2" borderId="4" xfId="0" applyFill="1" applyBorder="1">
      <alignment vertical="center"/>
    </xf>
    <xf numFmtId="41" fontId="0" fillId="0" borderId="5" xfId="0" applyNumberFormat="1" applyBorder="1">
      <alignment vertical="center"/>
    </xf>
    <xf numFmtId="0" fontId="0" fillId="0" borderId="6" xfId="0" applyBorder="1">
      <alignment vertical="center"/>
    </xf>
    <xf numFmtId="41" fontId="0" fillId="0" borderId="7" xfId="0" applyNumberFormat="1" applyBorder="1">
      <alignment vertical="center"/>
    </xf>
    <xf numFmtId="176" fontId="0" fillId="0" borderId="8" xfId="3" applyNumberFormat="1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10" xfId="3" applyNumberFormat="1" applyFont="1" applyBorder="1">
      <alignment vertical="center"/>
    </xf>
    <xf numFmtId="176" fontId="0" fillId="0" borderId="11" xfId="3" applyNumberFormat="1" applyFont="1" applyBorder="1">
      <alignment vertical="center"/>
    </xf>
    <xf numFmtId="41" fontId="0" fillId="0" borderId="12" xfId="0" applyNumberFormat="1" applyBorder="1">
      <alignment vertical="center"/>
    </xf>
    <xf numFmtId="41" fontId="0" fillId="0" borderId="13" xfId="0" applyNumberFormat="1" applyBorder="1">
      <alignment vertical="center"/>
    </xf>
    <xf numFmtId="4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0" borderId="17" xfId="3" applyNumberFormat="1" applyFont="1" applyBorder="1" applyAlignment="1">
      <alignment horizontal="center" vertical="center"/>
    </xf>
    <xf numFmtId="176" fontId="0" fillId="0" borderId="18" xfId="3" applyNumberFormat="1" applyFont="1" applyBorder="1" applyAlignment="1">
      <alignment horizontal="center" vertical="center"/>
    </xf>
    <xf numFmtId="176" fontId="4" fillId="3" borderId="19" xfId="3" applyNumberFormat="1" applyFont="1" applyFill="1" applyBorder="1">
      <alignment vertical="center"/>
    </xf>
    <xf numFmtId="176" fontId="4" fillId="3" borderId="20" xfId="3" applyNumberFormat="1" applyFont="1" applyFill="1" applyBorder="1">
      <alignment vertical="center"/>
    </xf>
    <xf numFmtId="176" fontId="4" fillId="3" borderId="21" xfId="3" applyNumberFormat="1" applyFont="1" applyFill="1" applyBorder="1">
      <alignment vertical="center"/>
    </xf>
    <xf numFmtId="0" fontId="0" fillId="3" borderId="3" xfId="0" applyFill="1" applyBorder="1">
      <alignment vertical="center"/>
    </xf>
    <xf numFmtId="0" fontId="0" fillId="0" borderId="4" xfId="0" applyBorder="1" applyAlignment="1">
      <alignment horizontal="center" vertical="center"/>
    </xf>
    <xf numFmtId="176" fontId="0" fillId="0" borderId="22" xfId="3" applyNumberFormat="1" applyFont="1" applyBorder="1" applyAlignment="1">
      <alignment horizontal="center" vertical="center"/>
    </xf>
    <xf numFmtId="176" fontId="0" fillId="0" borderId="23" xfId="3" applyNumberFormat="1" applyFont="1" applyBorder="1" applyAlignment="1">
      <alignment horizontal="center" vertical="center"/>
    </xf>
    <xf numFmtId="41" fontId="4" fillId="0" borderId="3" xfId="0" applyNumberFormat="1" applyFont="1" applyBorder="1">
      <alignment vertical="center"/>
    </xf>
    <xf numFmtId="41" fontId="4" fillId="0" borderId="24" xfId="1" applyFont="1" applyBorder="1">
      <alignment vertical="center"/>
    </xf>
    <xf numFmtId="41" fontId="4" fillId="0" borderId="1" xfId="1" applyFont="1" applyBorder="1">
      <alignment vertical="center"/>
    </xf>
    <xf numFmtId="41" fontId="4" fillId="0" borderId="25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26" xfId="3" applyNumberFormat="1" applyFont="1" applyBorder="1" applyAlignment="1">
      <alignment horizontal="center" vertical="center"/>
    </xf>
    <xf numFmtId="176" fontId="0" fillId="0" borderId="27" xfId="3" applyNumberFormat="1" applyFont="1" applyBorder="1" applyAlignment="1">
      <alignment horizontal="center" vertical="center"/>
    </xf>
    <xf numFmtId="41" fontId="4" fillId="0" borderId="7" xfId="0" applyNumberFormat="1" applyFont="1" applyBorder="1">
      <alignment vertical="center"/>
    </xf>
    <xf numFmtId="41" fontId="4" fillId="0" borderId="28" xfId="0" applyNumberFormat="1" applyFont="1" applyBorder="1">
      <alignment vertical="center"/>
    </xf>
    <xf numFmtId="41" fontId="4" fillId="0" borderId="29" xfId="0" applyNumberFormat="1" applyFont="1" applyBorder="1">
      <alignment vertical="center"/>
    </xf>
    <xf numFmtId="41" fontId="4" fillId="0" borderId="30" xfId="0" applyNumberFormat="1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4" fillId="3" borderId="31" xfId="3" applyNumberFormat="1" applyFont="1" applyFill="1" applyBorder="1">
      <alignment vertical="center"/>
    </xf>
    <xf numFmtId="176" fontId="4" fillId="3" borderId="32" xfId="3" applyNumberFormat="1" applyFont="1" applyFill="1" applyBorder="1">
      <alignment vertical="center"/>
    </xf>
    <xf numFmtId="176" fontId="4" fillId="3" borderId="33" xfId="3" applyNumberFormat="1" applyFont="1" applyFill="1" applyBorder="1">
      <alignment vertical="center"/>
    </xf>
    <xf numFmtId="176" fontId="5" fillId="3" borderId="33" xfId="3" applyNumberFormat="1" applyFont="1" applyFill="1" applyBorder="1">
      <alignment vertical="center"/>
    </xf>
    <xf numFmtId="176" fontId="6" fillId="3" borderId="33" xfId="3" applyNumberFormat="1" applyFont="1" applyFill="1" applyBorder="1">
      <alignment vertical="center"/>
    </xf>
    <xf numFmtId="176" fontId="4" fillId="3" borderId="18" xfId="3" applyNumberFormat="1" applyFont="1" applyFill="1" applyBorder="1">
      <alignment vertical="center"/>
    </xf>
    <xf numFmtId="0" fontId="0" fillId="3" borderId="31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35" xfId="0" applyNumberFormat="1" applyFont="1" applyBorder="1">
      <alignment vertical="center"/>
    </xf>
    <xf numFmtId="41" fontId="4" fillId="0" borderId="36" xfId="0" applyNumberFormat="1" applyFont="1" applyBorder="1">
      <alignment vertical="center"/>
    </xf>
    <xf numFmtId="41" fontId="4" fillId="0" borderId="2" xfId="0" applyNumberFormat="1" applyFont="1" applyBorder="1">
      <alignment vertical="center"/>
    </xf>
    <xf numFmtId="41" fontId="4" fillId="0" borderId="23" xfId="0" applyNumberFormat="1" applyFont="1" applyBorder="1">
      <alignment vertical="center"/>
    </xf>
    <xf numFmtId="0" fontId="0" fillId="0" borderId="35" xfId="0" applyBorder="1" applyAlignment="1">
      <alignment horizontal="center" vertical="center"/>
    </xf>
    <xf numFmtId="176" fontId="4" fillId="3" borderId="3" xfId="3" applyNumberFormat="1" applyFont="1" applyFill="1" applyBorder="1">
      <alignment vertical="center"/>
    </xf>
    <xf numFmtId="176" fontId="4" fillId="3" borderId="37" xfId="3" applyNumberFormat="1" applyFont="1" applyFill="1" applyBorder="1">
      <alignment vertical="center"/>
    </xf>
    <xf numFmtId="176" fontId="5" fillId="3" borderId="20" xfId="3" applyNumberFormat="1" applyFont="1" applyFill="1" applyBorder="1">
      <alignment vertical="center"/>
    </xf>
    <xf numFmtId="176" fontId="6" fillId="3" borderId="20" xfId="3" applyNumberFormat="1" applyFon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176" fontId="7" fillId="3" borderId="37" xfId="3" applyNumberFormat="1" applyFont="1" applyFill="1" applyBorder="1">
      <alignment vertical="center"/>
    </xf>
    <xf numFmtId="176" fontId="5" fillId="3" borderId="37" xfId="3" applyNumberFormat="1" applyFont="1" applyFill="1" applyBorder="1">
      <alignment vertical="center"/>
    </xf>
    <xf numFmtId="176" fontId="5" fillId="3" borderId="21" xfId="3" applyNumberFormat="1" applyFont="1" applyFill="1" applyBorder="1">
      <alignment vertical="center"/>
    </xf>
    <xf numFmtId="41" fontId="4" fillId="0" borderId="28" xfId="1" applyFont="1" applyBorder="1">
      <alignment vertical="center"/>
    </xf>
    <xf numFmtId="41" fontId="4" fillId="0" borderId="29" xfId="1" applyFont="1" applyBorder="1">
      <alignment vertical="center"/>
    </xf>
    <xf numFmtId="41" fontId="4" fillId="0" borderId="30" xfId="1" applyFont="1" applyBorder="1">
      <alignment vertical="center"/>
    </xf>
    <xf numFmtId="176" fontId="5" fillId="3" borderId="3" xfId="3" applyNumberFormat="1" applyFont="1" applyFill="1" applyBorder="1">
      <alignment vertical="center"/>
    </xf>
    <xf numFmtId="176" fontId="0" fillId="0" borderId="38" xfId="3" applyNumberFormat="1" applyFont="1" applyBorder="1" applyAlignment="1">
      <alignment horizontal="center" vertical="center"/>
    </xf>
    <xf numFmtId="41" fontId="4" fillId="0" borderId="24" xfId="0" applyNumberFormat="1" applyFont="1" applyBorder="1">
      <alignment vertical="center"/>
    </xf>
    <xf numFmtId="41" fontId="4" fillId="0" borderId="1" xfId="0" applyNumberFormat="1" applyFont="1" applyBorder="1">
      <alignment vertical="center"/>
    </xf>
    <xf numFmtId="41" fontId="4" fillId="0" borderId="25" xfId="0" applyNumberFormat="1" applyFon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42" fontId="0" fillId="0" borderId="0" xfId="2" applyFont="1">
      <alignment vertical="center"/>
    </xf>
    <xf numFmtId="41" fontId="0" fillId="0" borderId="0" xfId="2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1" fontId="0" fillId="5" borderId="1" xfId="2" applyNumberFormat="1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76" fontId="0" fillId="0" borderId="1" xfId="3" applyNumberFormat="1" applyFont="1" applyBorder="1" applyAlignment="1">
      <alignment horizontal="center" vertical="center"/>
    </xf>
    <xf numFmtId="176" fontId="10" fillId="0" borderId="1" xfId="3" applyNumberFormat="1" applyFont="1" applyBorder="1" applyAlignment="1">
      <alignment horizontal="center" vertical="center"/>
    </xf>
    <xf numFmtId="176" fontId="0" fillId="0" borderId="24" xfId="3" applyNumberFormat="1" applyFont="1" applyBorder="1" applyAlignment="1">
      <alignment horizontal="center" vertical="center"/>
    </xf>
    <xf numFmtId="41" fontId="0" fillId="4" borderId="1" xfId="2" applyNumberFormat="1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41" fontId="0" fillId="0" borderId="1" xfId="2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NumberFormat="1" applyFont="1">
      <alignment vertical="center"/>
    </xf>
    <xf numFmtId="41" fontId="0" fillId="0" borderId="0" xfId="1" applyFont="1">
      <alignment vertical="center"/>
    </xf>
    <xf numFmtId="41" fontId="11" fillId="0" borderId="0" xfId="1" applyFont="1">
      <alignment vertical="center"/>
    </xf>
    <xf numFmtId="0" fontId="11" fillId="0" borderId="0" xfId="0" applyFont="1">
      <alignment vertical="center"/>
    </xf>
    <xf numFmtId="41" fontId="11" fillId="0" borderId="0" xfId="0" applyNumberFormat="1" applyFont="1">
      <alignment vertical="center"/>
    </xf>
    <xf numFmtId="177" fontId="11" fillId="0" borderId="0" xfId="1" applyNumberFormat="1" applyFont="1">
      <alignment vertical="center"/>
    </xf>
    <xf numFmtId="41" fontId="12" fillId="0" borderId="44" xfId="1" applyFont="1" applyBorder="1">
      <alignment vertical="center"/>
    </xf>
    <xf numFmtId="0" fontId="11" fillId="0" borderId="16" xfId="0" applyFont="1" applyBorder="1">
      <alignment vertical="center"/>
    </xf>
    <xf numFmtId="176" fontId="11" fillId="0" borderId="0" xfId="3" applyNumberFormat="1" applyFont="1">
      <alignment vertical="center"/>
    </xf>
    <xf numFmtId="41" fontId="12" fillId="0" borderId="45" xfId="1" applyFont="1" applyBorder="1">
      <alignment vertical="center"/>
    </xf>
    <xf numFmtId="0" fontId="11" fillId="0" borderId="46" xfId="0" applyFont="1" applyBorder="1">
      <alignment vertical="center"/>
    </xf>
    <xf numFmtId="177" fontId="0" fillId="0" borderId="0" xfId="0" applyNumberFormat="1">
      <alignment vertical="center"/>
    </xf>
    <xf numFmtId="41" fontId="11" fillId="0" borderId="47" xfId="1" applyFont="1" applyBorder="1">
      <alignment vertical="center"/>
    </xf>
    <xf numFmtId="0" fontId="11" fillId="0" borderId="48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1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177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178" fontId="0" fillId="0" borderId="0" xfId="0" applyNumberFormat="1">
      <alignment vertical="center"/>
    </xf>
    <xf numFmtId="41" fontId="13" fillId="0" borderId="1" xfId="1" applyFont="1" applyBorder="1">
      <alignment vertical="center"/>
    </xf>
    <xf numFmtId="0" fontId="0" fillId="0" borderId="0" xfId="0" applyAlignment="1">
      <alignment horizontal="center" vertical="center"/>
    </xf>
    <xf numFmtId="41" fontId="11" fillId="0" borderId="1" xfId="1" applyFont="1" applyBorder="1">
      <alignment vertical="center"/>
    </xf>
    <xf numFmtId="41" fontId="12" fillId="0" borderId="1" xfId="1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41" fontId="13" fillId="6" borderId="12" xfId="1" applyFont="1" applyFill="1" applyBorder="1">
      <alignment vertical="center"/>
    </xf>
    <xf numFmtId="0" fontId="12" fillId="0" borderId="0" xfId="0" applyFont="1">
      <alignment vertical="center"/>
    </xf>
    <xf numFmtId="0" fontId="0" fillId="0" borderId="49" xfId="0" applyBorder="1">
      <alignment vertical="center"/>
    </xf>
    <xf numFmtId="41" fontId="13" fillId="5" borderId="50" xfId="1" applyFont="1" applyFill="1" applyBorder="1">
      <alignment vertical="center"/>
    </xf>
    <xf numFmtId="0" fontId="12" fillId="7" borderId="51" xfId="0" applyFont="1" applyFill="1" applyBorder="1">
      <alignment vertical="center"/>
    </xf>
    <xf numFmtId="0" fontId="12" fillId="7" borderId="52" xfId="0" applyFont="1" applyFill="1" applyBorder="1">
      <alignment vertical="center"/>
    </xf>
    <xf numFmtId="41" fontId="11" fillId="0" borderId="49" xfId="1" applyFont="1" applyBorder="1" applyAlignment="1">
      <alignment horizontal="center" vertical="center"/>
    </xf>
    <xf numFmtId="41" fontId="11" fillId="0" borderId="51" xfId="1" applyFont="1" applyBorder="1" applyAlignment="1">
      <alignment horizontal="center" vertical="center"/>
    </xf>
    <xf numFmtId="0" fontId="12" fillId="0" borderId="49" xfId="0" applyFont="1" applyBorder="1">
      <alignment vertical="center"/>
    </xf>
    <xf numFmtId="41" fontId="12" fillId="7" borderId="51" xfId="1" applyFont="1" applyFill="1" applyBorder="1">
      <alignment vertical="center"/>
    </xf>
    <xf numFmtId="41" fontId="12" fillId="7" borderId="52" xfId="1" applyFont="1" applyFill="1" applyBorder="1">
      <alignment vertical="center"/>
    </xf>
    <xf numFmtId="41" fontId="12" fillId="0" borderId="51" xfId="1" applyFont="1" applyBorder="1">
      <alignment vertical="center"/>
    </xf>
    <xf numFmtId="41" fontId="12" fillId="0" borderId="52" xfId="1" applyFont="1" applyBorder="1">
      <alignment vertical="center"/>
    </xf>
    <xf numFmtId="0" fontId="11" fillId="0" borderId="53" xfId="0" applyFont="1" applyBorder="1">
      <alignment vertical="center"/>
    </xf>
    <xf numFmtId="41" fontId="13" fillId="5" borderId="54" xfId="1" applyFont="1" applyFill="1" applyBorder="1">
      <alignment vertical="center"/>
    </xf>
    <xf numFmtId="41" fontId="12" fillId="0" borderId="55" xfId="1" applyFont="1" applyBorder="1">
      <alignment vertical="center"/>
    </xf>
    <xf numFmtId="41" fontId="12" fillId="0" borderId="56" xfId="1" applyFont="1" applyBorder="1">
      <alignment vertical="center"/>
    </xf>
    <xf numFmtId="41" fontId="11" fillId="0" borderId="57" xfId="1" applyFont="1" applyBorder="1" applyAlignment="1">
      <alignment horizontal="center" vertical="center"/>
    </xf>
    <xf numFmtId="41" fontId="11" fillId="0" borderId="58" xfId="1" applyFont="1" applyBorder="1" applyAlignment="1">
      <alignment horizontal="center" vertical="center"/>
    </xf>
    <xf numFmtId="0" fontId="0" fillId="0" borderId="25" xfId="0" applyBorder="1">
      <alignment vertical="center"/>
    </xf>
    <xf numFmtId="0" fontId="11" fillId="0" borderId="7" xfId="0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77" fontId="11" fillId="0" borderId="0" xfId="0" applyNumberFormat="1" applyFont="1">
      <alignment vertical="center"/>
    </xf>
    <xf numFmtId="177" fontId="12" fillId="0" borderId="0" xfId="0" applyNumberFormat="1" applyFont="1">
      <alignment vertical="center"/>
    </xf>
    <xf numFmtId="176" fontId="12" fillId="0" borderId="0" xfId="3" applyNumberFormat="1" applyFont="1" applyAlignment="1">
      <alignment vertical="center"/>
    </xf>
    <xf numFmtId="0" fontId="12" fillId="0" borderId="0" xfId="0" applyFont="1" applyAlignment="1">
      <alignment vertical="center"/>
    </xf>
    <xf numFmtId="41" fontId="12" fillId="0" borderId="0" xfId="1" applyFont="1" applyAlignment="1">
      <alignment vertical="center"/>
    </xf>
    <xf numFmtId="0" fontId="11" fillId="0" borderId="0" xfId="0" applyFont="1" applyFill="1">
      <alignment vertical="center"/>
    </xf>
    <xf numFmtId="0" fontId="11" fillId="8" borderId="59" xfId="0" applyFont="1" applyFill="1" applyBorder="1">
      <alignment vertical="center"/>
    </xf>
    <xf numFmtId="0" fontId="11" fillId="8" borderId="52" xfId="0" applyFont="1" applyFill="1" applyBorder="1">
      <alignment vertical="center"/>
    </xf>
    <xf numFmtId="43" fontId="11" fillId="0" borderId="0" xfId="0" applyNumberFormat="1" applyFont="1" applyFill="1">
      <alignment vertical="center"/>
    </xf>
    <xf numFmtId="177" fontId="14" fillId="0" borderId="0" xfId="0" applyNumberFormat="1" applyFont="1" applyFill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43" fontId="11" fillId="0" borderId="1" xfId="0" applyNumberFormat="1" applyFont="1" applyFill="1" applyBorder="1" applyAlignment="1">
      <alignment horizontal="left" vertical="center"/>
    </xf>
    <xf numFmtId="177" fontId="14" fillId="0" borderId="1" xfId="0" applyNumberFormat="1" applyFont="1" applyFill="1" applyBorder="1">
      <alignment vertical="center"/>
    </xf>
    <xf numFmtId="177" fontId="14" fillId="0" borderId="25" xfId="0" applyNumberFormat="1" applyFont="1" applyFill="1" applyBorder="1" applyAlignment="1">
      <alignment horizontal="left" vertical="center"/>
    </xf>
    <xf numFmtId="177" fontId="14" fillId="0" borderId="24" xfId="0" applyNumberFormat="1" applyFont="1" applyFill="1" applyBorder="1" applyAlignment="1">
      <alignment horizontal="left" vertical="center"/>
    </xf>
    <xf numFmtId="177" fontId="14" fillId="5" borderId="1" xfId="0" applyNumberFormat="1" applyFont="1" applyFill="1" applyBorder="1">
      <alignment vertical="center"/>
    </xf>
    <xf numFmtId="177" fontId="14" fillId="5" borderId="25" xfId="0" applyNumberFormat="1" applyFont="1" applyFill="1" applyBorder="1" applyAlignment="1">
      <alignment horizontal="left" vertical="center"/>
    </xf>
    <xf numFmtId="177" fontId="14" fillId="5" borderId="24" xfId="0" applyNumberFormat="1" applyFont="1" applyFill="1" applyBorder="1" applyAlignment="1">
      <alignment horizontal="left" vertical="center"/>
    </xf>
    <xf numFmtId="0" fontId="11" fillId="8" borderId="56" xfId="0" applyFont="1" applyFill="1" applyBorder="1">
      <alignment vertical="center"/>
    </xf>
    <xf numFmtId="43" fontId="11" fillId="0" borderId="1" xfId="0" applyNumberFormat="1" applyFont="1" applyFill="1" applyBorder="1" applyAlignment="1">
      <alignment horizontal="left" vertical="center" wrapText="1"/>
    </xf>
    <xf numFmtId="177" fontId="11" fillId="0" borderId="1" xfId="0" applyNumberFormat="1" applyFont="1" applyFill="1" applyBorder="1" applyAlignment="1">
      <alignment horizontal="left" vertical="center"/>
    </xf>
    <xf numFmtId="177" fontId="13" fillId="0" borderId="0" xfId="0" applyNumberFormat="1" applyFont="1" applyFill="1" applyBorder="1">
      <alignment vertical="center"/>
    </xf>
    <xf numFmtId="9" fontId="13" fillId="0" borderId="0" xfId="3" applyFont="1" applyFill="1" applyBorder="1">
      <alignment vertical="center"/>
    </xf>
    <xf numFmtId="177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7" fontId="13" fillId="5" borderId="39" xfId="0" applyNumberFormat="1" applyFont="1" applyFill="1" applyBorder="1">
      <alignment vertical="center"/>
    </xf>
    <xf numFmtId="177" fontId="13" fillId="5" borderId="60" xfId="0" applyNumberFormat="1" applyFont="1" applyFill="1" applyBorder="1">
      <alignment vertical="center"/>
    </xf>
    <xf numFmtId="0" fontId="11" fillId="5" borderId="61" xfId="0" applyFont="1" applyFill="1" applyBorder="1">
      <alignment vertical="center"/>
    </xf>
    <xf numFmtId="0" fontId="12" fillId="0" borderId="62" xfId="0" applyFont="1" applyBorder="1" applyAlignment="1">
      <alignment horizontal="center" vertical="center"/>
    </xf>
    <xf numFmtId="41" fontId="12" fillId="0" borderId="0" xfId="1" applyFont="1" applyAlignment="1">
      <alignment horizontal="center" vertical="center"/>
    </xf>
    <xf numFmtId="176" fontId="12" fillId="0" borderId="0" xfId="3" applyNumberFormat="1" applyFont="1" applyAlignment="1">
      <alignment horizontal="center" vertical="center"/>
    </xf>
    <xf numFmtId="177" fontId="13" fillId="0" borderId="63" xfId="0" applyNumberFormat="1" applyFont="1" applyBorder="1">
      <alignment vertical="center"/>
    </xf>
    <xf numFmtId="177" fontId="11" fillId="0" borderId="55" xfId="0" applyNumberFormat="1" applyFont="1" applyBorder="1">
      <alignment vertical="center"/>
    </xf>
    <xf numFmtId="177" fontId="11" fillId="0" borderId="56" xfId="0" applyNumberFormat="1" applyFont="1" applyBorder="1">
      <alignment vertical="center"/>
    </xf>
    <xf numFmtId="0" fontId="12" fillId="0" borderId="6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41" fontId="15" fillId="0" borderId="0" xfId="1" applyFont="1">
      <alignment vertical="center"/>
    </xf>
    <xf numFmtId="176" fontId="0" fillId="0" borderId="0" xfId="0" applyNumberFormat="1">
      <alignment vertical="center"/>
    </xf>
    <xf numFmtId="176" fontId="12" fillId="0" borderId="52" xfId="0" applyNumberFormat="1" applyFont="1" applyBorder="1">
      <alignment vertical="center"/>
    </xf>
    <xf numFmtId="0" fontId="12" fillId="0" borderId="52" xfId="0" applyFont="1" applyBorder="1" applyAlignment="1">
      <alignment vertical="center"/>
    </xf>
    <xf numFmtId="0" fontId="12" fillId="0" borderId="52" xfId="0" applyFont="1" applyBorder="1" applyAlignment="1">
      <alignment horizontal="center" vertical="center"/>
    </xf>
    <xf numFmtId="176" fontId="12" fillId="0" borderId="52" xfId="3" applyNumberFormat="1" applyFont="1" applyBorder="1">
      <alignment vertical="center"/>
    </xf>
    <xf numFmtId="0" fontId="12" fillId="8" borderId="70" xfId="0" applyFont="1" applyFill="1" applyBorder="1">
      <alignment vertical="center"/>
    </xf>
    <xf numFmtId="0" fontId="12" fillId="8" borderId="49" xfId="0" applyFont="1" applyFill="1" applyBorder="1">
      <alignment vertical="center"/>
    </xf>
    <xf numFmtId="179" fontId="0" fillId="0" borderId="0" xfId="0" applyNumberFormat="1">
      <alignment vertical="center"/>
    </xf>
    <xf numFmtId="0" fontId="11" fillId="0" borderId="5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13" fillId="9" borderId="71" xfId="1" applyFont="1" applyFill="1" applyBorder="1">
      <alignment vertical="center"/>
    </xf>
    <xf numFmtId="176" fontId="13" fillId="9" borderId="72" xfId="3" applyNumberFormat="1" applyFont="1" applyFill="1" applyBorder="1">
      <alignment vertical="center"/>
    </xf>
    <xf numFmtId="176" fontId="13" fillId="9" borderId="73" xfId="3" applyNumberFormat="1" applyFont="1" applyFill="1" applyBorder="1">
      <alignment vertical="center"/>
    </xf>
    <xf numFmtId="0" fontId="13" fillId="9" borderId="72" xfId="0" applyFont="1" applyFill="1" applyBorder="1">
      <alignment vertical="center"/>
    </xf>
    <xf numFmtId="0" fontId="11" fillId="0" borderId="51" xfId="0" applyFont="1" applyBorder="1" applyAlignment="1">
      <alignment horizontal="center" vertical="center"/>
    </xf>
    <xf numFmtId="176" fontId="13" fillId="9" borderId="74" xfId="3" applyNumberFormat="1" applyFont="1" applyFill="1" applyBorder="1">
      <alignment vertical="center"/>
    </xf>
    <xf numFmtId="41" fontId="13" fillId="9" borderId="75" xfId="1" applyFont="1" applyFill="1" applyBorder="1">
      <alignment vertical="center"/>
    </xf>
    <xf numFmtId="41" fontId="13" fillId="9" borderId="76" xfId="1" applyFont="1" applyFill="1" applyBorder="1">
      <alignment vertical="center"/>
    </xf>
    <xf numFmtId="0" fontId="13" fillId="9" borderId="75" xfId="0" applyFont="1" applyFill="1" applyBorder="1">
      <alignment vertical="center"/>
    </xf>
    <xf numFmtId="176" fontId="13" fillId="9" borderId="77" xfId="3" applyNumberFormat="1" applyFont="1" applyFill="1" applyBorder="1">
      <alignment vertical="center"/>
    </xf>
    <xf numFmtId="41" fontId="11" fillId="0" borderId="78" xfId="1" applyFont="1" applyBorder="1">
      <alignment vertical="center"/>
    </xf>
    <xf numFmtId="41" fontId="11" fillId="0" borderId="79" xfId="1" applyFont="1" applyBorder="1">
      <alignment vertical="center"/>
    </xf>
    <xf numFmtId="41" fontId="11" fillId="0" borderId="59" xfId="1" applyFont="1" applyBorder="1">
      <alignment vertical="center"/>
    </xf>
    <xf numFmtId="0" fontId="11" fillId="8" borderId="70" xfId="0" applyFont="1" applyFill="1" applyBorder="1">
      <alignment vertical="center"/>
    </xf>
    <xf numFmtId="0" fontId="11" fillId="0" borderId="52" xfId="0" applyFont="1" applyBorder="1" applyAlignment="1">
      <alignment horizontal="center" vertical="center"/>
    </xf>
    <xf numFmtId="41" fontId="11" fillId="0" borderId="51" xfId="1" applyFont="1" applyBorder="1">
      <alignment vertical="center"/>
    </xf>
    <xf numFmtId="41" fontId="11" fillId="0" borderId="52" xfId="1" applyFont="1" applyBorder="1">
      <alignment vertical="center"/>
    </xf>
    <xf numFmtId="0" fontId="11" fillId="8" borderId="49" xfId="0" applyFont="1" applyFill="1" applyBorder="1">
      <alignment vertical="center"/>
    </xf>
    <xf numFmtId="0" fontId="13" fillId="0" borderId="74" xfId="0" applyFont="1" applyFill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6" fillId="0" borderId="0" xfId="0" applyFont="1">
      <alignment vertical="center"/>
    </xf>
    <xf numFmtId="177" fontId="15" fillId="0" borderId="0" xfId="0" applyNumberFormat="1" applyFont="1">
      <alignment vertical="center"/>
    </xf>
    <xf numFmtId="0" fontId="4" fillId="0" borderId="0" xfId="4">
      <alignment vertical="center"/>
    </xf>
    <xf numFmtId="0" fontId="17" fillId="0" borderId="0" xfId="4" applyFont="1">
      <alignment vertical="center"/>
    </xf>
    <xf numFmtId="0" fontId="18" fillId="0" borderId="0" xfId="4" applyFont="1">
      <alignment vertical="center"/>
    </xf>
    <xf numFmtId="0" fontId="18" fillId="0" borderId="80" xfId="4" applyFont="1" applyBorder="1">
      <alignment vertical="center"/>
    </xf>
    <xf numFmtId="41" fontId="18" fillId="0" borderId="81" xfId="4" applyNumberFormat="1" applyFont="1" applyBorder="1">
      <alignment vertical="center"/>
    </xf>
    <xf numFmtId="41" fontId="18" fillId="0" borderId="82" xfId="4" applyNumberFormat="1" applyFont="1" applyBorder="1">
      <alignment vertical="center"/>
    </xf>
    <xf numFmtId="0" fontId="19" fillId="0" borderId="83" xfId="4" applyFont="1" applyBorder="1" applyAlignment="1">
      <alignment horizontal="center" vertical="center"/>
    </xf>
    <xf numFmtId="0" fontId="19" fillId="0" borderId="84" xfId="4" applyFont="1" applyBorder="1" applyAlignment="1">
      <alignment horizontal="center" vertical="center" wrapText="1"/>
    </xf>
    <xf numFmtId="0" fontId="16" fillId="0" borderId="0" xfId="4" applyFont="1">
      <alignment vertical="center"/>
    </xf>
    <xf numFmtId="0" fontId="16" fillId="0" borderId="0" xfId="4" applyFont="1" applyBorder="1">
      <alignment vertical="center"/>
    </xf>
    <xf numFmtId="181" fontId="16" fillId="0" borderId="0" xfId="4" applyNumberFormat="1" applyFont="1" applyBorder="1" applyAlignment="1">
      <alignment vertical="center"/>
    </xf>
    <xf numFmtId="182" fontId="20" fillId="0" borderId="0" xfId="4" applyNumberFormat="1" applyFont="1" applyFill="1" applyBorder="1" applyAlignment="1">
      <alignment horizontal="right" vertical="center"/>
    </xf>
    <xf numFmtId="182" fontId="19" fillId="10" borderId="85" xfId="4" applyNumberFormat="1" applyFont="1" applyFill="1" applyBorder="1" applyAlignment="1">
      <alignment vertical="center"/>
    </xf>
    <xf numFmtId="41" fontId="19" fillId="10" borderId="86" xfId="5" applyFont="1" applyFill="1" applyBorder="1" applyAlignment="1">
      <alignment vertical="center"/>
    </xf>
    <xf numFmtId="41" fontId="19" fillId="10" borderId="87" xfId="5" applyFont="1" applyFill="1" applyBorder="1" applyAlignment="1">
      <alignment vertical="center"/>
    </xf>
    <xf numFmtId="0" fontId="19" fillId="10" borderId="88" xfId="4" applyFont="1" applyFill="1" applyBorder="1" applyAlignment="1">
      <alignment horizontal="center" vertical="center"/>
    </xf>
    <xf numFmtId="0" fontId="19" fillId="10" borderId="89" xfId="4" applyFont="1" applyFill="1" applyBorder="1" applyAlignment="1">
      <alignment horizontal="center" vertical="center"/>
    </xf>
    <xf numFmtId="41" fontId="16" fillId="0" borderId="0" xfId="1" applyFont="1">
      <alignment vertical="center"/>
    </xf>
    <xf numFmtId="182" fontId="22" fillId="0" borderId="90" xfId="4" applyNumberFormat="1" applyFont="1" applyFill="1" applyBorder="1" applyAlignment="1">
      <alignment vertical="center"/>
    </xf>
    <xf numFmtId="41" fontId="19" fillId="0" borderId="91" xfId="5" applyFont="1" applyFill="1" applyBorder="1" applyAlignment="1">
      <alignment vertical="center"/>
    </xf>
    <xf numFmtId="41" fontId="19" fillId="0" borderId="92" xfId="5" applyFont="1" applyFill="1" applyBorder="1" applyAlignment="1">
      <alignment horizontal="right" vertical="center"/>
    </xf>
    <xf numFmtId="0" fontId="19" fillId="0" borderId="93" xfId="4" applyFont="1" applyFill="1" applyBorder="1" applyAlignment="1">
      <alignment horizontal="center" vertical="center"/>
    </xf>
    <xf numFmtId="0" fontId="19" fillId="0" borderId="94" xfId="4" applyFont="1" applyFill="1" applyBorder="1" applyAlignment="1">
      <alignment horizontal="center" vertical="center" wrapText="1"/>
    </xf>
    <xf numFmtId="182" fontId="24" fillId="0" borderId="0" xfId="4" applyNumberFormat="1" applyFont="1" applyFill="1" applyBorder="1" applyAlignment="1">
      <alignment horizontal="right" vertical="center"/>
    </xf>
    <xf numFmtId="182" fontId="18" fillId="0" borderId="90" xfId="4" applyNumberFormat="1" applyFont="1" applyFill="1" applyBorder="1" applyAlignment="1">
      <alignment horizontal="left" vertical="center" wrapText="1"/>
    </xf>
    <xf numFmtId="41" fontId="18" fillId="0" borderId="95" xfId="5" applyFont="1" applyFill="1" applyBorder="1" applyAlignment="1">
      <alignment horizontal="right" vertical="center"/>
    </xf>
    <xf numFmtId="41" fontId="18" fillId="0" borderId="96" xfId="5" applyFont="1" applyFill="1" applyBorder="1" applyAlignment="1">
      <alignment horizontal="right" vertical="center"/>
    </xf>
    <xf numFmtId="41" fontId="18" fillId="0" borderId="97" xfId="5" applyFont="1" applyFill="1" applyBorder="1" applyAlignment="1">
      <alignment horizontal="left" vertical="center"/>
    </xf>
    <xf numFmtId="0" fontId="19" fillId="0" borderId="98" xfId="4" applyFont="1" applyFill="1" applyBorder="1" applyAlignment="1">
      <alignment vertical="center"/>
    </xf>
    <xf numFmtId="0" fontId="16" fillId="0" borderId="0" xfId="4" applyFont="1" applyFill="1">
      <alignment vertical="center"/>
    </xf>
    <xf numFmtId="41" fontId="16" fillId="0" borderId="0" xfId="1" applyFont="1" applyFill="1">
      <alignment vertical="center"/>
    </xf>
    <xf numFmtId="0" fontId="16" fillId="0" borderId="0" xfId="4" applyFont="1" applyFill="1" applyBorder="1">
      <alignment vertical="center"/>
    </xf>
    <xf numFmtId="181" fontId="16" fillId="0" borderId="0" xfId="4" applyNumberFormat="1" applyFont="1" applyFill="1" applyBorder="1" applyAlignment="1">
      <alignment vertical="center"/>
    </xf>
    <xf numFmtId="41" fontId="18" fillId="0" borderId="95" xfId="5" applyFont="1" applyFill="1" applyBorder="1" applyAlignment="1">
      <alignment vertical="center"/>
    </xf>
    <xf numFmtId="0" fontId="19" fillId="0" borderId="99" xfId="4" applyFont="1" applyFill="1" applyBorder="1" applyAlignment="1">
      <alignment vertical="center"/>
    </xf>
    <xf numFmtId="182" fontId="18" fillId="0" borderId="90" xfId="4" applyNumberFormat="1" applyFont="1" applyFill="1" applyBorder="1" applyAlignment="1">
      <alignment vertical="center" wrapText="1"/>
    </xf>
    <xf numFmtId="182" fontId="19" fillId="0" borderId="90" xfId="4" applyNumberFormat="1" applyFont="1" applyFill="1" applyBorder="1" applyAlignment="1">
      <alignment vertical="center"/>
    </xf>
    <xf numFmtId="41" fontId="19" fillId="0" borderId="95" xfId="5" applyFont="1" applyFill="1" applyBorder="1" applyAlignment="1">
      <alignment vertical="center"/>
    </xf>
    <xf numFmtId="41" fontId="19" fillId="0" borderId="96" xfId="5" applyFont="1" applyFill="1" applyBorder="1" applyAlignment="1">
      <alignment horizontal="right" vertical="center"/>
    </xf>
    <xf numFmtId="0" fontId="19" fillId="0" borderId="97" xfId="4" applyFont="1" applyFill="1" applyBorder="1" applyAlignment="1">
      <alignment horizontal="center" vertical="center"/>
    </xf>
    <xf numFmtId="0" fontId="19" fillId="0" borderId="100" xfId="4" applyFont="1" applyFill="1" applyBorder="1" applyAlignment="1">
      <alignment horizontal="center" vertical="center"/>
    </xf>
    <xf numFmtId="182" fontId="19" fillId="10" borderId="90" xfId="4" applyNumberFormat="1" applyFont="1" applyFill="1" applyBorder="1" applyAlignment="1">
      <alignment vertical="center"/>
    </xf>
    <xf numFmtId="41" fontId="19" fillId="10" borderId="95" xfId="5" applyFont="1" applyFill="1" applyBorder="1" applyAlignment="1">
      <alignment vertical="center"/>
    </xf>
    <xf numFmtId="41" fontId="19" fillId="10" borderId="96" xfId="5" applyFont="1" applyFill="1" applyBorder="1" applyAlignment="1">
      <alignment horizontal="right" vertical="center"/>
    </xf>
    <xf numFmtId="0" fontId="19" fillId="10" borderId="97" xfId="4" applyFont="1" applyFill="1" applyBorder="1" applyAlignment="1">
      <alignment horizontal="center" vertical="center"/>
    </xf>
    <xf numFmtId="0" fontId="19" fillId="10" borderId="101" xfId="4" applyFont="1" applyFill="1" applyBorder="1" applyAlignment="1">
      <alignment horizontal="center" vertical="center"/>
    </xf>
    <xf numFmtId="41" fontId="16" fillId="0" borderId="0" xfId="4" applyNumberFormat="1" applyFont="1">
      <alignment vertical="center"/>
    </xf>
    <xf numFmtId="41" fontId="18" fillId="0" borderId="97" xfId="5" applyFont="1" applyFill="1" applyBorder="1" applyAlignment="1">
      <alignment vertical="center" wrapText="1"/>
    </xf>
    <xf numFmtId="0" fontId="18" fillId="0" borderId="98" xfId="4" applyFont="1" applyFill="1" applyBorder="1" applyAlignment="1">
      <alignment vertical="center"/>
    </xf>
    <xf numFmtId="0" fontId="18" fillId="0" borderId="99" xfId="4" applyFont="1" applyFill="1" applyBorder="1" applyAlignment="1">
      <alignment vertical="center"/>
    </xf>
    <xf numFmtId="41" fontId="16" fillId="0" borderId="0" xfId="5" applyFont="1">
      <alignment vertical="center"/>
    </xf>
    <xf numFmtId="41" fontId="0" fillId="0" borderId="0" xfId="5" applyFont="1">
      <alignment vertical="center"/>
    </xf>
    <xf numFmtId="0" fontId="4" fillId="0" borderId="0" xfId="4" applyBorder="1">
      <alignment vertical="center"/>
    </xf>
    <xf numFmtId="0" fontId="25" fillId="0" borderId="0" xfId="4" applyFont="1" applyBorder="1" applyAlignment="1">
      <alignment vertical="center"/>
    </xf>
    <xf numFmtId="182" fontId="18" fillId="0" borderId="90" xfId="4" applyNumberFormat="1" applyFont="1" applyFill="1" applyBorder="1" applyAlignment="1">
      <alignment horizontal="left" vertical="center"/>
    </xf>
    <xf numFmtId="41" fontId="18" fillId="5" borderId="95" xfId="5" applyFont="1" applyFill="1" applyBorder="1" applyAlignment="1">
      <alignment horizontal="right" vertical="center"/>
    </xf>
    <xf numFmtId="0" fontId="26" fillId="0" borderId="0" xfId="4" applyFont="1" applyBorder="1" applyAlignment="1">
      <alignment horizontal="center" vertical="center"/>
    </xf>
    <xf numFmtId="41" fontId="18" fillId="0" borderId="97" xfId="5" applyFont="1" applyFill="1" applyBorder="1" applyAlignment="1">
      <alignment horizontal="left" vertical="center" wrapText="1"/>
    </xf>
    <xf numFmtId="0" fontId="4" fillId="0" borderId="0" xfId="4" applyFill="1">
      <alignment vertical="center"/>
    </xf>
    <xf numFmtId="0" fontId="4" fillId="0" borderId="0" xfId="4" applyFill="1" applyBorder="1">
      <alignment vertical="center"/>
    </xf>
    <xf numFmtId="0" fontId="26" fillId="0" borderId="0" xfId="4" applyFont="1" applyFill="1" applyBorder="1" applyAlignment="1">
      <alignment horizontal="center" vertical="center"/>
    </xf>
    <xf numFmtId="182" fontId="17" fillId="0" borderId="0" xfId="4" applyNumberFormat="1" applyFont="1" applyFill="1" applyBorder="1" applyAlignment="1">
      <alignment horizontal="right" vertical="center"/>
    </xf>
    <xf numFmtId="182" fontId="18" fillId="8" borderId="90" xfId="4" applyNumberFormat="1" applyFont="1" applyFill="1" applyBorder="1" applyAlignment="1">
      <alignment horizontal="right" vertical="center"/>
    </xf>
    <xf numFmtId="41" fontId="18" fillId="8" borderId="95" xfId="5" applyFont="1" applyFill="1" applyBorder="1" applyAlignment="1">
      <alignment horizontal="right" vertical="center"/>
    </xf>
    <xf numFmtId="41" fontId="18" fillId="8" borderId="96" xfId="5" applyFont="1" applyFill="1" applyBorder="1" applyAlignment="1">
      <alignment horizontal="right" vertical="center"/>
    </xf>
    <xf numFmtId="41" fontId="18" fillId="8" borderId="97" xfId="5" applyFont="1" applyFill="1" applyBorder="1" applyAlignment="1">
      <alignment horizontal="left" vertical="center"/>
    </xf>
    <xf numFmtId="182" fontId="19" fillId="0" borderId="90" xfId="4" applyNumberFormat="1" applyFont="1" applyFill="1" applyBorder="1" applyAlignment="1">
      <alignment horizontal="right" vertical="center"/>
    </xf>
    <xf numFmtId="41" fontId="19" fillId="0" borderId="95" xfId="5" applyFont="1" applyFill="1" applyBorder="1" applyAlignment="1">
      <alignment horizontal="right" vertical="center"/>
    </xf>
    <xf numFmtId="41" fontId="19" fillId="0" borderId="97" xfId="5" applyFont="1" applyFill="1" applyBorder="1" applyAlignment="1">
      <alignment horizontal="center" vertical="center"/>
    </xf>
    <xf numFmtId="41" fontId="19" fillId="0" borderId="100" xfId="5" applyFont="1" applyFill="1" applyBorder="1" applyAlignment="1">
      <alignment horizontal="center" vertical="center"/>
    </xf>
    <xf numFmtId="0" fontId="19" fillId="0" borderId="101" xfId="4" applyFont="1" applyFill="1" applyBorder="1" applyAlignment="1">
      <alignment horizontal="center" vertical="center"/>
    </xf>
    <xf numFmtId="49" fontId="18" fillId="0" borderId="90" xfId="4" applyNumberFormat="1" applyFont="1" applyFill="1" applyBorder="1" applyAlignment="1">
      <alignment horizontal="left" vertical="center" wrapText="1"/>
    </xf>
    <xf numFmtId="177" fontId="19" fillId="0" borderId="95" xfId="5" applyNumberFormat="1" applyFont="1" applyFill="1" applyBorder="1" applyAlignment="1">
      <alignment horizontal="right" vertical="center"/>
    </xf>
    <xf numFmtId="182" fontId="18" fillId="0" borderId="102" xfId="4" applyNumberFormat="1" applyFont="1" applyFill="1" applyBorder="1" applyAlignment="1">
      <alignment horizontal="left" vertical="center" wrapText="1"/>
    </xf>
    <xf numFmtId="41" fontId="19" fillId="0" borderId="103" xfId="5" applyFont="1" applyFill="1" applyBorder="1" applyAlignment="1">
      <alignment horizontal="right" vertical="center"/>
    </xf>
    <xf numFmtId="0" fontId="19" fillId="0" borderId="104" xfId="4" applyFont="1" applyFill="1" applyBorder="1" applyAlignment="1">
      <alignment horizontal="center" vertical="center"/>
    </xf>
    <xf numFmtId="0" fontId="19" fillId="0" borderId="98" xfId="4" applyFont="1" applyFill="1" applyBorder="1" applyAlignment="1">
      <alignment horizontal="center" vertical="center"/>
    </xf>
    <xf numFmtId="181" fontId="17" fillId="0" borderId="0" xfId="4" applyNumberFormat="1" applyFont="1" applyFill="1" applyBorder="1" applyAlignment="1">
      <alignment horizontal="center" vertical="center"/>
    </xf>
    <xf numFmtId="181" fontId="19" fillId="10" borderId="105" xfId="4" applyNumberFormat="1" applyFont="1" applyFill="1" applyBorder="1" applyAlignment="1">
      <alignment horizontal="center" vertical="center"/>
    </xf>
    <xf numFmtId="181" fontId="18" fillId="10" borderId="106" xfId="4" applyNumberFormat="1" applyFont="1" applyFill="1" applyBorder="1" applyAlignment="1">
      <alignment horizontal="center" vertical="center"/>
    </xf>
    <xf numFmtId="0" fontId="19" fillId="10" borderId="107" xfId="4" applyFont="1" applyFill="1" applyBorder="1" applyAlignment="1">
      <alignment horizontal="center" vertical="center" wrapText="1"/>
    </xf>
    <xf numFmtId="0" fontId="19" fillId="10" borderId="108" xfId="4" applyFont="1" applyFill="1" applyBorder="1" applyAlignment="1">
      <alignment horizontal="center" vertical="center"/>
    </xf>
    <xf numFmtId="0" fontId="19" fillId="10" borderId="109" xfId="4" applyFont="1" applyFill="1" applyBorder="1" applyAlignment="1">
      <alignment horizontal="center" vertical="center"/>
    </xf>
    <xf numFmtId="181" fontId="19" fillId="10" borderId="110" xfId="4" applyNumberFormat="1" applyFont="1" applyFill="1" applyBorder="1" applyAlignment="1">
      <alignment horizontal="center" vertical="center"/>
    </xf>
    <xf numFmtId="0" fontId="19" fillId="10" borderId="111" xfId="4" applyFont="1" applyFill="1" applyBorder="1" applyAlignment="1">
      <alignment horizontal="center" vertical="center" wrapText="1"/>
    </xf>
    <xf numFmtId="0" fontId="19" fillId="10" borderId="112" xfId="4" applyFont="1" applyFill="1" applyBorder="1" applyAlignment="1">
      <alignment horizontal="center" vertical="center" wrapText="1"/>
    </xf>
    <xf numFmtId="0" fontId="19" fillId="10" borderId="113" xfId="4" applyFont="1" applyFill="1" applyBorder="1" applyAlignment="1">
      <alignment horizontal="center" vertical="center"/>
    </xf>
    <xf numFmtId="0" fontId="19" fillId="10" borderId="114" xfId="4" applyFont="1" applyFill="1" applyBorder="1" applyAlignment="1">
      <alignment horizontal="center" vertical="center"/>
    </xf>
    <xf numFmtId="0" fontId="27" fillId="0" borderId="0" xfId="4" applyFont="1" applyBorder="1" applyAlignment="1">
      <alignment vertical="center"/>
    </xf>
    <xf numFmtId="0" fontId="18" fillId="0" borderId="0" xfId="4" applyFont="1" applyFill="1" applyBorder="1" applyAlignment="1">
      <alignment horizontal="right" vertical="center"/>
    </xf>
    <xf numFmtId="0" fontId="18" fillId="0" borderId="0" xfId="4" applyFont="1" applyFill="1" applyBorder="1" applyAlignment="1">
      <alignment vertical="center"/>
    </xf>
    <xf numFmtId="0" fontId="18" fillId="0" borderId="0" xfId="4" applyFont="1" applyBorder="1" applyAlignment="1">
      <alignment vertical="center"/>
    </xf>
    <xf numFmtId="0" fontId="28" fillId="0" borderId="0" xfId="4" applyFont="1">
      <alignment vertical="center"/>
    </xf>
    <xf numFmtId="0" fontId="28" fillId="0" borderId="0" xfId="4" applyFont="1" applyBorder="1">
      <alignment vertical="center"/>
    </xf>
    <xf numFmtId="0" fontId="28" fillId="0" borderId="0" xfId="4" applyFont="1" applyBorder="1" applyAlignment="1">
      <alignment vertical="center"/>
    </xf>
    <xf numFmtId="0" fontId="29" fillId="0" borderId="0" xfId="4" applyFont="1" applyBorder="1" applyAlignment="1">
      <alignment horizontal="center" vertical="center"/>
    </xf>
    <xf numFmtId="41" fontId="12" fillId="0" borderId="0" xfId="1" applyFont="1">
      <alignment vertical="center"/>
    </xf>
    <xf numFmtId="41" fontId="13" fillId="0" borderId="0" xfId="1" applyFont="1">
      <alignment vertical="center"/>
    </xf>
    <xf numFmtId="41" fontId="13" fillId="0" borderId="0" xfId="1" applyFont="1" applyAlignment="1">
      <alignment horizontal="center" vertical="center"/>
    </xf>
    <xf numFmtId="41" fontId="4" fillId="0" borderId="0" xfId="1" applyFont="1">
      <alignment vertical="center"/>
    </xf>
    <xf numFmtId="41" fontId="16" fillId="0" borderId="0" xfId="1" applyFont="1" applyAlignment="1">
      <alignment horizontal="center" vertical="center"/>
    </xf>
    <xf numFmtId="41" fontId="16" fillId="3" borderId="39" xfId="1" applyFont="1" applyFill="1" applyBorder="1">
      <alignment vertical="center"/>
    </xf>
    <xf numFmtId="41" fontId="4" fillId="3" borderId="24" xfId="1" applyFont="1" applyFill="1" applyBorder="1">
      <alignment vertical="center"/>
    </xf>
    <xf numFmtId="41" fontId="4" fillId="3" borderId="1" xfId="1" applyFont="1" applyFill="1" applyBorder="1">
      <alignment vertical="center"/>
    </xf>
    <xf numFmtId="41" fontId="16" fillId="3" borderId="1" xfId="1" applyFont="1" applyFill="1" applyBorder="1" applyAlignment="1">
      <alignment horizontal="center" vertical="center"/>
    </xf>
    <xf numFmtId="41" fontId="16" fillId="5" borderId="39" xfId="1" applyFont="1" applyFill="1" applyBorder="1">
      <alignment vertical="center"/>
    </xf>
    <xf numFmtId="41" fontId="4" fillId="5" borderId="24" xfId="1" applyFont="1" applyFill="1" applyBorder="1">
      <alignment vertical="center"/>
    </xf>
    <xf numFmtId="41" fontId="4" fillId="5" borderId="1" xfId="1" applyFont="1" applyFill="1" applyBorder="1">
      <alignment vertical="center"/>
    </xf>
    <xf numFmtId="41" fontId="16" fillId="5" borderId="1" xfId="1" applyFont="1" applyFill="1" applyBorder="1" applyAlignment="1">
      <alignment horizontal="center" vertical="center"/>
    </xf>
    <xf numFmtId="41" fontId="16" fillId="0" borderId="39" xfId="1" applyFont="1" applyBorder="1">
      <alignment vertical="center"/>
    </xf>
    <xf numFmtId="41" fontId="30" fillId="0" borderId="1" xfId="1" applyFont="1" applyBorder="1" applyAlignment="1">
      <alignment horizontal="center" vertical="center"/>
    </xf>
    <xf numFmtId="41" fontId="31" fillId="5" borderId="24" xfId="1" applyFont="1" applyFill="1" applyBorder="1" applyAlignment="1">
      <alignment horizontal="right" vertical="center"/>
    </xf>
    <xf numFmtId="41" fontId="31" fillId="5" borderId="1" xfId="1" applyFont="1" applyFill="1" applyBorder="1" applyAlignment="1">
      <alignment horizontal="right" vertical="center"/>
    </xf>
    <xf numFmtId="41" fontId="31" fillId="0" borderId="24" xfId="1" applyFont="1" applyBorder="1" applyAlignment="1">
      <alignment horizontal="right" vertical="center"/>
    </xf>
    <xf numFmtId="41" fontId="31" fillId="0" borderId="1" xfId="1" applyFont="1" applyBorder="1" applyAlignment="1">
      <alignment horizontal="right" vertical="center"/>
    </xf>
    <xf numFmtId="41" fontId="16" fillId="0" borderId="1" xfId="1" applyFont="1" applyBorder="1" applyAlignment="1">
      <alignment horizontal="center" vertical="center"/>
    </xf>
    <xf numFmtId="41" fontId="16" fillId="0" borderId="39" xfId="1" applyFont="1" applyBorder="1" applyAlignment="1">
      <alignment horizontal="center" vertical="center"/>
    </xf>
    <xf numFmtId="41" fontId="16" fillId="0" borderId="24" xfId="1" applyFont="1" applyBorder="1" applyAlignment="1">
      <alignment horizontal="center" vertical="center"/>
    </xf>
    <xf numFmtId="41" fontId="16" fillId="11" borderId="0" xfId="1" applyFont="1" applyFill="1" applyAlignment="1">
      <alignment horizontal="center" vertical="center"/>
    </xf>
    <xf numFmtId="41" fontId="13" fillId="3" borderId="39" xfId="1" applyFont="1" applyFill="1" applyBorder="1">
      <alignment vertical="center"/>
    </xf>
    <xf numFmtId="41" fontId="13" fillId="5" borderId="39" xfId="1" applyFont="1" applyFill="1" applyBorder="1">
      <alignment vertical="center"/>
    </xf>
    <xf numFmtId="41" fontId="13" fillId="0" borderId="39" xfId="1" applyFont="1" applyBorder="1">
      <alignment vertical="center"/>
    </xf>
    <xf numFmtId="41" fontId="13" fillId="0" borderId="39" xfId="1" applyFont="1" applyBorder="1" applyAlignment="1">
      <alignment horizontal="center" vertical="center"/>
    </xf>
    <xf numFmtId="41" fontId="16" fillId="9" borderId="1" xfId="1" applyFont="1" applyFill="1" applyBorder="1" applyAlignment="1">
      <alignment horizontal="center" vertical="center"/>
    </xf>
    <xf numFmtId="41" fontId="16" fillId="11" borderId="0" xfId="1" applyFont="1" applyFill="1" applyAlignment="1">
      <alignment horizontal="left" vertical="center"/>
    </xf>
    <xf numFmtId="41" fontId="4" fillId="0" borderId="0" xfId="1" applyFont="1" applyAlignment="1">
      <alignment vertical="center"/>
    </xf>
    <xf numFmtId="9" fontId="4" fillId="0" borderId="0" xfId="3" applyFont="1">
      <alignment vertical="center"/>
    </xf>
    <xf numFmtId="41" fontId="16" fillId="11" borderId="115" xfId="1" applyFont="1" applyFill="1" applyBorder="1" applyAlignment="1">
      <alignment horizontal="left" vertical="center"/>
    </xf>
    <xf numFmtId="41" fontId="16" fillId="0" borderId="0" xfId="1" applyFont="1" applyAlignment="1">
      <alignment horizontal="left" vertical="center"/>
    </xf>
    <xf numFmtId="9" fontId="16" fillId="0" borderId="0" xfId="3" applyFont="1" applyAlignment="1">
      <alignment horizontal="left" vertical="center"/>
    </xf>
    <xf numFmtId="41" fontId="4" fillId="0" borderId="1" xfId="2" applyNumberFormat="1" applyFont="1" applyBorder="1">
      <alignment vertical="center"/>
    </xf>
    <xf numFmtId="9" fontId="13" fillId="7" borderId="3" xfId="1" applyNumberFormat="1" applyFont="1" applyFill="1" applyBorder="1">
      <alignment vertical="center"/>
    </xf>
    <xf numFmtId="9" fontId="4" fillId="3" borderId="1" xfId="1" applyNumberFormat="1" applyFont="1" applyFill="1" applyBorder="1">
      <alignment vertical="center"/>
    </xf>
    <xf numFmtId="41" fontId="16" fillId="3" borderId="3" xfId="1" applyFont="1" applyFill="1" applyBorder="1" applyAlignment="1">
      <alignment horizontal="center" vertical="center"/>
    </xf>
    <xf numFmtId="9" fontId="13" fillId="7" borderId="5" xfId="1" applyNumberFormat="1" applyFont="1" applyFill="1" applyBorder="1">
      <alignment vertical="center"/>
    </xf>
    <xf numFmtId="9" fontId="31" fillId="5" borderId="1" xfId="3" applyFont="1" applyFill="1" applyBorder="1" applyAlignment="1">
      <alignment horizontal="right" vertical="center"/>
    </xf>
    <xf numFmtId="41" fontId="16" fillId="5" borderId="5" xfId="1" applyFont="1" applyFill="1" applyBorder="1" applyAlignment="1">
      <alignment horizontal="center" vertical="center"/>
    </xf>
    <xf numFmtId="9" fontId="13" fillId="0" borderId="5" xfId="1" applyNumberFormat="1" applyFont="1" applyBorder="1">
      <alignment vertical="center"/>
    </xf>
    <xf numFmtId="9" fontId="4" fillId="0" borderId="1" xfId="3" applyFont="1" applyBorder="1">
      <alignment vertical="center"/>
    </xf>
    <xf numFmtId="41" fontId="30" fillId="0" borderId="5" xfId="1" applyFont="1" applyBorder="1" applyAlignment="1">
      <alignment horizontal="center" vertical="center"/>
    </xf>
    <xf numFmtId="9" fontId="31" fillId="0" borderId="1" xfId="3" applyFont="1" applyBorder="1" applyAlignment="1">
      <alignment horizontal="right" vertical="center"/>
    </xf>
    <xf numFmtId="41" fontId="16" fillId="0" borderId="5" xfId="1" applyFont="1" applyBorder="1" applyAlignment="1">
      <alignment horizontal="center" vertical="center"/>
    </xf>
    <xf numFmtId="41" fontId="12" fillId="0" borderId="7" xfId="1" applyFont="1" applyBorder="1" applyAlignment="1">
      <alignment horizontal="center" vertical="center"/>
    </xf>
    <xf numFmtId="41" fontId="16" fillId="0" borderId="7" xfId="1" applyFont="1" applyBorder="1" applyAlignment="1">
      <alignment horizontal="center" vertical="center"/>
    </xf>
    <xf numFmtId="41" fontId="16" fillId="0" borderId="0" xfId="1" applyFont="1" applyAlignment="1">
      <alignment horizontal="center" vertical="center"/>
    </xf>
  </cellXfs>
  <cellStyles count="6">
    <cellStyle name="백분율" xfId="3" builtinId="5"/>
    <cellStyle name="쉼표 [0]" xfId="1" builtinId="6"/>
    <cellStyle name="쉼표 [0] 2" xfId="5"/>
    <cellStyle name="통화 [0]" xfId="2" builtinId="7"/>
    <cellStyle name="표준" xfId="0" builtinId="0"/>
    <cellStyle name="표준 2" xfId="4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월</a:t>
            </a:r>
            <a:r>
              <a:rPr lang="ko-KR" altLang="en-US" baseline="0"/>
              <a:t>별 점유율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3367624331891932E-2"/>
          <c:y val="3.4035562702130401E-2"/>
          <c:w val="0.91663237566810796"/>
          <c:h val="0.89420848172356571"/>
        </c:manualLayout>
      </c:layout>
      <c:lineChart>
        <c:grouping val="standard"/>
        <c:varyColors val="0"/>
        <c:ser>
          <c:idx val="0"/>
          <c:order val="0"/>
          <c:tx>
            <c:strRef>
              <c:f>'24년 목표대비 달성률'!$M$2</c:f>
              <c:strCache>
                <c:ptCount val="1"/>
                <c:pt idx="0">
                  <c:v>23년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('24년 목표대비 달성률'!$M$3,'24년 목표대비 달성률'!$M$6,'24년 목표대비 달성률'!$M$9,'24년 목표대비 달성률'!$M$12,'24년 목표대비 달성률'!$M$15,'24년 목표대비 달성률'!$M$18,'24년 목표대비 달성률'!$M$21,'24년 목표대비 달성률'!$M$24,'24년 목표대비 달성률'!$M$27,'24년 목표대비 달성률'!$M$30,'24년 목표대비 달성률'!$M$33,'24년 목표대비 달성률'!$M$36)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('24년 목표대비 달성률'!$M$4,'24년 목표대비 달성률'!$M$7,'24년 목표대비 달성률'!$M$10,'24년 목표대비 달성률'!$M$13,'24년 목표대비 달성률'!$M$16,'24년 목표대비 달성률'!$M$19,'24년 목표대비 달성률'!$M$22,'24년 목표대비 달성률'!$M$25,'24년 목표대비 달성률'!$M$28,'24년 목표대비 달성률'!$M$31,'24년 목표대비 달성률'!$M$34,'24년 목표대비 달성률'!$M$37)</c:f>
              <c:numCache>
                <c:formatCode>0.0%</c:formatCode>
                <c:ptCount val="12"/>
                <c:pt idx="0">
                  <c:v>4.5609689813472555E-2</c:v>
                </c:pt>
                <c:pt idx="1">
                  <c:v>4.3811600568583388E-2</c:v>
                </c:pt>
                <c:pt idx="2">
                  <c:v>9.6199140637638528E-2</c:v>
                </c:pt>
                <c:pt idx="3">
                  <c:v>0.10602037833922562</c:v>
                </c:pt>
                <c:pt idx="4">
                  <c:v>9.4659524589304114E-2</c:v>
                </c:pt>
                <c:pt idx="5">
                  <c:v>9.120495029685477E-2</c:v>
                </c:pt>
                <c:pt idx="6">
                  <c:v>5.5150644914165749E-2</c:v>
                </c:pt>
                <c:pt idx="7">
                  <c:v>5.5899608700242326E-2</c:v>
                </c:pt>
                <c:pt idx="8">
                  <c:v>0.10655059443562072</c:v>
                </c:pt>
                <c:pt idx="9">
                  <c:v>0.10971731835793604</c:v>
                </c:pt>
                <c:pt idx="10">
                  <c:v>0.1101931394443687</c:v>
                </c:pt>
                <c:pt idx="11">
                  <c:v>8.498340807618826E-2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9-4E84-8430-8A90B8F7D117}"/>
            </c:ext>
          </c:extLst>
        </c:ser>
        <c:ser>
          <c:idx val="1"/>
          <c:order val="1"/>
          <c:tx>
            <c:strRef>
              <c:f>'24년 목표대비 달성률'!$N$2</c:f>
              <c:strCache>
                <c:ptCount val="1"/>
                <c:pt idx="0">
                  <c:v>24년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('24년 목표대비 달성률'!$M$3,'24년 목표대비 달성률'!$M$6,'24년 목표대비 달성률'!$M$9,'24년 목표대비 달성률'!$M$12,'24년 목표대비 달성률'!$M$15,'24년 목표대비 달성률'!$M$18,'24년 목표대비 달성률'!$M$21,'24년 목표대비 달성률'!$M$24,'24년 목표대비 달성률'!$M$27,'24년 목표대비 달성률'!$M$30,'24년 목표대비 달성률'!$M$33,'24년 목표대비 달성률'!$M$36)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('24년 목표대비 달성률'!$N$4,'24년 목표대비 달성률'!$N$7,'24년 목표대비 달성률'!$N$10,'24년 목표대비 달성률'!$N$13,'24년 목표대비 달성률'!$N$16,'24년 목표대비 달성률'!$N$19,'24년 목표대비 달성률'!$N$22,'24년 목표대비 달성률'!$N$25,'24년 목표대비 달성률'!$N$28,'24년 목표대비 달성률'!$N$31,'24년 목표대비 달성률'!$N$34,'24년 목표대비 달성률'!$N$37)</c:f>
              <c:numCache>
                <c:formatCode>0.0%</c:formatCode>
                <c:ptCount val="12"/>
                <c:pt idx="0">
                  <c:v>3.7128037002864836E-2</c:v>
                </c:pt>
                <c:pt idx="1">
                  <c:v>4.1663141800435906E-2</c:v>
                </c:pt>
                <c:pt idx="2">
                  <c:v>0.1115018071125243</c:v>
                </c:pt>
                <c:pt idx="3">
                  <c:v>0.12966858959944186</c:v>
                </c:pt>
                <c:pt idx="4">
                  <c:v>0.1051478842102261</c:v>
                </c:pt>
                <c:pt idx="5">
                  <c:v>9.072211255828723E-2</c:v>
                </c:pt>
                <c:pt idx="6">
                  <c:v>5.1170224056263799E-2</c:v>
                </c:pt>
                <c:pt idx="7">
                  <c:v>4.6851585621578033E-2</c:v>
                </c:pt>
                <c:pt idx="8">
                  <c:v>0.10001474587809125</c:v>
                </c:pt>
                <c:pt idx="9">
                  <c:v>0.10742391012358828</c:v>
                </c:pt>
                <c:pt idx="10">
                  <c:v>0.10032755322197291</c:v>
                </c:pt>
                <c:pt idx="11">
                  <c:v>7.8380408814725494E-2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9-4E84-8430-8A90B8F7D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248592"/>
        <c:axId val="683248952"/>
      </c:lineChart>
      <c:catAx>
        <c:axId val="6832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3248952"/>
        <c:crosses val="autoZero"/>
        <c:auto val="1"/>
        <c:lblAlgn val="ctr"/>
        <c:lblOffset val="100"/>
        <c:noMultiLvlLbl val="0"/>
      </c:catAx>
      <c:valAx>
        <c:axId val="68324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32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매장별 점유율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5666030942543816E-2"/>
          <c:y val="9.97164441103989E-2"/>
          <c:w val="0.91046314605125045"/>
          <c:h val="0.755478599575607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'24년 목표대비 달성률'!$A$47</c:f>
              <c:strCache>
                <c:ptCount val="1"/>
                <c:pt idx="0">
                  <c:v>23년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'24년 목표대비 달성률'!$B$46:$K$46</c:f>
              <c:strCache>
                <c:ptCount val="10"/>
                <c:pt idx="1">
                  <c:v>푸른솔</c:v>
                </c:pt>
                <c:pt idx="2">
                  <c:v>의과대학</c:v>
                </c:pt>
                <c:pt idx="3">
                  <c:v>중앙도서관</c:v>
                </c:pt>
                <c:pt idx="4">
                  <c:v>학생회관</c:v>
                </c:pt>
                <c:pt idx="5">
                  <c:v>예술디자인</c:v>
                </c:pt>
                <c:pt idx="6">
                  <c:v>멀티미디어</c:v>
                </c:pt>
                <c:pt idx="7">
                  <c:v>제2기숙사</c:v>
                </c:pt>
                <c:pt idx="8">
                  <c:v>선승관</c:v>
                </c:pt>
                <c:pt idx="9">
                  <c:v>공과대학</c:v>
                </c:pt>
              </c:strCache>
            </c:strRef>
          </c:cat>
          <c:val>
            <c:numRef>
              <c:f>'24년 목표대비 달성률'!$B$47:$K$47</c:f>
              <c:numCache>
                <c:formatCode>0.0%</c:formatCode>
                <c:ptCount val="10"/>
                <c:pt idx="1">
                  <c:v>0.13900000000000001</c:v>
                </c:pt>
                <c:pt idx="2">
                  <c:v>5.5E-2</c:v>
                </c:pt>
                <c:pt idx="3">
                  <c:v>0.126</c:v>
                </c:pt>
                <c:pt idx="4">
                  <c:v>0.153</c:v>
                </c:pt>
                <c:pt idx="5">
                  <c:v>0.21199999999999999</c:v>
                </c:pt>
                <c:pt idx="6">
                  <c:v>0.11799999999999999</c:v>
                </c:pt>
                <c:pt idx="7">
                  <c:v>1.2999999999999999E-2</c:v>
                </c:pt>
                <c:pt idx="8">
                  <c:v>7.0000000000000007E-2</c:v>
                </c:pt>
                <c:pt idx="9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3-4208-8BE8-67ABB8ADA778}"/>
            </c:ext>
          </c:extLst>
        </c:ser>
        <c:ser>
          <c:idx val="1"/>
          <c:order val="1"/>
          <c:tx>
            <c:strRef>
              <c:f>'24년 목표대비 달성률'!$A$48</c:f>
              <c:strCache>
                <c:ptCount val="1"/>
                <c:pt idx="0">
                  <c:v>24년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'24년 목표대비 달성률'!$B$46:$K$46</c:f>
              <c:strCache>
                <c:ptCount val="10"/>
                <c:pt idx="1">
                  <c:v>푸른솔</c:v>
                </c:pt>
                <c:pt idx="2">
                  <c:v>의과대학</c:v>
                </c:pt>
                <c:pt idx="3">
                  <c:v>중앙도서관</c:v>
                </c:pt>
                <c:pt idx="4">
                  <c:v>학생회관</c:v>
                </c:pt>
                <c:pt idx="5">
                  <c:v>예술디자인</c:v>
                </c:pt>
                <c:pt idx="6">
                  <c:v>멀티미디어</c:v>
                </c:pt>
                <c:pt idx="7">
                  <c:v>제2기숙사</c:v>
                </c:pt>
                <c:pt idx="8">
                  <c:v>선승관</c:v>
                </c:pt>
                <c:pt idx="9">
                  <c:v>공과대학</c:v>
                </c:pt>
              </c:strCache>
            </c:strRef>
          </c:cat>
          <c:val>
            <c:numRef>
              <c:f>'24년 목표대비 달성률'!$B$48:$K$48</c:f>
              <c:numCache>
                <c:formatCode>0.0%</c:formatCode>
                <c:ptCount val="10"/>
                <c:pt idx="1">
                  <c:v>0.11663242446547906</c:v>
                </c:pt>
                <c:pt idx="2">
                  <c:v>2.544093840324094E-2</c:v>
                </c:pt>
                <c:pt idx="3">
                  <c:v>0.13633884471185251</c:v>
                </c:pt>
                <c:pt idx="4">
                  <c:v>0.12471625389920027</c:v>
                </c:pt>
                <c:pt idx="5">
                  <c:v>0.2528177725949749</c:v>
                </c:pt>
                <c:pt idx="6">
                  <c:v>0.15705232133178643</c:v>
                </c:pt>
                <c:pt idx="7">
                  <c:v>8.4829855430998049E-3</c:v>
                </c:pt>
                <c:pt idx="8">
                  <c:v>7.5615608958399749E-2</c:v>
                </c:pt>
                <c:pt idx="9">
                  <c:v>0.10290285009196636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3-4208-8BE8-67ABB8ADA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5365936"/>
        <c:axId val="615366296"/>
      </c:barChart>
      <c:catAx>
        <c:axId val="61536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5366296"/>
        <c:crosses val="autoZero"/>
        <c:auto val="1"/>
        <c:lblAlgn val="ctr"/>
        <c:lblOffset val="100"/>
        <c:noMultiLvlLbl val="0"/>
      </c:catAx>
      <c:valAx>
        <c:axId val="61536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536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23</a:t>
            </a:r>
            <a:r>
              <a:rPr lang="ko-KR" altLang="en-US"/>
              <a:t>년 실매출 대비 </a:t>
            </a:r>
            <a:r>
              <a:rPr lang="en-US" altLang="ko-KR"/>
              <a:t>24</a:t>
            </a:r>
            <a:r>
              <a:rPr lang="ko-KR" altLang="en-US"/>
              <a:t>년 실매출</a:t>
            </a:r>
            <a:endParaRPr lang="en-US" alt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'2024년 매장별 목표 및 23년 대비 차액'!$A$8</c:f>
              <c:strCache>
                <c:ptCount val="1"/>
                <c:pt idx="0">
                  <c:v>매장별 2024년 실매출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'2024년 매장별 목표 및 23년 대비 차액'!$B$1:$J$1</c:f>
              <c:strCache>
                <c:ptCount val="9"/>
                <c:pt idx="0">
                  <c:v>푸른솔</c:v>
                </c:pt>
                <c:pt idx="1">
                  <c:v>의과대학</c:v>
                </c:pt>
                <c:pt idx="2">
                  <c:v>중앙도서관</c:v>
                </c:pt>
                <c:pt idx="3">
                  <c:v>학생회관</c:v>
                </c:pt>
                <c:pt idx="4">
                  <c:v>예술디자인</c:v>
                </c:pt>
                <c:pt idx="5">
                  <c:v>멀티미디어</c:v>
                </c:pt>
                <c:pt idx="6">
                  <c:v>제2기숙사</c:v>
                </c:pt>
                <c:pt idx="7">
                  <c:v>선승관</c:v>
                </c:pt>
                <c:pt idx="8">
                  <c:v>공과대학</c:v>
                </c:pt>
              </c:strCache>
            </c:strRef>
          </c:cat>
          <c:val>
            <c:numRef>
              <c:f>'2024년 매장별 목표 및 23년 대비 차액'!$B$8:$J$8</c:f>
              <c:numCache>
                <c:formatCode>_(* #,##0_);_(* \(#,##0\);_(* "-"_);_(@_)</c:formatCode>
                <c:ptCount val="9"/>
                <c:pt idx="0">
                  <c:v>72496834</c:v>
                </c:pt>
                <c:pt idx="1">
                  <c:v>15813677</c:v>
                </c:pt>
                <c:pt idx="2">
                  <c:v>84746027</c:v>
                </c:pt>
                <c:pt idx="3">
                  <c:v>77521612</c:v>
                </c:pt>
                <c:pt idx="4">
                  <c:v>157147450</c:v>
                </c:pt>
                <c:pt idx="5">
                  <c:v>97621190</c:v>
                </c:pt>
                <c:pt idx="6">
                  <c:v>5272887</c:v>
                </c:pt>
                <c:pt idx="7">
                  <c:v>47001443</c:v>
                </c:pt>
                <c:pt idx="8">
                  <c:v>63962752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7-4254-A72B-7070FFB4365D}"/>
            </c:ext>
          </c:extLst>
        </c:ser>
        <c:ser>
          <c:idx val="1"/>
          <c:order val="1"/>
          <c:tx>
            <c:strRef>
              <c:f>'2024년 매장별 목표 및 23년 대비 차액'!$A$9</c:f>
              <c:strCache>
                <c:ptCount val="1"/>
                <c:pt idx="0">
                  <c:v>매장별 2023년 실매출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'2024년 매장별 목표 및 23년 대비 차액'!$B$1:$J$1</c:f>
              <c:strCache>
                <c:ptCount val="9"/>
                <c:pt idx="0">
                  <c:v>푸른솔</c:v>
                </c:pt>
                <c:pt idx="1">
                  <c:v>의과대학</c:v>
                </c:pt>
                <c:pt idx="2">
                  <c:v>중앙도서관</c:v>
                </c:pt>
                <c:pt idx="3">
                  <c:v>학생회관</c:v>
                </c:pt>
                <c:pt idx="4">
                  <c:v>예술디자인</c:v>
                </c:pt>
                <c:pt idx="5">
                  <c:v>멀티미디어</c:v>
                </c:pt>
                <c:pt idx="6">
                  <c:v>제2기숙사</c:v>
                </c:pt>
                <c:pt idx="7">
                  <c:v>선승관</c:v>
                </c:pt>
                <c:pt idx="8">
                  <c:v>공과대학</c:v>
                </c:pt>
              </c:strCache>
            </c:strRef>
          </c:cat>
          <c:val>
            <c:numRef>
              <c:f>'2024년 매장별 목표 및 23년 대비 차액'!$B$9:$J$9</c:f>
              <c:numCache>
                <c:formatCode>_(* #,##0_);_(* \(#,##0\);_(* "-"_);_(@_)</c:formatCode>
                <c:ptCount val="9"/>
                <c:pt idx="0">
                  <c:v>76303589</c:v>
                </c:pt>
                <c:pt idx="1">
                  <c:v>26625551</c:v>
                </c:pt>
                <c:pt idx="2">
                  <c:v>75741265</c:v>
                </c:pt>
                <c:pt idx="3">
                  <c:v>75062883</c:v>
                </c:pt>
                <c:pt idx="4">
                  <c:v>163836592</c:v>
                </c:pt>
                <c:pt idx="5">
                  <c:v>111022455</c:v>
                </c:pt>
                <c:pt idx="6">
                  <c:v>11461994</c:v>
                </c:pt>
                <c:pt idx="7">
                  <c:v>54141552</c:v>
                </c:pt>
                <c:pt idx="8">
                  <c:v>72172636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7-4254-A72B-7070FFB43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410480"/>
        <c:axId val="565412640"/>
      </c:barChart>
      <c:catAx>
        <c:axId val="56541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5412640"/>
        <c:crosses val="autoZero"/>
        <c:auto val="1"/>
        <c:lblAlgn val="ctr"/>
        <c:lblOffset val="100"/>
        <c:noMultiLvlLbl val="0"/>
      </c:catAx>
      <c:valAx>
        <c:axId val="5654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541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299358</xdr:colOff>
      <xdr:row>3</xdr:row>
      <xdr:rowOff>1</xdr:rowOff>
    </xdr:from>
    <xdr:to>
      <xdr:col>24</xdr:col>
      <xdr:colOff>557893</xdr:colOff>
      <xdr:row>31</xdr:row>
      <xdr:rowOff>163286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94F4A4F-71CC-78DB-0D58-D55F6E1AD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20410</xdr:colOff>
      <xdr:row>48</xdr:row>
      <xdr:rowOff>111578</xdr:rowOff>
    </xdr:from>
    <xdr:to>
      <xdr:col>12</xdr:col>
      <xdr:colOff>-1</xdr:colOff>
      <xdr:row>76</xdr:row>
      <xdr:rowOff>27214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25B9996-EA0C-8408-0F06-0390065C9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12</xdr:row>
      <xdr:rowOff>180974</xdr:rowOff>
    </xdr:from>
    <xdr:to>
      <xdr:col>6</xdr:col>
      <xdr:colOff>1066800</xdr:colOff>
      <xdr:row>30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9501C1-BFCA-CF8B-FC0C-8CBFC70D0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29"/>
  <sheetViews>
    <sheetView tabSelected="1" zoomScale="70" zoomScaleNormal="70" zoomScaleSheetLayoutView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O17" sqref="O17"/>
    </sheetView>
  </sheetViews>
  <sheetFormatPr defaultRowHeight="16.5" x14ac:dyDescent="0.3"/>
  <cols>
    <col min="1" max="1" width="3.25" style="240" customWidth="1"/>
    <col min="2" max="2" width="17.625" style="240" customWidth="1"/>
    <col min="3" max="3" width="22.375" style="240" customWidth="1"/>
    <col min="4" max="4" width="22" style="240" customWidth="1"/>
    <col min="5" max="5" width="105.25" style="240" customWidth="1"/>
    <col min="6" max="7" width="3.625" style="240" customWidth="1"/>
    <col min="8" max="8" width="19.25" style="240" bestFit="1" customWidth="1"/>
    <col min="9" max="12" width="3.625" style="240" customWidth="1"/>
    <col min="13" max="13" width="3.625" style="240" hidden="1" customWidth="1"/>
    <col min="14" max="23" width="3.625" style="240" customWidth="1"/>
    <col min="24" max="24" width="9" style="240"/>
    <col min="25" max="25" width="45.125" style="240" customWidth="1"/>
    <col min="26" max="16384" width="9" style="240"/>
  </cols>
  <sheetData>
    <row r="1" spans="1:25" s="332" customFormat="1" ht="81.75" customHeight="1" x14ac:dyDescent="0.3">
      <c r="A1" s="335" t="s">
        <v>232</v>
      </c>
      <c r="B1" s="335"/>
      <c r="C1" s="335"/>
      <c r="D1" s="335"/>
      <c r="E1" s="335"/>
      <c r="F1" s="334"/>
      <c r="G1" s="334"/>
      <c r="H1" s="333"/>
      <c r="I1" s="333"/>
      <c r="J1" s="333"/>
      <c r="K1" s="333"/>
      <c r="L1" s="333"/>
    </row>
    <row r="2" spans="1:25" ht="28.5" customHeight="1" thickBot="1" x14ac:dyDescent="0.35">
      <c r="A2" s="331" t="s">
        <v>231</v>
      </c>
      <c r="B2" s="331"/>
      <c r="C2" s="331"/>
      <c r="D2" s="330"/>
      <c r="E2" s="329" t="s">
        <v>230</v>
      </c>
      <c r="F2" s="328"/>
      <c r="G2" s="328"/>
      <c r="H2" s="292"/>
      <c r="I2" s="292"/>
      <c r="J2" s="292"/>
      <c r="K2" s="292"/>
      <c r="L2" s="292"/>
    </row>
    <row r="3" spans="1:25" ht="39.950000000000003" customHeight="1" x14ac:dyDescent="0.3">
      <c r="A3" s="327" t="s">
        <v>229</v>
      </c>
      <c r="B3" s="326"/>
      <c r="C3" s="325" t="s">
        <v>228</v>
      </c>
      <c r="D3" s="324" t="s">
        <v>227</v>
      </c>
      <c r="E3" s="323" t="s">
        <v>226</v>
      </c>
      <c r="F3" s="293"/>
      <c r="G3" s="293"/>
      <c r="H3" s="292"/>
      <c r="I3" s="292"/>
      <c r="J3" s="292"/>
      <c r="K3" s="292"/>
      <c r="L3" s="292"/>
    </row>
    <row r="4" spans="1:25" ht="39.950000000000003" customHeight="1" thickBot="1" x14ac:dyDescent="0.35">
      <c r="A4" s="322"/>
      <c r="B4" s="321"/>
      <c r="C4" s="320"/>
      <c r="D4" s="319" t="s">
        <v>225</v>
      </c>
      <c r="E4" s="318"/>
      <c r="F4" s="296"/>
      <c r="G4" s="296"/>
      <c r="H4" s="317"/>
      <c r="I4" s="296"/>
      <c r="J4" s="296"/>
      <c r="K4" s="296"/>
      <c r="L4" s="292"/>
    </row>
    <row r="5" spans="1:25" ht="39.950000000000003" customHeight="1" x14ac:dyDescent="0.3">
      <c r="A5" s="316" t="s">
        <v>224</v>
      </c>
      <c r="B5" s="315"/>
      <c r="C5" s="278">
        <f>SUM(D5:E5)</f>
        <v>645064046.19000006</v>
      </c>
      <c r="D5" s="314">
        <v>645064046.19000006</v>
      </c>
      <c r="E5" s="313" t="s">
        <v>223</v>
      </c>
      <c r="F5" s="296"/>
      <c r="G5" s="296"/>
      <c r="H5" s="251"/>
      <c r="I5" s="296"/>
      <c r="J5" s="296"/>
      <c r="K5" s="296"/>
      <c r="L5" s="292"/>
    </row>
    <row r="6" spans="1:25" ht="39.950000000000003" customHeight="1" x14ac:dyDescent="0.3">
      <c r="A6" s="310" t="s">
        <v>222</v>
      </c>
      <c r="B6" s="279"/>
      <c r="C6" s="278">
        <f>SUM(D6:E6)</f>
        <v>174167292.47130004</v>
      </c>
      <c r="D6" s="312">
        <f>D5*27%</f>
        <v>174167292.47130004</v>
      </c>
      <c r="E6" s="311" t="s">
        <v>221</v>
      </c>
      <c r="F6" s="296"/>
      <c r="G6" s="296"/>
      <c r="H6" s="251"/>
      <c r="I6" s="296"/>
      <c r="J6" s="296"/>
      <c r="K6" s="296"/>
      <c r="L6" s="292"/>
    </row>
    <row r="7" spans="1:25" ht="39.950000000000003" customHeight="1" x14ac:dyDescent="0.3">
      <c r="A7" s="310" t="s">
        <v>220</v>
      </c>
      <c r="B7" s="279"/>
      <c r="C7" s="278">
        <f>SUM(D7:E7)</f>
        <v>470896753.71870005</v>
      </c>
      <c r="D7" s="307">
        <f>SUM(D5-D6)</f>
        <v>470896753.71870005</v>
      </c>
      <c r="E7" s="306"/>
      <c r="F7" s="296"/>
      <c r="G7" s="296"/>
      <c r="H7" s="251"/>
      <c r="I7" s="296"/>
      <c r="J7" s="296"/>
      <c r="K7" s="296"/>
      <c r="L7" s="292"/>
    </row>
    <row r="8" spans="1:25" ht="39.950000000000003" customHeight="1" x14ac:dyDescent="0.3">
      <c r="A8" s="309" t="s">
        <v>219</v>
      </c>
      <c r="B8" s="308"/>
      <c r="C8" s="278">
        <f>SUM(D8:E8)</f>
        <v>1151286372.6178703</v>
      </c>
      <c r="D8" s="307">
        <f>SUM(D9,D13)</f>
        <v>1151286372.6178703</v>
      </c>
      <c r="E8" s="306"/>
      <c r="F8" s="296"/>
      <c r="G8" s="296"/>
      <c r="H8" s="251"/>
      <c r="I8" s="296"/>
      <c r="J8" s="296"/>
      <c r="K8" s="296"/>
      <c r="L8" s="292"/>
    </row>
    <row r="9" spans="1:25" ht="39.950000000000003" customHeight="1" x14ac:dyDescent="0.3">
      <c r="A9" s="289"/>
      <c r="B9" s="305" t="s">
        <v>218</v>
      </c>
      <c r="C9" s="304">
        <f>SUM(D9:E9)</f>
        <v>975722838</v>
      </c>
      <c r="D9" s="303">
        <f>SUM(D10:D12)</f>
        <v>975722838</v>
      </c>
      <c r="E9" s="302"/>
      <c r="F9" s="296"/>
      <c r="G9" s="296"/>
      <c r="H9" s="301"/>
      <c r="I9" s="296"/>
      <c r="J9" s="296"/>
      <c r="K9" s="296"/>
      <c r="L9" s="292"/>
    </row>
    <row r="10" spans="1:25" ht="56.25" customHeight="1" x14ac:dyDescent="0.3">
      <c r="A10" s="289"/>
      <c r="B10" s="267" t="s">
        <v>218</v>
      </c>
      <c r="C10" s="266">
        <f>SUM(D10:E10)</f>
        <v>814893735</v>
      </c>
      <c r="D10" s="265">
        <v>814893735</v>
      </c>
      <c r="E10" s="264" t="s">
        <v>217</v>
      </c>
      <c r="F10" s="296"/>
      <c r="G10" s="296"/>
      <c r="H10" s="263"/>
      <c r="I10" s="296"/>
      <c r="J10" s="296"/>
      <c r="K10" s="296"/>
      <c r="L10" s="292"/>
    </row>
    <row r="11" spans="1:25" ht="39.950000000000003" customHeight="1" x14ac:dyDescent="0.3">
      <c r="A11" s="289"/>
      <c r="B11" s="267" t="s">
        <v>216</v>
      </c>
      <c r="C11" s="266">
        <f>SUM(D11:E11)</f>
        <v>77142963</v>
      </c>
      <c r="D11" s="265">
        <v>77142963</v>
      </c>
      <c r="E11" s="294" t="s">
        <v>215</v>
      </c>
      <c r="F11" s="296"/>
      <c r="G11" s="296"/>
      <c r="H11" s="263"/>
      <c r="I11" s="296"/>
      <c r="J11" s="296"/>
      <c r="K11" s="296"/>
      <c r="L11" s="292"/>
    </row>
    <row r="12" spans="1:25" ht="39.950000000000003" customHeight="1" x14ac:dyDescent="0.3">
      <c r="A12" s="289"/>
      <c r="B12" s="267" t="s">
        <v>214</v>
      </c>
      <c r="C12" s="266">
        <f>SUM(D12:E12)</f>
        <v>83686140</v>
      </c>
      <c r="D12" s="265">
        <v>83686140</v>
      </c>
      <c r="E12" s="294" t="s">
        <v>213</v>
      </c>
      <c r="F12" s="296"/>
      <c r="G12" s="296"/>
      <c r="H12" s="263"/>
      <c r="I12" s="296"/>
      <c r="J12" s="296"/>
      <c r="K12" s="296"/>
      <c r="L12" s="292"/>
    </row>
    <row r="13" spans="1:25" s="298" customFormat="1" ht="39.950000000000003" customHeight="1" x14ac:dyDescent="0.3">
      <c r="A13" s="289"/>
      <c r="B13" s="305" t="s">
        <v>212</v>
      </c>
      <c r="C13" s="304">
        <f>SUM(D13:E13)</f>
        <v>175563534.61787021</v>
      </c>
      <c r="D13" s="303">
        <f>SUM(D14:D19)</f>
        <v>175563534.61787021</v>
      </c>
      <c r="E13" s="302"/>
      <c r="F13" s="300"/>
      <c r="G13" s="300"/>
      <c r="H13" s="301"/>
      <c r="I13" s="300"/>
      <c r="J13" s="300"/>
      <c r="K13" s="300"/>
      <c r="L13" s="299"/>
    </row>
    <row r="14" spans="1:25" ht="39.950000000000003" customHeight="1" x14ac:dyDescent="0.3">
      <c r="A14" s="289"/>
      <c r="B14" s="267" t="s">
        <v>211</v>
      </c>
      <c r="C14" s="266">
        <f>SUM(D14:E14)</f>
        <v>2016000</v>
      </c>
      <c r="D14" s="265">
        <v>2016000</v>
      </c>
      <c r="E14" s="264" t="s">
        <v>210</v>
      </c>
      <c r="F14" s="296"/>
      <c r="G14" s="296"/>
      <c r="H14" s="263"/>
      <c r="I14" s="296"/>
      <c r="J14" s="296"/>
      <c r="K14" s="296"/>
      <c r="L14" s="292"/>
      <c r="Y14" s="291"/>
    </row>
    <row r="15" spans="1:25" ht="39.950000000000003" customHeight="1" x14ac:dyDescent="0.3">
      <c r="A15" s="289"/>
      <c r="B15" s="297" t="s">
        <v>209</v>
      </c>
      <c r="C15" s="266">
        <f>SUM(D15:E15)</f>
        <v>3457774</v>
      </c>
      <c r="D15" s="265">
        <v>3457774</v>
      </c>
      <c r="E15" s="294" t="s">
        <v>208</v>
      </c>
      <c r="F15" s="296"/>
      <c r="G15" s="296"/>
      <c r="H15" s="263"/>
      <c r="I15" s="296"/>
      <c r="J15" s="296"/>
      <c r="K15" s="296"/>
      <c r="L15" s="292"/>
      <c r="Y15" s="291"/>
    </row>
    <row r="16" spans="1:25" ht="39.950000000000003" customHeight="1" x14ac:dyDescent="0.3">
      <c r="A16" s="289"/>
      <c r="B16" s="267" t="s">
        <v>207</v>
      </c>
      <c r="C16" s="266">
        <f>SUM(D16:E16)</f>
        <v>0</v>
      </c>
      <c r="D16" s="295"/>
      <c r="E16" s="294" t="s">
        <v>206</v>
      </c>
      <c r="F16" s="293"/>
      <c r="G16" s="293"/>
      <c r="H16" s="265"/>
      <c r="I16" s="292"/>
      <c r="J16" s="292"/>
      <c r="K16" s="292"/>
      <c r="L16" s="292"/>
      <c r="Y16" s="291"/>
    </row>
    <row r="17" spans="1:25" s="248" customFormat="1" ht="69" x14ac:dyDescent="0.3">
      <c r="A17" s="289"/>
      <c r="B17" s="267" t="s">
        <v>205</v>
      </c>
      <c r="C17" s="266">
        <f>SUM(D17:E17)</f>
        <v>102591833.01740021</v>
      </c>
      <c r="D17" s="265">
        <v>102591833.01740021</v>
      </c>
      <c r="E17" s="264" t="s">
        <v>204</v>
      </c>
      <c r="F17" s="250"/>
      <c r="G17" s="250"/>
      <c r="H17" s="263"/>
      <c r="I17" s="250"/>
      <c r="J17" s="250"/>
      <c r="K17" s="250"/>
      <c r="L17" s="249"/>
      <c r="Y17" s="290"/>
    </row>
    <row r="18" spans="1:25" s="248" customFormat="1" ht="77.25" customHeight="1" x14ac:dyDescent="0.3">
      <c r="A18" s="289"/>
      <c r="B18" s="267" t="s">
        <v>203</v>
      </c>
      <c r="C18" s="266">
        <f>SUM(D18:E18)</f>
        <v>24745832.600470003</v>
      </c>
      <c r="D18" s="265">
        <v>24745832.600470003</v>
      </c>
      <c r="E18" s="264" t="s">
        <v>202</v>
      </c>
      <c r="F18" s="250"/>
      <c r="G18" s="250"/>
      <c r="H18" s="263"/>
      <c r="I18" s="250"/>
      <c r="J18" s="250"/>
      <c r="K18" s="250"/>
      <c r="L18" s="249"/>
      <c r="Y18" s="286"/>
    </row>
    <row r="19" spans="1:25" s="248" customFormat="1" ht="47.25" customHeight="1" x14ac:dyDescent="0.3">
      <c r="A19" s="288"/>
      <c r="B19" s="287" t="s">
        <v>201</v>
      </c>
      <c r="C19" s="266">
        <f>SUM(D19:E19)</f>
        <v>42752095</v>
      </c>
      <c r="D19" s="273">
        <v>42752095</v>
      </c>
      <c r="E19" s="264" t="s">
        <v>200</v>
      </c>
      <c r="F19" s="250"/>
      <c r="G19" s="250"/>
      <c r="H19" s="263"/>
      <c r="I19" s="250"/>
      <c r="J19" s="250"/>
      <c r="K19" s="250"/>
      <c r="L19" s="249"/>
      <c r="Y19" s="286"/>
    </row>
    <row r="20" spans="1:25" s="248" customFormat="1" ht="39.950000000000003" customHeight="1" x14ac:dyDescent="0.3">
      <c r="A20" s="285" t="s">
        <v>199</v>
      </c>
      <c r="B20" s="284"/>
      <c r="C20" s="283">
        <f>SUM(D20:E20)</f>
        <v>-680389618.89917028</v>
      </c>
      <c r="D20" s="282">
        <f>SUM(D7-D8)</f>
        <v>-680389618.89917028</v>
      </c>
      <c r="E20" s="281"/>
      <c r="F20" s="250"/>
      <c r="G20" s="250"/>
      <c r="H20" s="251"/>
      <c r="I20" s="250"/>
      <c r="J20" s="250"/>
      <c r="K20" s="250"/>
      <c r="L20" s="249"/>
    </row>
    <row r="21" spans="1:25" s="248" customFormat="1" ht="39.950000000000003" customHeight="1" x14ac:dyDescent="0.3">
      <c r="A21" s="280" t="s">
        <v>198</v>
      </c>
      <c r="B21" s="279"/>
      <c r="C21" s="278">
        <f>SUM(D21:E21)</f>
        <v>1388687460</v>
      </c>
      <c r="D21" s="277">
        <f>SUM(D22:D24)</f>
        <v>1388687460</v>
      </c>
      <c r="E21" s="276"/>
      <c r="F21" s="250"/>
      <c r="G21" s="250"/>
      <c r="H21" s="251"/>
      <c r="I21" s="250"/>
      <c r="J21" s="250"/>
      <c r="K21" s="250"/>
      <c r="L21" s="249"/>
    </row>
    <row r="22" spans="1:25" s="269" customFormat="1" ht="42.75" customHeight="1" x14ac:dyDescent="0.3">
      <c r="A22" s="274"/>
      <c r="B22" s="267" t="s">
        <v>197</v>
      </c>
      <c r="C22" s="266">
        <f>SUM(D22:E22)</f>
        <v>1101454480</v>
      </c>
      <c r="D22" s="273">
        <v>1101454480</v>
      </c>
      <c r="E22" s="275" t="s">
        <v>196</v>
      </c>
      <c r="F22" s="272"/>
      <c r="G22" s="272"/>
      <c r="H22" s="263"/>
      <c r="I22" s="272"/>
      <c r="J22" s="272"/>
      <c r="K22" s="272"/>
      <c r="L22" s="271"/>
      <c r="Y22" s="270"/>
    </row>
    <row r="23" spans="1:25" s="269" customFormat="1" ht="44.25" customHeight="1" x14ac:dyDescent="0.3">
      <c r="A23" s="274"/>
      <c r="B23" s="267" t="s">
        <v>195</v>
      </c>
      <c r="C23" s="266">
        <f>SUM(D23:E23)</f>
        <v>280380000</v>
      </c>
      <c r="D23" s="273">
        <v>280380000</v>
      </c>
      <c r="E23" s="264" t="s">
        <v>194</v>
      </c>
      <c r="F23" s="272"/>
      <c r="G23" s="272"/>
      <c r="H23" s="263"/>
      <c r="I23" s="272"/>
      <c r="J23" s="272"/>
      <c r="K23" s="272"/>
      <c r="L23" s="271"/>
      <c r="Y23" s="270"/>
    </row>
    <row r="24" spans="1:25" s="248" customFormat="1" ht="26.25" x14ac:dyDescent="0.3">
      <c r="A24" s="268"/>
      <c r="B24" s="267" t="s">
        <v>193</v>
      </c>
      <c r="C24" s="266">
        <f>SUM(D24:E24)</f>
        <v>6852980</v>
      </c>
      <c r="D24" s="265">
        <v>6852980</v>
      </c>
      <c r="E24" s="264" t="s">
        <v>192</v>
      </c>
      <c r="F24" s="250"/>
      <c r="G24" s="250"/>
      <c r="H24" s="263"/>
      <c r="I24" s="250"/>
      <c r="J24" s="250"/>
      <c r="K24" s="250"/>
      <c r="L24" s="249"/>
      <c r="Y24" s="257"/>
    </row>
    <row r="25" spans="1:25" s="248" customFormat="1" ht="39.950000000000003" customHeight="1" x14ac:dyDescent="0.3">
      <c r="A25" s="262" t="s">
        <v>191</v>
      </c>
      <c r="B25" s="261"/>
      <c r="C25" s="260">
        <f>SUM(D25:E25)</f>
        <v>1370596</v>
      </c>
      <c r="D25" s="259">
        <f>D24*20%</f>
        <v>1370596</v>
      </c>
      <c r="E25" s="258" t="s">
        <v>190</v>
      </c>
      <c r="F25" s="250"/>
      <c r="G25" s="250"/>
      <c r="H25" s="251"/>
      <c r="I25" s="250"/>
      <c r="J25" s="250"/>
      <c r="K25" s="250"/>
      <c r="L25" s="249"/>
      <c r="Y25" s="257"/>
    </row>
    <row r="26" spans="1:25" s="248" customFormat="1" ht="39.950000000000003" customHeight="1" thickBot="1" x14ac:dyDescent="0.35">
      <c r="A26" s="256" t="s">
        <v>189</v>
      </c>
      <c r="B26" s="255"/>
      <c r="C26" s="254">
        <f>SUM(C20+C21-C25)</f>
        <v>706927245.10082972</v>
      </c>
      <c r="D26" s="253">
        <f>SUM(D20+D21-D25)</f>
        <v>706927245.10082972</v>
      </c>
      <c r="E26" s="252"/>
      <c r="F26" s="250"/>
      <c r="G26" s="250"/>
      <c r="H26" s="251"/>
      <c r="I26" s="250"/>
      <c r="J26" s="250"/>
      <c r="K26" s="250"/>
      <c r="L26" s="249"/>
    </row>
    <row r="27" spans="1:25" s="242" customFormat="1" ht="39" customHeight="1" thickBot="1" x14ac:dyDescent="0.35">
      <c r="A27" s="247" t="s">
        <v>188</v>
      </c>
      <c r="B27" s="246"/>
      <c r="C27" s="245">
        <f>C20+C23+C24-C25</f>
        <v>-394527234.89917028</v>
      </c>
      <c r="D27" s="244">
        <f>D20+D23+D24-D25</f>
        <v>-394527234.89917028</v>
      </c>
      <c r="E27" s="243"/>
    </row>
    <row r="28" spans="1:25" s="241" customFormat="1" ht="26.25" x14ac:dyDescent="0.3"/>
    <row r="29" spans="1:25" s="241" customFormat="1" ht="26.25" x14ac:dyDescent="0.3"/>
  </sheetData>
  <mergeCells count="13">
    <mergeCell ref="A1:E1"/>
    <mergeCell ref="A3:B4"/>
    <mergeCell ref="C3:C4"/>
    <mergeCell ref="E3:E4"/>
    <mergeCell ref="A5:B5"/>
    <mergeCell ref="A6:B6"/>
    <mergeCell ref="A27:B27"/>
    <mergeCell ref="A7:B7"/>
    <mergeCell ref="A8:B8"/>
    <mergeCell ref="A20:B20"/>
    <mergeCell ref="A21:B21"/>
    <mergeCell ref="A25:B25"/>
    <mergeCell ref="A26:B26"/>
  </mergeCells>
  <phoneticPr fontId="3" type="noConversion"/>
  <printOptions horizontalCentered="1" verticalCentered="1"/>
  <pageMargins left="0.19685039370078741" right="0.19685039370078741" top="7.874015748031496E-2" bottom="0.19685039370078741" header="0.39370078740157483" footer="0.27559055118110237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7"/>
  <sheetViews>
    <sheetView topLeftCell="A61" zoomScaleNormal="100" workbookViewId="0">
      <selection activeCell="O64" sqref="O64"/>
    </sheetView>
  </sheetViews>
  <sheetFormatPr defaultRowHeight="16.5" x14ac:dyDescent="0.3"/>
  <cols>
    <col min="2" max="2" width="18.375" bestFit="1" customWidth="1"/>
    <col min="3" max="16" width="13.625" customWidth="1"/>
    <col min="17" max="17" width="16.875" customWidth="1"/>
    <col min="18" max="18" width="14.25" customWidth="1"/>
    <col min="19" max="19" width="13.5" bestFit="1" customWidth="1"/>
  </cols>
  <sheetData>
    <row r="1" spans="1:17" x14ac:dyDescent="0.3">
      <c r="A1" s="238" t="s">
        <v>175</v>
      </c>
    </row>
    <row r="2" spans="1:17" x14ac:dyDescent="0.3">
      <c r="A2" s="238"/>
      <c r="E2" s="108"/>
      <c r="F2" s="159"/>
      <c r="K2" s="108"/>
      <c r="L2" s="159"/>
    </row>
    <row r="3" spans="1:17" ht="17.25" thickBot="1" x14ac:dyDescent="0.35">
      <c r="A3" s="127" t="s">
        <v>174</v>
      </c>
    </row>
    <row r="4" spans="1:17" x14ac:dyDescent="0.3">
      <c r="A4" s="229" t="s">
        <v>176</v>
      </c>
      <c r="B4" s="237" t="s">
        <v>173</v>
      </c>
      <c r="C4" s="236" t="s">
        <v>167</v>
      </c>
      <c r="D4" s="236" t="s">
        <v>172</v>
      </c>
      <c r="E4" s="236" t="s">
        <v>148</v>
      </c>
      <c r="F4" s="236" t="s">
        <v>46</v>
      </c>
      <c r="G4" s="236" t="s">
        <v>44</v>
      </c>
      <c r="H4" s="236" t="s">
        <v>42</v>
      </c>
      <c r="I4" s="236" t="s">
        <v>40</v>
      </c>
      <c r="J4" s="236" t="s">
        <v>38</v>
      </c>
      <c r="K4" s="236" t="s">
        <v>36</v>
      </c>
      <c r="L4" s="236" t="s">
        <v>34</v>
      </c>
      <c r="M4" s="236" t="s">
        <v>32</v>
      </c>
      <c r="N4" s="235" t="s">
        <v>27</v>
      </c>
      <c r="O4" s="234" t="s">
        <v>171</v>
      </c>
      <c r="P4" s="233" t="s">
        <v>170</v>
      </c>
    </row>
    <row r="5" spans="1:17" x14ac:dyDescent="0.3">
      <c r="A5" s="229"/>
      <c r="B5" s="232" t="s">
        <v>146</v>
      </c>
      <c r="C5" s="231">
        <v>2597093</v>
      </c>
      <c r="D5" s="231">
        <v>2444455</v>
      </c>
      <c r="E5" s="231">
        <v>4590365</v>
      </c>
      <c r="F5" s="231">
        <v>5830092</v>
      </c>
      <c r="G5" s="231">
        <v>5519092</v>
      </c>
      <c r="H5" s="231">
        <v>4183181</v>
      </c>
      <c r="I5" s="231">
        <v>2313725</v>
      </c>
      <c r="J5" s="231">
        <v>3240365</v>
      </c>
      <c r="K5" s="231">
        <v>4278227</v>
      </c>
      <c r="L5" s="231">
        <v>3848540</v>
      </c>
      <c r="M5" s="231">
        <v>4354398</v>
      </c>
      <c r="N5" s="230">
        <v>3801910</v>
      </c>
      <c r="O5" s="225">
        <f>SUM(C5:N5)</f>
        <v>47001443</v>
      </c>
      <c r="P5" s="224">
        <f>O5/$O$14</f>
        <v>7.5615608958399749E-2</v>
      </c>
      <c r="Q5" s="2"/>
    </row>
    <row r="6" spans="1:17" x14ac:dyDescent="0.3">
      <c r="A6" s="229"/>
      <c r="B6" s="232" t="s">
        <v>145</v>
      </c>
      <c r="C6" s="231">
        <v>3360549</v>
      </c>
      <c r="D6" s="231">
        <v>3516907</v>
      </c>
      <c r="E6" s="231">
        <v>8444181</v>
      </c>
      <c r="F6" s="231">
        <v>11285638</v>
      </c>
      <c r="G6" s="231">
        <v>7367820</v>
      </c>
      <c r="H6" s="231">
        <v>8433726</v>
      </c>
      <c r="I6" s="231">
        <v>4740636</v>
      </c>
      <c r="J6" s="231">
        <v>5262000</v>
      </c>
      <c r="K6" s="231">
        <v>7311538</v>
      </c>
      <c r="L6" s="231">
        <v>11156999</v>
      </c>
      <c r="M6" s="231">
        <v>6409748</v>
      </c>
      <c r="N6" s="230">
        <v>7456285</v>
      </c>
      <c r="O6" s="225">
        <f>SUM(C6:N6)</f>
        <v>84746027</v>
      </c>
      <c r="P6" s="224">
        <f>O6/$O$14</f>
        <v>0.13633884471185251</v>
      </c>
      <c r="Q6" s="2"/>
    </row>
    <row r="7" spans="1:17" x14ac:dyDescent="0.3">
      <c r="A7" s="229"/>
      <c r="B7" s="232" t="s">
        <v>143</v>
      </c>
      <c r="C7" s="231">
        <v>1732454</v>
      </c>
      <c r="D7" s="231">
        <v>2347365</v>
      </c>
      <c r="E7" s="231">
        <v>13360907</v>
      </c>
      <c r="F7" s="231">
        <v>13656454</v>
      </c>
      <c r="G7" s="231">
        <v>11682090</v>
      </c>
      <c r="H7" s="231">
        <v>8934997</v>
      </c>
      <c r="I7" s="231">
        <v>4806544</v>
      </c>
      <c r="J7" s="231">
        <v>1793091</v>
      </c>
      <c r="K7" s="231">
        <v>11235374</v>
      </c>
      <c r="L7" s="231">
        <v>10851174</v>
      </c>
      <c r="M7" s="231">
        <v>10095581</v>
      </c>
      <c r="N7" s="230">
        <v>7125159</v>
      </c>
      <c r="O7" s="225">
        <f>SUM(C7:N7)</f>
        <v>97621190</v>
      </c>
      <c r="P7" s="224">
        <f>O7/$O$14</f>
        <v>0.15705232133178643</v>
      </c>
      <c r="Q7" s="2"/>
    </row>
    <row r="8" spans="1:17" x14ac:dyDescent="0.3">
      <c r="A8" s="229"/>
      <c r="B8" s="232" t="s">
        <v>141</v>
      </c>
      <c r="C8" s="231">
        <v>164999</v>
      </c>
      <c r="D8" s="231">
        <v>194547</v>
      </c>
      <c r="E8" s="231">
        <v>982272</v>
      </c>
      <c r="F8" s="231">
        <v>1203817</v>
      </c>
      <c r="G8" s="231">
        <v>452182</v>
      </c>
      <c r="H8" s="231">
        <v>443818</v>
      </c>
      <c r="I8" s="231">
        <v>127818</v>
      </c>
      <c r="J8" s="231">
        <v>125362</v>
      </c>
      <c r="K8" s="231">
        <v>385356</v>
      </c>
      <c r="L8" s="231">
        <v>471086</v>
      </c>
      <c r="M8" s="231">
        <v>351541</v>
      </c>
      <c r="N8" s="230">
        <v>370089</v>
      </c>
      <c r="O8" s="225">
        <f>SUM(C8:N8)</f>
        <v>5272887</v>
      </c>
      <c r="P8" s="224">
        <f>O8/$O$14</f>
        <v>8.4829855430998049E-3</v>
      </c>
      <c r="Q8" s="2"/>
    </row>
    <row r="9" spans="1:17" x14ac:dyDescent="0.3">
      <c r="A9" s="229"/>
      <c r="B9" s="232" t="s">
        <v>139</v>
      </c>
      <c r="C9" s="231">
        <v>2822363</v>
      </c>
      <c r="D9" s="231">
        <v>3608272</v>
      </c>
      <c r="E9" s="231">
        <v>7909000</v>
      </c>
      <c r="F9" s="231">
        <v>11143817</v>
      </c>
      <c r="G9" s="231">
        <v>7698545</v>
      </c>
      <c r="H9" s="231">
        <v>6648544</v>
      </c>
      <c r="I9" s="231">
        <v>4315363</v>
      </c>
      <c r="J9" s="231">
        <v>4259366</v>
      </c>
      <c r="K9" s="231">
        <v>7348276</v>
      </c>
      <c r="L9" s="231">
        <v>7535118</v>
      </c>
      <c r="M9" s="231">
        <v>9404923</v>
      </c>
      <c r="N9" s="230">
        <v>4828025</v>
      </c>
      <c r="O9" s="225">
        <f>SUM(C9:N9)</f>
        <v>77521612</v>
      </c>
      <c r="P9" s="224">
        <f>O9/$O$14</f>
        <v>0.12471625389920027</v>
      </c>
      <c r="Q9" s="2"/>
    </row>
    <row r="10" spans="1:17" x14ac:dyDescent="0.3">
      <c r="A10" s="229"/>
      <c r="B10" s="232" t="s">
        <v>137</v>
      </c>
      <c r="C10" s="231">
        <v>1197909</v>
      </c>
      <c r="D10" s="231">
        <v>1103727</v>
      </c>
      <c r="E10" s="231">
        <v>1365455</v>
      </c>
      <c r="F10" s="231">
        <v>1352271</v>
      </c>
      <c r="G10" s="231">
        <v>1300363</v>
      </c>
      <c r="H10" s="231">
        <v>1886002</v>
      </c>
      <c r="I10" s="231">
        <v>1493638</v>
      </c>
      <c r="J10" s="231">
        <v>1311624</v>
      </c>
      <c r="K10" s="231">
        <v>1304142</v>
      </c>
      <c r="L10" s="231">
        <v>1210235</v>
      </c>
      <c r="M10" s="231">
        <v>1170610</v>
      </c>
      <c r="N10" s="230">
        <v>1117701</v>
      </c>
      <c r="O10" s="225">
        <f>SUM(C10:N10)</f>
        <v>15813677</v>
      </c>
      <c r="P10" s="224">
        <f>O10/$O$14</f>
        <v>2.544093840324094E-2</v>
      </c>
      <c r="Q10" s="2"/>
    </row>
    <row r="11" spans="1:17" x14ac:dyDescent="0.3">
      <c r="A11" s="229"/>
      <c r="B11" s="232" t="s">
        <v>135</v>
      </c>
      <c r="C11" s="231">
        <v>2646093</v>
      </c>
      <c r="D11" s="231">
        <v>2592181</v>
      </c>
      <c r="E11" s="231">
        <v>7700272</v>
      </c>
      <c r="F11" s="231">
        <v>7630453</v>
      </c>
      <c r="G11" s="231">
        <v>5715364</v>
      </c>
      <c r="H11" s="231">
        <v>5542271</v>
      </c>
      <c r="I11" s="231">
        <v>3792089</v>
      </c>
      <c r="J11" s="231">
        <v>3247454</v>
      </c>
      <c r="K11" s="231">
        <v>6377108</v>
      </c>
      <c r="L11" s="231">
        <v>6407784</v>
      </c>
      <c r="M11" s="231">
        <v>6508703</v>
      </c>
      <c r="N11" s="230">
        <v>5802980</v>
      </c>
      <c r="O11" s="225">
        <f>SUM(C11:N11)</f>
        <v>63962752</v>
      </c>
      <c r="P11" s="224">
        <f>O11/$O$14</f>
        <v>0.10290285009196636</v>
      </c>
      <c r="Q11" s="2"/>
    </row>
    <row r="12" spans="1:17" x14ac:dyDescent="0.3">
      <c r="A12" s="229"/>
      <c r="B12" s="232" t="s">
        <v>133</v>
      </c>
      <c r="C12" s="231">
        <v>4932183</v>
      </c>
      <c r="D12" s="231">
        <v>6015365</v>
      </c>
      <c r="E12" s="231">
        <v>17752909</v>
      </c>
      <c r="F12" s="231">
        <v>19533271</v>
      </c>
      <c r="G12" s="231">
        <v>17614911</v>
      </c>
      <c r="H12" s="231">
        <v>12735090</v>
      </c>
      <c r="I12" s="231">
        <v>5619544</v>
      </c>
      <c r="J12" s="231">
        <v>5366273</v>
      </c>
      <c r="K12" s="231">
        <v>17225138</v>
      </c>
      <c r="L12" s="231">
        <v>18969952</v>
      </c>
      <c r="M12" s="231">
        <v>18389207</v>
      </c>
      <c r="N12" s="230">
        <v>12993607</v>
      </c>
      <c r="O12" s="225">
        <f>SUM(C12:N12)</f>
        <v>157147450</v>
      </c>
      <c r="P12" s="224">
        <f>O12/$O$14</f>
        <v>0.2528177725949749</v>
      </c>
      <c r="Q12" s="2"/>
    </row>
    <row r="13" spans="1:17" ht="17.25" thickBot="1" x14ac:dyDescent="0.35">
      <c r="A13" s="229"/>
      <c r="B13" s="228" t="s">
        <v>131</v>
      </c>
      <c r="C13" s="227">
        <v>3624546</v>
      </c>
      <c r="D13" s="227">
        <v>4074318</v>
      </c>
      <c r="E13" s="227">
        <v>7202364</v>
      </c>
      <c r="F13" s="227">
        <v>8964091</v>
      </c>
      <c r="G13" s="227">
        <v>8007862</v>
      </c>
      <c r="H13" s="227">
        <v>7583773</v>
      </c>
      <c r="I13" s="227">
        <v>4597229</v>
      </c>
      <c r="J13" s="227">
        <v>4516655</v>
      </c>
      <c r="K13" s="227">
        <v>6702394</v>
      </c>
      <c r="L13" s="227">
        <v>6322082</v>
      </c>
      <c r="M13" s="227">
        <v>5677278</v>
      </c>
      <c r="N13" s="226">
        <v>5224242</v>
      </c>
      <c r="O13" s="225">
        <f>SUM(C13:N13)</f>
        <v>72496834</v>
      </c>
      <c r="P13" s="224">
        <f>O13/$O$14</f>
        <v>0.11663242446547906</v>
      </c>
      <c r="Q13" s="2"/>
    </row>
    <row r="14" spans="1:17" x14ac:dyDescent="0.3">
      <c r="A14" s="219"/>
      <c r="B14" s="223" t="s">
        <v>169</v>
      </c>
      <c r="C14" s="222">
        <f>SUM(C5:C13)</f>
        <v>23078189</v>
      </c>
      <c r="D14" s="222">
        <f>SUM(D5:D13)</f>
        <v>25897137</v>
      </c>
      <c r="E14" s="222">
        <f>SUM(E5:E13)</f>
        <v>69307725</v>
      </c>
      <c r="F14" s="222">
        <f>SUM(F5:F13)</f>
        <v>80599904</v>
      </c>
      <c r="G14" s="222">
        <f>SUM(G5:G13)</f>
        <v>65358229</v>
      </c>
      <c r="H14" s="222">
        <f>SUM(H5:H13)</f>
        <v>56391402</v>
      </c>
      <c r="I14" s="222">
        <f>SUM(I5:I13)</f>
        <v>31806586</v>
      </c>
      <c r="J14" s="222">
        <f>SUM(J5:J13)</f>
        <v>29122190</v>
      </c>
      <c r="K14" s="222">
        <f>SUM(K5:K13)</f>
        <v>62167553</v>
      </c>
      <c r="L14" s="222">
        <f>SUM(L5:L13)</f>
        <v>66772970</v>
      </c>
      <c r="M14" s="222">
        <f>SUM(M5:M13)</f>
        <v>62361989</v>
      </c>
      <c r="N14" s="222">
        <f>SUM(N5:N13)</f>
        <v>48719998</v>
      </c>
      <c r="O14" s="221">
        <f>SUM(O5:O13)</f>
        <v>621583872</v>
      </c>
      <c r="P14" s="220">
        <f>SUM(P5:P13)</f>
        <v>1</v>
      </c>
    </row>
    <row r="15" spans="1:17" ht="17.25" thickBot="1" x14ac:dyDescent="0.35">
      <c r="A15" s="219"/>
      <c r="B15" s="218" t="s">
        <v>168</v>
      </c>
      <c r="C15" s="217">
        <f>C14/$O$14</f>
        <v>3.7128037002864836E-2</v>
      </c>
      <c r="D15" s="217">
        <f>D14/$O$14</f>
        <v>4.1663141800435906E-2</v>
      </c>
      <c r="E15" s="217">
        <f>E14/$O$14</f>
        <v>0.1115018071125243</v>
      </c>
      <c r="F15" s="217">
        <f>F14/$O$14</f>
        <v>0.12966858959944186</v>
      </c>
      <c r="G15" s="217">
        <f>G14/$O$14</f>
        <v>0.1051478842102261</v>
      </c>
      <c r="H15" s="217">
        <f>H14/$O$14</f>
        <v>9.072211255828723E-2</v>
      </c>
      <c r="I15" s="217">
        <f>I14/$O$14</f>
        <v>5.1170224056263799E-2</v>
      </c>
      <c r="J15" s="217">
        <f>J14/$O$14</f>
        <v>4.6851585621578033E-2</v>
      </c>
      <c r="K15" s="217">
        <f>K14/$O$14</f>
        <v>0.10001474587809125</v>
      </c>
      <c r="L15" s="217">
        <f>L14/$O$14</f>
        <v>0.10742391012358828</v>
      </c>
      <c r="M15" s="217">
        <f>M14/$O$14</f>
        <v>0.10032755322197291</v>
      </c>
      <c r="N15" s="217">
        <f>N14/$O$14</f>
        <v>7.8380408814725494E-2</v>
      </c>
      <c r="O15" s="216">
        <f>SUM(C15:N15)</f>
        <v>1</v>
      </c>
      <c r="P15" s="215"/>
    </row>
    <row r="17" spans="1:18" x14ac:dyDescent="0.3">
      <c r="A17" s="127" t="s">
        <v>177</v>
      </c>
      <c r="K17" s="214"/>
      <c r="L17" s="213"/>
      <c r="M17" s="213"/>
      <c r="N17" s="213"/>
    </row>
    <row r="18" spans="1:18" x14ac:dyDescent="0.3">
      <c r="A18" s="212" t="s">
        <v>178</v>
      </c>
      <c r="B18" s="210" t="s">
        <v>164</v>
      </c>
      <c r="C18" s="208">
        <f>C5/$C$14</f>
        <v>0.11253452339782814</v>
      </c>
      <c r="D18" s="208">
        <f>D5/$D$14</f>
        <v>9.4390935955584593E-2</v>
      </c>
      <c r="E18" s="208">
        <f>E5/$E$14</f>
        <v>6.6231650223694399E-2</v>
      </c>
      <c r="F18" s="208">
        <f>F5/$F$14</f>
        <v>7.233373379700303E-2</v>
      </c>
      <c r="G18" s="208">
        <f>G5/$G$14</f>
        <v>8.4443720162613339E-2</v>
      </c>
      <c r="H18" s="208">
        <f>H5/$H$14</f>
        <v>7.4181184571364273E-2</v>
      </c>
      <c r="I18" s="208">
        <f>I5/$I$14</f>
        <v>7.2743582099631818E-2</v>
      </c>
      <c r="J18" s="208">
        <f>J5/$J$14</f>
        <v>0.11126790258562286</v>
      </c>
      <c r="K18" s="208">
        <f>K5/$K$14</f>
        <v>6.8817683719994582E-2</v>
      </c>
      <c r="L18" s="208">
        <f>L5/$L$14</f>
        <v>5.763619620334396E-2</v>
      </c>
      <c r="M18" s="208">
        <f>M5/$M$14</f>
        <v>6.9824552901928766E-2</v>
      </c>
      <c r="N18" s="208">
        <f>N5/$N$14</f>
        <v>7.803592274367499E-2</v>
      </c>
      <c r="O18" s="204">
        <f>AVERAGE(C18:N18)</f>
        <v>8.020346569685706E-2</v>
      </c>
    </row>
    <row r="19" spans="1:18" x14ac:dyDescent="0.3">
      <c r="A19" s="207"/>
      <c r="B19" s="210" t="s">
        <v>145</v>
      </c>
      <c r="C19" s="208">
        <f>C6/$C$14</f>
        <v>0.14561580200248814</v>
      </c>
      <c r="D19" s="208">
        <f>D6/$D$14</f>
        <v>0.13580292678684908</v>
      </c>
      <c r="E19" s="208">
        <f>E6/$E$14</f>
        <v>0.12183607238587041</v>
      </c>
      <c r="F19" s="208">
        <f>F6/$F$14</f>
        <v>0.14002048935442901</v>
      </c>
      <c r="G19" s="208">
        <f>G6/$G$14</f>
        <v>0.11272979872205534</v>
      </c>
      <c r="H19" s="208">
        <f>H6/$H$14</f>
        <v>0.14955694841564676</v>
      </c>
      <c r="I19" s="208">
        <f>I6/$I$14</f>
        <v>0.14904573537065563</v>
      </c>
      <c r="J19" s="208">
        <f>J6/$J$14</f>
        <v>0.18068696069904083</v>
      </c>
      <c r="K19" s="208">
        <f>K6/$K$14</f>
        <v>0.11761019450130199</v>
      </c>
      <c r="L19" s="208">
        <f>L6/$L$14</f>
        <v>0.16708855394630492</v>
      </c>
      <c r="M19" s="208">
        <f>M6/$M$14</f>
        <v>0.10278293080100444</v>
      </c>
      <c r="N19" s="208">
        <f>N6/$N$14</f>
        <v>0.15304362286714379</v>
      </c>
      <c r="O19" s="204">
        <f>AVERAGE(C19:N19)</f>
        <v>0.13965166965439921</v>
      </c>
    </row>
    <row r="20" spans="1:18" x14ac:dyDescent="0.3">
      <c r="A20" s="207"/>
      <c r="B20" s="210" t="s">
        <v>143</v>
      </c>
      <c r="C20" s="208">
        <f>C7/$C$14</f>
        <v>7.5068888637665629E-2</v>
      </c>
      <c r="D20" s="208">
        <f>D7/$D$14</f>
        <v>9.0641872883477428E-2</v>
      </c>
      <c r="E20" s="208">
        <f>E7/$E$14</f>
        <v>0.19277659164256222</v>
      </c>
      <c r="F20" s="208">
        <f>F7/$F$14</f>
        <v>0.1694351149599384</v>
      </c>
      <c r="G20" s="208">
        <f>G7/$G$14</f>
        <v>0.17873939026101823</v>
      </c>
      <c r="H20" s="208">
        <f>H7/$H$14</f>
        <v>0.15844608722443185</v>
      </c>
      <c r="I20" s="208">
        <f>I7/$I$14</f>
        <v>0.15111788483051905</v>
      </c>
      <c r="J20" s="208">
        <f>J7/$J$14</f>
        <v>6.1571296664158844E-2</v>
      </c>
      <c r="K20" s="208">
        <f>K7/$K$14</f>
        <v>0.18072729997913864</v>
      </c>
      <c r="L20" s="208">
        <f>L7/$L$14</f>
        <v>0.16250848209986765</v>
      </c>
      <c r="M20" s="208">
        <f>M7/$M$14</f>
        <v>0.1618867704812943</v>
      </c>
      <c r="N20" s="208">
        <f>N7/$N$14</f>
        <v>0.14624711191490608</v>
      </c>
      <c r="O20" s="204">
        <f>AVERAGE(C20:N20)</f>
        <v>0.14409723263158153</v>
      </c>
    </row>
    <row r="21" spans="1:18" x14ac:dyDescent="0.3">
      <c r="A21" s="207"/>
      <c r="B21" s="210" t="s">
        <v>141</v>
      </c>
      <c r="C21" s="208">
        <f>C8/$C$14</f>
        <v>7.1495644653919764E-3</v>
      </c>
      <c r="D21" s="208">
        <f>D8/$D$14</f>
        <v>7.5122975949040239E-3</v>
      </c>
      <c r="E21" s="208">
        <f>E8/$E$14</f>
        <v>1.4172619285945398E-2</v>
      </c>
      <c r="F21" s="208">
        <f>F8/$F$14</f>
        <v>1.4935712578516223E-2</v>
      </c>
      <c r="G21" s="208">
        <f>G8/$G$14</f>
        <v>6.9185167180708029E-3</v>
      </c>
      <c r="H21" s="208">
        <f>H8/$H$14</f>
        <v>7.870313279318716E-3</v>
      </c>
      <c r="I21" s="208">
        <f>I8/$I$14</f>
        <v>4.0186016820541503E-3</v>
      </c>
      <c r="J21" s="208">
        <f>J8/$J$14</f>
        <v>4.3046899975585631E-3</v>
      </c>
      <c r="K21" s="208">
        <f>K8/$K$14</f>
        <v>6.1986676554568586E-3</v>
      </c>
      <c r="L21" s="208">
        <f>L8/$L$14</f>
        <v>7.0550403853535349E-3</v>
      </c>
      <c r="M21" s="208">
        <f>M8/$M$14</f>
        <v>5.6371037171376939E-3</v>
      </c>
      <c r="N21" s="208">
        <f>N8/$N$14</f>
        <v>7.5962441541972152E-3</v>
      </c>
      <c r="O21" s="204">
        <f>AVERAGE(C21:N21)</f>
        <v>7.7807809594920979E-3</v>
      </c>
    </row>
    <row r="22" spans="1:18" x14ac:dyDescent="0.3">
      <c r="A22" s="207"/>
      <c r="B22" s="210" t="s">
        <v>139</v>
      </c>
      <c r="C22" s="208">
        <f>C9/$C$14</f>
        <v>0.12229568793287897</v>
      </c>
      <c r="D22" s="208">
        <f>D9/$D$14</f>
        <v>0.13933092295105826</v>
      </c>
      <c r="E22" s="208">
        <f>E9/$E$14</f>
        <v>0.11411426359760041</v>
      </c>
      <c r="F22" s="208">
        <f>F9/$F$14</f>
        <v>0.13826092150184199</v>
      </c>
      <c r="G22" s="208">
        <f>G9/$G$14</f>
        <v>0.11778998785294503</v>
      </c>
      <c r="H22" s="208">
        <f>H9/$H$14</f>
        <v>0.11789995928811985</v>
      </c>
      <c r="I22" s="208">
        <f>I9/$I$14</f>
        <v>0.13567513973363882</v>
      </c>
      <c r="J22" s="208">
        <f>J9/$J$14</f>
        <v>0.14625843729472268</v>
      </c>
      <c r="K22" s="208">
        <f>K9/$K$14</f>
        <v>0.11820114586141102</v>
      </c>
      <c r="L22" s="208">
        <f>L9/$L$14</f>
        <v>0.11284683008708464</v>
      </c>
      <c r="M22" s="208">
        <f>M9/$M$14</f>
        <v>0.15081178696850095</v>
      </c>
      <c r="N22" s="208">
        <f>N9/$N$14</f>
        <v>9.9097397335689549E-2</v>
      </c>
      <c r="O22" s="204">
        <f>AVERAGE(C22:N22)</f>
        <v>0.12604854003379098</v>
      </c>
      <c r="P22" s="211"/>
    </row>
    <row r="23" spans="1:18" x14ac:dyDescent="0.3">
      <c r="A23" s="207"/>
      <c r="B23" s="210" t="s">
        <v>137</v>
      </c>
      <c r="C23" s="208">
        <f>C10/$C$14</f>
        <v>5.1906542580095867E-2</v>
      </c>
      <c r="D23" s="208">
        <f>D10/$D$14</f>
        <v>4.2619653284453801E-2</v>
      </c>
      <c r="E23" s="208">
        <f>E10/$E$14</f>
        <v>1.9701339208580283E-2</v>
      </c>
      <c r="F23" s="208">
        <f>F10/$F$14</f>
        <v>1.6777575814482359E-2</v>
      </c>
      <c r="G23" s="208">
        <f>G10/$G$14</f>
        <v>1.9895933838721364E-2</v>
      </c>
      <c r="H23" s="208">
        <f>H10/$H$14</f>
        <v>3.3444850333744142E-2</v>
      </c>
      <c r="I23" s="208">
        <f>I10/$I$14</f>
        <v>4.6960022682094836E-2</v>
      </c>
      <c r="J23" s="208">
        <f>J10/$J$14</f>
        <v>4.5038645788658065E-2</v>
      </c>
      <c r="K23" s="208">
        <f>K10/$K$14</f>
        <v>2.0977856406862273E-2</v>
      </c>
      <c r="L23" s="208">
        <f>L10/$L$14</f>
        <v>1.8124624380194562E-2</v>
      </c>
      <c r="M23" s="208">
        <f>M10/$M$14</f>
        <v>1.8771210135712639E-2</v>
      </c>
      <c r="N23" s="208">
        <f>N10/$N$14</f>
        <v>2.2941318675751998E-2</v>
      </c>
      <c r="O23" s="204">
        <f>AVERAGE(C23:N23)</f>
        <v>2.976329776077935E-2</v>
      </c>
    </row>
    <row r="24" spans="1:18" x14ac:dyDescent="0.3">
      <c r="A24" s="207"/>
      <c r="B24" s="210" t="s">
        <v>135</v>
      </c>
      <c r="C24" s="208">
        <f>C11/$C$14</f>
        <v>0.11465774025856189</v>
      </c>
      <c r="D24" s="208">
        <f>D11/$D$14</f>
        <v>0.10009527307980029</v>
      </c>
      <c r="E24" s="208">
        <f>E11/$E$14</f>
        <v>0.11110265125568615</v>
      </c>
      <c r="F24" s="208">
        <f>F11/$F$14</f>
        <v>9.4670745513543042E-2</v>
      </c>
      <c r="G24" s="208">
        <f>G11/$G$14</f>
        <v>8.7446739109164048E-2</v>
      </c>
      <c r="H24" s="208">
        <f>H11/$H$14</f>
        <v>9.8282199119645933E-2</v>
      </c>
      <c r="I24" s="208">
        <f>I11/$I$14</f>
        <v>0.11922338977216856</v>
      </c>
      <c r="J24" s="208">
        <f>J11/$J$14</f>
        <v>0.11151132521283598</v>
      </c>
      <c r="K24" s="208">
        <f>K11/$K$14</f>
        <v>0.10257936322505729</v>
      </c>
      <c r="L24" s="208">
        <f>L11/$L$14</f>
        <v>9.5963741016761722E-2</v>
      </c>
      <c r="M24" s="208">
        <f>M11/$M$14</f>
        <v>0.10436971469912545</v>
      </c>
      <c r="N24" s="208">
        <f>N11/$N$14</f>
        <v>0.11910878978279105</v>
      </c>
      <c r="O24" s="204">
        <f>AVERAGE(C24:N24)</f>
        <v>0.10491763933709512</v>
      </c>
    </row>
    <row r="25" spans="1:18" x14ac:dyDescent="0.3">
      <c r="A25" s="207"/>
      <c r="B25" s="210" t="s">
        <v>133</v>
      </c>
      <c r="C25" s="208">
        <f>C12/$C$14</f>
        <v>0.21371620624131296</v>
      </c>
      <c r="D25" s="208">
        <f>D12/$D$14</f>
        <v>0.23227915116640113</v>
      </c>
      <c r="E25" s="208">
        <f>E12/$E$14</f>
        <v>0.25614617995324473</v>
      </c>
      <c r="F25" s="208">
        <f>F12/$F$14</f>
        <v>0.24234856408761976</v>
      </c>
      <c r="G25" s="208">
        <f>G12/$G$14</f>
        <v>0.26951328500654448</v>
      </c>
      <c r="H25" s="208">
        <f>H12/$H$14</f>
        <v>0.22583389574176574</v>
      </c>
      <c r="I25" s="208">
        <f>I12/$I$14</f>
        <v>0.17667862875946511</v>
      </c>
      <c r="J25" s="208">
        <f>J12/$J$14</f>
        <v>0.18426749499264994</v>
      </c>
      <c r="K25" s="208">
        <f>K12/$K$14</f>
        <v>0.27707601745238386</v>
      </c>
      <c r="L25" s="208">
        <f>L12/$L$14</f>
        <v>0.2840962742858375</v>
      </c>
      <c r="M25" s="208">
        <f>M12/$M$14</f>
        <v>0.29487845552841491</v>
      </c>
      <c r="N25" s="208">
        <f>N12/$N$14</f>
        <v>0.26669966201558548</v>
      </c>
      <c r="O25" s="204">
        <f>AVERAGE(C25:N25)</f>
        <v>0.24362781793593546</v>
      </c>
    </row>
    <row r="26" spans="1:18" x14ac:dyDescent="0.3">
      <c r="A26" s="207"/>
      <c r="B26" s="209" t="s">
        <v>131</v>
      </c>
      <c r="C26" s="208">
        <f>C13/$C$14</f>
        <v>0.15705504448377644</v>
      </c>
      <c r="D26" s="208">
        <f>D13/$D$14</f>
        <v>0.15732696629747142</v>
      </c>
      <c r="E26" s="208">
        <f>E13/$E$14</f>
        <v>0.103918632446816</v>
      </c>
      <c r="F26" s="208">
        <f>F13/$F$14</f>
        <v>0.11121714239262617</v>
      </c>
      <c r="G26" s="208">
        <f>G13/$G$14</f>
        <v>0.12252262832886736</v>
      </c>
      <c r="H26" s="208">
        <f>H13/$H$14</f>
        <v>0.13448456202596276</v>
      </c>
      <c r="I26" s="208">
        <f>I13/$I$14</f>
        <v>0.14453701506977204</v>
      </c>
      <c r="J26" s="208">
        <f>J13/$J$14</f>
        <v>0.15509324676475225</v>
      </c>
      <c r="K26" s="208">
        <f>K13/$K$14</f>
        <v>0.10781177119839348</v>
      </c>
      <c r="L26" s="208">
        <f>L13/$L$14</f>
        <v>9.4680257595251491E-2</v>
      </c>
      <c r="M26" s="208">
        <f>M13/$M$14</f>
        <v>9.103747476688083E-2</v>
      </c>
      <c r="N26" s="208">
        <f>N13/$N$14</f>
        <v>0.10722993051025988</v>
      </c>
      <c r="O26" s="204">
        <f>AVERAGE(C26:N26)</f>
        <v>0.12390955599006918</v>
      </c>
    </row>
    <row r="27" spans="1:18" x14ac:dyDescent="0.3">
      <c r="A27" s="207"/>
      <c r="B27" s="206"/>
      <c r="C27" s="205">
        <f>SUM(C18:C26)</f>
        <v>1</v>
      </c>
      <c r="D27" s="205">
        <f>SUM(D18:D26)</f>
        <v>1</v>
      </c>
      <c r="E27" s="205">
        <f>SUM(E18:E26)</f>
        <v>1.0000000000000002</v>
      </c>
      <c r="F27" s="205">
        <f>SUM(F18:F26)</f>
        <v>1</v>
      </c>
      <c r="G27" s="205">
        <f>SUM(G18:G26)</f>
        <v>0.99999999999999989</v>
      </c>
      <c r="H27" s="205">
        <f>SUM(H18:H26)</f>
        <v>1</v>
      </c>
      <c r="I27" s="205">
        <f>SUM(I18:I26)</f>
        <v>1</v>
      </c>
      <c r="J27" s="205">
        <f>SUM(J18:J26)</f>
        <v>1</v>
      </c>
      <c r="K27" s="205">
        <f>SUM(K18:K26)</f>
        <v>1</v>
      </c>
      <c r="L27" s="205">
        <f>SUM(L18:L26)</f>
        <v>1</v>
      </c>
      <c r="M27" s="205">
        <f>SUM(M18:M26)</f>
        <v>1</v>
      </c>
      <c r="N27" s="205">
        <f>SUM(N18:N26)</f>
        <v>1</v>
      </c>
      <c r="O27" s="204">
        <f>SUM(O18:O26)</f>
        <v>0.99999999999999989</v>
      </c>
    </row>
    <row r="29" spans="1:18" x14ac:dyDescent="0.3">
      <c r="A29" s="135"/>
    </row>
    <row r="30" spans="1:18" ht="17.25" thickBot="1" x14ac:dyDescent="0.35">
      <c r="A30" s="127" t="s">
        <v>179</v>
      </c>
      <c r="C30" s="203">
        <v>626275773</v>
      </c>
    </row>
    <row r="31" spans="1:18" x14ac:dyDescent="0.3">
      <c r="A31" s="202" t="s">
        <v>180</v>
      </c>
      <c r="B31" s="201" t="s">
        <v>181</v>
      </c>
      <c r="C31" s="200" t="s">
        <v>167</v>
      </c>
      <c r="D31" s="200" t="s">
        <v>149</v>
      </c>
      <c r="E31" s="200" t="s">
        <v>148</v>
      </c>
      <c r="F31" s="200" t="s">
        <v>46</v>
      </c>
      <c r="G31" s="200" t="s">
        <v>44</v>
      </c>
      <c r="H31" s="200" t="s">
        <v>42</v>
      </c>
      <c r="I31" s="200" t="s">
        <v>40</v>
      </c>
      <c r="J31" s="200" t="s">
        <v>38</v>
      </c>
      <c r="K31" s="200" t="s">
        <v>36</v>
      </c>
      <c r="L31" s="200" t="s">
        <v>34</v>
      </c>
      <c r="M31" s="200" t="s">
        <v>32</v>
      </c>
      <c r="N31" s="200" t="s">
        <v>27</v>
      </c>
      <c r="O31" s="199" t="s">
        <v>166</v>
      </c>
    </row>
    <row r="32" spans="1:18" ht="17.25" thickBot="1" x14ac:dyDescent="0.35">
      <c r="A32" s="194"/>
      <c r="B32" s="198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6"/>
      <c r="P32" s="195" t="s">
        <v>165</v>
      </c>
      <c r="Q32" s="195"/>
      <c r="R32" s="195"/>
    </row>
    <row r="33" spans="1:18" x14ac:dyDescent="0.3">
      <c r="A33" s="194"/>
      <c r="B33" s="178" t="s">
        <v>164</v>
      </c>
      <c r="C33" s="193">
        <f>$C$42*C18</f>
        <v>2695197.5338763711</v>
      </c>
      <c r="D33" s="193">
        <f>$D$42*D18</f>
        <v>2536793.6718753488</v>
      </c>
      <c r="E33" s="193">
        <f>$E$42*E18</f>
        <v>4763764.8815781362</v>
      </c>
      <c r="F33" s="193">
        <f>$F$42*F18</f>
        <v>6050322.2567202477</v>
      </c>
      <c r="G33" s="193">
        <f>$G$42*G18</f>
        <v>5727574.3100600587</v>
      </c>
      <c r="H33" s="193">
        <f>$H$42*H18</f>
        <v>4341199.6085463604</v>
      </c>
      <c r="I33" s="193">
        <f>$I$42*I18</f>
        <v>2401125.3790557776</v>
      </c>
      <c r="J33" s="193">
        <f>$J$42*J18</f>
        <v>3362768.9716384076</v>
      </c>
      <c r="K33" s="193">
        <f>$K$42*K18</f>
        <v>4439835.9472546056</v>
      </c>
      <c r="L33" s="193">
        <f>$L$42*L18</f>
        <v>3993917.6290662559</v>
      </c>
      <c r="M33" s="193">
        <f>$M$42*M18</f>
        <v>4518884.2875923971</v>
      </c>
      <c r="N33" s="192">
        <f>$N$42*N18</f>
        <v>3945526.1925621899</v>
      </c>
      <c r="O33" s="191">
        <f>SUM(C33:N33)</f>
        <v>48776910.669826165</v>
      </c>
      <c r="P33" s="190">
        <f>O33/$O$42</f>
        <v>7.5615608958399763E-2</v>
      </c>
      <c r="Q33" s="183"/>
      <c r="R33" s="183"/>
    </row>
    <row r="34" spans="1:18" x14ac:dyDescent="0.3">
      <c r="A34" s="194"/>
      <c r="B34" s="166" t="s">
        <v>145</v>
      </c>
      <c r="C34" s="193">
        <f>$C$42*C19</f>
        <v>3487492.8919644789</v>
      </c>
      <c r="D34" s="193">
        <f>$D$42*D19</f>
        <v>3649757.2760284473</v>
      </c>
      <c r="E34" s="193">
        <f>$E$42*E19</f>
        <v>8763157.8102153856</v>
      </c>
      <c r="F34" s="193">
        <f>$F$42*F19</f>
        <v>11711950.132637322</v>
      </c>
      <c r="G34" s="193">
        <f>$G$42*G19</f>
        <v>7646137.544571952</v>
      </c>
      <c r="H34" s="193">
        <f>$H$42*H19</f>
        <v>8752307.8752239645</v>
      </c>
      <c r="I34" s="193">
        <f>$I$42*I19</f>
        <v>4919712.3307503983</v>
      </c>
      <c r="J34" s="193">
        <f>$J$42*J19</f>
        <v>5460770.724520633</v>
      </c>
      <c r="K34" s="193">
        <f>$K$42*K19</f>
        <v>7587729.5061991904</v>
      </c>
      <c r="L34" s="193">
        <f>$L$42*L19</f>
        <v>11578451.826816035</v>
      </c>
      <c r="M34" s="193">
        <f>$M$42*M19</f>
        <v>6651874.6161069321</v>
      </c>
      <c r="N34" s="192">
        <f>$N$42*N19</f>
        <v>7737944.2876629289</v>
      </c>
      <c r="O34" s="191">
        <f>SUM(C34:N34)</f>
        <v>87947286.822697654</v>
      </c>
      <c r="P34" s="190">
        <f>O34/$O$42</f>
        <v>0.13633884471185248</v>
      </c>
      <c r="Q34" s="183"/>
      <c r="R34" s="183"/>
    </row>
    <row r="35" spans="1:18" x14ac:dyDescent="0.3">
      <c r="A35" s="194"/>
      <c r="B35" s="166" t="s">
        <v>143</v>
      </c>
      <c r="C35" s="193">
        <f>$C$42*C20</f>
        <v>1797897.0134509061</v>
      </c>
      <c r="D35" s="193">
        <f>$D$42*D20</f>
        <v>2436036.1215819796</v>
      </c>
      <c r="E35" s="193">
        <f>$E$42*E20</f>
        <v>13865611.89635933</v>
      </c>
      <c r="F35" s="193">
        <f>$F$42*F20</f>
        <v>14172323.109837076</v>
      </c>
      <c r="G35" s="193">
        <f>$G$42*G20</f>
        <v>12123378.007072451</v>
      </c>
      <c r="H35" s="193">
        <f>$H$42*H20</f>
        <v>9272514.2609805558</v>
      </c>
      <c r="I35" s="193">
        <f>$I$42*I20</f>
        <v>4988109.9888484031</v>
      </c>
      <c r="J35" s="193">
        <f>$J$42*J20</f>
        <v>1860824.5608516585</v>
      </c>
      <c r="K35" s="193">
        <f>$K$42*K20</f>
        <v>11659787.422698649</v>
      </c>
      <c r="L35" s="193">
        <f>$L$42*L20</f>
        <v>11261074.364477282</v>
      </c>
      <c r="M35" s="193">
        <f>$M$42*M20</f>
        <v>10476939.02923351</v>
      </c>
      <c r="N35" s="192">
        <f>$N$42*N20</f>
        <v>7394310.0864224089</v>
      </c>
      <c r="O35" s="191">
        <f>SUM(C35:N35)</f>
        <v>101308805.86181422</v>
      </c>
      <c r="P35" s="190">
        <f>O35/$O$42</f>
        <v>0.15705232133178643</v>
      </c>
      <c r="Q35" s="183"/>
      <c r="R35" s="183"/>
    </row>
    <row r="36" spans="1:18" x14ac:dyDescent="0.3">
      <c r="A36" s="194"/>
      <c r="B36" s="166" t="s">
        <v>141</v>
      </c>
      <c r="C36" s="193">
        <f>$C$42*C21</f>
        <v>171231.79566232988</v>
      </c>
      <c r="D36" s="193">
        <f>$D$42*D21</f>
        <v>201895.96391929223</v>
      </c>
      <c r="E36" s="193">
        <f>$E$42*E21</f>
        <v>1019377.0773691242</v>
      </c>
      <c r="F36" s="193">
        <f>$F$42*F21</f>
        <v>1249290.8839377146</v>
      </c>
      <c r="G36" s="193">
        <f>$G$42*G21</f>
        <v>469263.06114693818</v>
      </c>
      <c r="H36" s="193">
        <f>$H$42*H21</f>
        <v>460583.11315380048</v>
      </c>
      <c r="I36" s="193">
        <f>$I$42*I21</f>
        <v>132646.29275309353</v>
      </c>
      <c r="J36" s="193">
        <f>$J$42*J21</f>
        <v>130097.51797175135</v>
      </c>
      <c r="K36" s="193">
        <f>$K$42*K21</f>
        <v>399912.72583017353</v>
      </c>
      <c r="L36" s="193">
        <f>$L$42*L21</f>
        <v>488881.15498508688</v>
      </c>
      <c r="M36" s="193">
        <f>$M$42*M21</f>
        <v>364820.3727230535</v>
      </c>
      <c r="N36" s="192">
        <f>$N$42*N21</f>
        <v>384069.01875087741</v>
      </c>
      <c r="O36" s="191">
        <f>SUM(C36:N36)</f>
        <v>5472068.9782032352</v>
      </c>
      <c r="P36" s="190">
        <f>O36/$O$42</f>
        <v>8.4829855430998049E-3</v>
      </c>
      <c r="Q36" s="183"/>
      <c r="R36" s="183"/>
    </row>
    <row r="37" spans="1:18" x14ac:dyDescent="0.3">
      <c r="A37" s="194"/>
      <c r="B37" s="166" t="s">
        <v>139</v>
      </c>
      <c r="C37" s="193">
        <f>$C$42*C22</f>
        <v>2928977.0513816476</v>
      </c>
      <c r="D37" s="193">
        <f>$D$42*D22</f>
        <v>3744573.5658889236</v>
      </c>
      <c r="E37" s="193">
        <f>$E$42*E22</f>
        <v>8207760.4827506049</v>
      </c>
      <c r="F37" s="193">
        <f>$F$42*F22</f>
        <v>11564771.880086536</v>
      </c>
      <c r="G37" s="193">
        <f>$G$42*G22</f>
        <v>7989355.5981384823</v>
      </c>
      <c r="H37" s="193">
        <f>$H$42*H22</f>
        <v>6899691.0748550566</v>
      </c>
      <c r="I37" s="193">
        <f>$I$42*I22</f>
        <v>4478374.7503001774</v>
      </c>
      <c r="J37" s="193">
        <f>$J$42*J22</f>
        <v>4420262.4777306253</v>
      </c>
      <c r="K37" s="193">
        <f>$K$42*K22</f>
        <v>7625855.274895017</v>
      </c>
      <c r="L37" s="193">
        <f>$L$42*L22</f>
        <v>7819755.1843801718</v>
      </c>
      <c r="M37" s="193">
        <f>$M$42*M22</f>
        <v>9760191.5972578414</v>
      </c>
      <c r="N37" s="192">
        <f>$N$42*N22</f>
        <v>5010402.4282124164</v>
      </c>
      <c r="O37" s="191">
        <f>SUM(C37:N37)</f>
        <v>80449971.365877509</v>
      </c>
      <c r="P37" s="190">
        <f>O37/$O$42</f>
        <v>0.12471625389920028</v>
      </c>
      <c r="Q37" s="183"/>
      <c r="R37" s="183"/>
    </row>
    <row r="38" spans="1:18" x14ac:dyDescent="0.3">
      <c r="A38" s="194"/>
      <c r="B38" s="166" t="s">
        <v>137</v>
      </c>
      <c r="C38" s="193">
        <f>$C$42*C23</f>
        <v>1243159.7107259193</v>
      </c>
      <c r="D38" s="193">
        <f>$D$42*D23</f>
        <v>1145420.0094000353</v>
      </c>
      <c r="E38" s="193">
        <f>$E$42*E23</f>
        <v>1417034.7186716686</v>
      </c>
      <c r="F38" s="193">
        <f>$F$42*F23</f>
        <v>1403352.6963926721</v>
      </c>
      <c r="G38" s="193">
        <f>$G$42*G23</f>
        <v>1349483.8847681154</v>
      </c>
      <c r="H38" s="193">
        <f>$H$42*H23</f>
        <v>1957245.250472703</v>
      </c>
      <c r="I38" s="193">
        <f>$I$42*I23</f>
        <v>1550059.7992078201</v>
      </c>
      <c r="J38" s="193">
        <f>$J$42*J23</f>
        <v>1361170.266206509</v>
      </c>
      <c r="K38" s="193">
        <f>$K$42*K23</f>
        <v>1353405.6355411985</v>
      </c>
      <c r="L38" s="193">
        <f>$L$42*L23</f>
        <v>1255951.3222710432</v>
      </c>
      <c r="M38" s="193">
        <f>$M$42*M23</f>
        <v>1214829.4978774416</v>
      </c>
      <c r="N38" s="192">
        <f>$N$42*N23</f>
        <v>1159921.8737300336</v>
      </c>
      <c r="O38" s="191">
        <f>SUM(C38:N38)</f>
        <v>16411034.665265158</v>
      </c>
      <c r="P38" s="190">
        <f>O38/$O$42</f>
        <v>2.5440938403240937E-2</v>
      </c>
      <c r="Q38" s="183"/>
      <c r="R38" s="183"/>
    </row>
    <row r="39" spans="1:18" x14ac:dyDescent="0.3">
      <c r="A39" s="194"/>
      <c r="B39" s="166" t="s">
        <v>135</v>
      </c>
      <c r="C39" s="193">
        <f>$C$42*C24</f>
        <v>2746048.4965334428</v>
      </c>
      <c r="D39" s="193">
        <f>$D$42*D24</f>
        <v>2690099.9843136868</v>
      </c>
      <c r="E39" s="193">
        <f>$E$42*E24</f>
        <v>7991147.8351284573</v>
      </c>
      <c r="F39" s="193">
        <f>$F$42*F24</f>
        <v>7918691.4399906183</v>
      </c>
      <c r="G39" s="193">
        <f>$G$42*G24</f>
        <v>5931260.4354198296</v>
      </c>
      <c r="H39" s="193">
        <f>$H$42*H24</f>
        <v>5751628.8909463491</v>
      </c>
      <c r="I39" s="193">
        <f>$I$42*I24</f>
        <v>3935334.2067610645</v>
      </c>
      <c r="J39" s="193">
        <f>$J$42*J24</f>
        <v>3370125.756827713</v>
      </c>
      <c r="K39" s="193">
        <f>$K$42*K24</f>
        <v>6618001.6483288342</v>
      </c>
      <c r="L39" s="193">
        <f>$L$42*L24</f>
        <v>6649836.4265016569</v>
      </c>
      <c r="M39" s="193">
        <f>$M$42*M24</f>
        <v>6754567.6163055133</v>
      </c>
      <c r="N39" s="192">
        <f>$N$42*N24</f>
        <v>6022186.107749667</v>
      </c>
      <c r="O39" s="191">
        <f>SUM(C39:N39)</f>
        <v>66378928.844806835</v>
      </c>
      <c r="P39" s="190">
        <f>O39/$O$42</f>
        <v>0.10290285009196636</v>
      </c>
      <c r="Q39" s="183"/>
      <c r="R39" s="183"/>
    </row>
    <row r="40" spans="1:18" x14ac:dyDescent="0.3">
      <c r="A40" s="194"/>
      <c r="B40" s="166" t="s">
        <v>133</v>
      </c>
      <c r="C40" s="193">
        <f>$C$42*C25</f>
        <v>5118494.9704253804</v>
      </c>
      <c r="D40" s="193">
        <f>$D$42*D25</f>
        <v>6242593.8976256289</v>
      </c>
      <c r="E40" s="193">
        <f>$E$42*E25</f>
        <v>18423520.665579408</v>
      </c>
      <c r="F40" s="193">
        <f>$F$42*F25</f>
        <v>20271135.39166246</v>
      </c>
      <c r="G40" s="193">
        <f>$G$42*G25</f>
        <v>18280309.825890623</v>
      </c>
      <c r="H40" s="193">
        <f>$H$42*H25</f>
        <v>13216154.81682544</v>
      </c>
      <c r="I40" s="193">
        <f>$I$42*I25</f>
        <v>5831820.8590565519</v>
      </c>
      <c r="J40" s="193">
        <f>$J$42*J25</f>
        <v>5568982.6108296299</v>
      </c>
      <c r="K40" s="193">
        <f>$K$42*K25</f>
        <v>17875813.248998076</v>
      </c>
      <c r="L40" s="193">
        <f>$L$42*L25</f>
        <v>19686537.158335544</v>
      </c>
      <c r="M40" s="193">
        <f>$M$42*M25</f>
        <v>19083854.662248172</v>
      </c>
      <c r="N40" s="192">
        <f>$N$42*N25</f>
        <v>13484437.231380915</v>
      </c>
      <c r="O40" s="191">
        <f>SUM(C40:N40)</f>
        <v>163083655.33885783</v>
      </c>
      <c r="P40" s="190">
        <f>O40/$O$42</f>
        <v>0.2528177725949749</v>
      </c>
      <c r="Q40" s="183"/>
      <c r="R40" s="183"/>
    </row>
    <row r="41" spans="1:18" ht="17.25" thickBot="1" x14ac:dyDescent="0.35">
      <c r="A41" s="194"/>
      <c r="B41" s="165" t="s">
        <v>131</v>
      </c>
      <c r="C41" s="193">
        <f>$C$42*C26</f>
        <v>3761462.3121395595</v>
      </c>
      <c r="D41" s="193">
        <f>$D$42*D26</f>
        <v>4228224.3361435691</v>
      </c>
      <c r="E41" s="193">
        <f>$E$42*E26</f>
        <v>7474431.4858497381</v>
      </c>
      <c r="F41" s="193">
        <f>$F$42*F26</f>
        <v>9302707.2795018777</v>
      </c>
      <c r="G41" s="193">
        <f>$G$42*G26</f>
        <v>8310356.9698976139</v>
      </c>
      <c r="H41" s="193">
        <f>$H$42*H26</f>
        <v>7870248.1147491476</v>
      </c>
      <c r="I41" s="193">
        <f>$I$42*I26</f>
        <v>4770888.1674491195</v>
      </c>
      <c r="J41" s="193">
        <f>$J$42*J26</f>
        <v>4687270.5048954282</v>
      </c>
      <c r="K41" s="193">
        <f>$K$42*K26</f>
        <v>6955575.2450404307</v>
      </c>
      <c r="L41" s="193">
        <f>$L$42*L26</f>
        <v>6560897.0550396908</v>
      </c>
      <c r="M41" s="193">
        <f>$M$42*M26</f>
        <v>5891735.7463635588</v>
      </c>
      <c r="N41" s="192">
        <f>$N$42*N26</f>
        <v>5421586.4255817421</v>
      </c>
      <c r="O41" s="191">
        <f>SUM(C41:N41)</f>
        <v>75235383.642651469</v>
      </c>
      <c r="P41" s="190">
        <f>O41/$O$42</f>
        <v>0.11663242446547904</v>
      </c>
      <c r="Q41" s="183"/>
      <c r="R41" s="183"/>
    </row>
    <row r="42" spans="1:18" s="107" customFormat="1" ht="20.25" customHeight="1" thickBot="1" x14ac:dyDescent="0.35">
      <c r="A42" s="188"/>
      <c r="B42" s="187" t="s">
        <v>163</v>
      </c>
      <c r="C42" s="186">
        <f>$O$42*C15</f>
        <v>23949961.776160035</v>
      </c>
      <c r="D42" s="186">
        <f>$O$42*D15</f>
        <v>26875394.826776911</v>
      </c>
      <c r="E42" s="186">
        <f>$O$42*E15</f>
        <v>71925806.853501856</v>
      </c>
      <c r="F42" s="186">
        <f>$O$42*F15</f>
        <v>83644545.070766523</v>
      </c>
      <c r="G42" s="186">
        <f>$O$42*G15</f>
        <v>67827119.636966065</v>
      </c>
      <c r="H42" s="186">
        <f>$O$42*H15</f>
        <v>58521573.005753376</v>
      </c>
      <c r="I42" s="186">
        <f>$O$42*I15</f>
        <v>33008071.774182405</v>
      </c>
      <c r="J42" s="186">
        <f>$O$42*J15</f>
        <v>30222273.391472355</v>
      </c>
      <c r="K42" s="186">
        <f>$O$42*K15</f>
        <v>64515916.654786177</v>
      </c>
      <c r="L42" s="186">
        <f>$O$42*L15</f>
        <v>69295302.121872768</v>
      </c>
      <c r="M42" s="186">
        <f>$O$42*M15</f>
        <v>64717697.425708421</v>
      </c>
      <c r="N42" s="186">
        <f>$O$42*N15</f>
        <v>50560383.652053177</v>
      </c>
      <c r="O42" s="185">
        <f>C30*103%</f>
        <v>645064046.19000006</v>
      </c>
      <c r="P42" s="184">
        <f>SUM(P33:P41)</f>
        <v>1</v>
      </c>
      <c r="Q42" s="183"/>
      <c r="R42" s="183"/>
    </row>
    <row r="43" spans="1:18" s="164" customFormat="1" ht="20.25" customHeight="1" x14ac:dyDescent="0.3">
      <c r="A43" s="169"/>
      <c r="B43" s="170"/>
      <c r="C43" s="181"/>
      <c r="D43" s="182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>
        <f>O42*1.1</f>
        <v>709570450.80900013</v>
      </c>
      <c r="P43" s="167"/>
    </row>
    <row r="44" spans="1:18" s="164" customFormat="1" ht="20.100000000000001" customHeight="1" x14ac:dyDescent="0.3">
      <c r="A44" s="169"/>
      <c r="B44" s="174" t="s">
        <v>162</v>
      </c>
      <c r="C44" s="173"/>
      <c r="D44" s="172">
        <v>0</v>
      </c>
      <c r="E44" s="179" t="s">
        <v>182</v>
      </c>
      <c r="F44" s="179"/>
      <c r="G44" s="179"/>
      <c r="H44" s="179"/>
      <c r="I44" s="179"/>
    </row>
    <row r="45" spans="1:18" s="164" customFormat="1" ht="20.100000000000001" customHeight="1" x14ac:dyDescent="0.3">
      <c r="A45" s="169"/>
      <c r="B45" s="177" t="s">
        <v>161</v>
      </c>
      <c r="C45" s="176"/>
      <c r="D45" s="175">
        <f>O42+D44</f>
        <v>645064046.19000006</v>
      </c>
      <c r="E45" s="180" t="s">
        <v>160</v>
      </c>
      <c r="F45" s="180"/>
      <c r="G45" s="180"/>
      <c r="H45" s="180"/>
      <c r="I45" s="180"/>
      <c r="O45" s="167"/>
    </row>
    <row r="46" spans="1:18" s="164" customFormat="1" ht="20.100000000000001" customHeight="1" x14ac:dyDescent="0.3">
      <c r="A46" s="169"/>
      <c r="B46" s="174" t="s">
        <v>159</v>
      </c>
      <c r="C46" s="173"/>
      <c r="D46" s="172">
        <f>O42*25%</f>
        <v>161266011.54750001</v>
      </c>
      <c r="E46" s="180" t="s">
        <v>158</v>
      </c>
      <c r="F46" s="180"/>
      <c r="G46" s="180"/>
      <c r="H46" s="180"/>
      <c r="I46" s="180"/>
    </row>
    <row r="47" spans="1:18" s="164" customFormat="1" ht="20.100000000000001" customHeight="1" x14ac:dyDescent="0.3">
      <c r="A47" s="169"/>
      <c r="B47" s="174" t="s">
        <v>157</v>
      </c>
      <c r="C47" s="173"/>
      <c r="D47" s="172">
        <v>0</v>
      </c>
      <c r="E47" s="179" t="s">
        <v>156</v>
      </c>
      <c r="F47" s="179"/>
      <c r="G47" s="179"/>
      <c r="H47" s="179"/>
      <c r="I47" s="179"/>
    </row>
    <row r="48" spans="1:18" s="164" customFormat="1" ht="20.100000000000001" customHeight="1" x14ac:dyDescent="0.3">
      <c r="A48" s="169"/>
      <c r="B48" s="177" t="s">
        <v>155</v>
      </c>
      <c r="C48" s="176"/>
      <c r="D48" s="175">
        <f>D46+D47</f>
        <v>161266011.54750001</v>
      </c>
      <c r="E48" s="171" t="s">
        <v>154</v>
      </c>
      <c r="F48" s="171"/>
      <c r="G48" s="171"/>
      <c r="H48" s="171"/>
      <c r="I48" s="171"/>
    </row>
    <row r="49" spans="1:16" s="164" customFormat="1" ht="20.100000000000001" customHeight="1" x14ac:dyDescent="0.3">
      <c r="A49" s="169"/>
      <c r="B49" s="174" t="s">
        <v>153</v>
      </c>
      <c r="C49" s="173"/>
      <c r="D49" s="172">
        <f>O42*0.5%</f>
        <v>3225320.2309500002</v>
      </c>
      <c r="E49" s="171" t="s">
        <v>152</v>
      </c>
      <c r="F49" s="171"/>
      <c r="G49" s="171"/>
      <c r="H49" s="171"/>
      <c r="I49" s="171"/>
    </row>
    <row r="50" spans="1:16" s="164" customFormat="1" ht="20.25" customHeight="1" x14ac:dyDescent="0.3">
      <c r="A50" s="169"/>
      <c r="B50" s="170"/>
      <c r="C50" s="168"/>
      <c r="D50" s="168"/>
      <c r="E50" s="168"/>
      <c r="F50" s="168"/>
      <c r="G50" s="168"/>
      <c r="H50" s="168"/>
      <c r="I50" s="168"/>
      <c r="J50" s="168"/>
      <c r="K50" s="168"/>
      <c r="L50" s="168"/>
    </row>
    <row r="51" spans="1:16" x14ac:dyDescent="0.3">
      <c r="A51" s="107"/>
      <c r="B51" s="107"/>
      <c r="C51" s="160"/>
      <c r="D51" s="160"/>
      <c r="E51" s="107"/>
      <c r="F51" s="107"/>
      <c r="G51" s="107"/>
      <c r="H51" s="107"/>
      <c r="I51" s="107"/>
      <c r="J51" s="162"/>
      <c r="K51" s="163"/>
      <c r="L51" s="162"/>
      <c r="M51" s="161"/>
      <c r="N51" s="160"/>
      <c r="O51" s="107"/>
      <c r="P51" s="107"/>
    </row>
    <row r="52" spans="1:16" ht="17.25" thickBot="1" x14ac:dyDescent="0.35">
      <c r="A52" s="127" t="s">
        <v>151</v>
      </c>
      <c r="B52" s="159"/>
      <c r="C52" s="159"/>
    </row>
    <row r="53" spans="1:16" x14ac:dyDescent="0.3">
      <c r="A53" s="158"/>
      <c r="B53" s="157"/>
      <c r="C53" s="156" t="s">
        <v>150</v>
      </c>
      <c r="D53" s="156" t="s">
        <v>149</v>
      </c>
      <c r="E53" s="156" t="s">
        <v>148</v>
      </c>
      <c r="F53" s="156" t="s">
        <v>46</v>
      </c>
      <c r="G53" s="156" t="s">
        <v>44</v>
      </c>
      <c r="H53" s="156" t="s">
        <v>42</v>
      </c>
      <c r="I53" s="156" t="s">
        <v>40</v>
      </c>
      <c r="J53" s="156" t="s">
        <v>38</v>
      </c>
      <c r="K53" s="156" t="s">
        <v>36</v>
      </c>
      <c r="L53" s="156" t="s">
        <v>34</v>
      </c>
      <c r="M53" s="156" t="s">
        <v>32</v>
      </c>
      <c r="N53" s="155" t="s">
        <v>27</v>
      </c>
      <c r="O53" s="154" t="s">
        <v>147</v>
      </c>
      <c r="P53" s="153"/>
    </row>
    <row r="54" spans="1:16" x14ac:dyDescent="0.3">
      <c r="A54" s="152" t="s">
        <v>146</v>
      </c>
      <c r="B54" s="151"/>
      <c r="C54" s="150">
        <f>C33*15%</f>
        <v>404279.63008145563</v>
      </c>
      <c r="D54" s="150">
        <f>D33*15%</f>
        <v>380519.05078130233</v>
      </c>
      <c r="E54" s="150">
        <f>E33*15%</f>
        <v>714564.73223672039</v>
      </c>
      <c r="F54" s="150">
        <f>F33*15%</f>
        <v>907548.33850803715</v>
      </c>
      <c r="G54" s="150">
        <f>G33*15%</f>
        <v>859136.14650900883</v>
      </c>
      <c r="H54" s="150">
        <f>H33*15%</f>
        <v>651179.94128195406</v>
      </c>
      <c r="I54" s="150">
        <f>I33*15%</f>
        <v>360168.80685836665</v>
      </c>
      <c r="J54" s="150">
        <f>J33*15%</f>
        <v>504415.34574576112</v>
      </c>
      <c r="K54" s="150">
        <f>K33*15%</f>
        <v>665975.39208819077</v>
      </c>
      <c r="L54" s="150">
        <f>L33*15%</f>
        <v>599087.64435993833</v>
      </c>
      <c r="M54" s="150">
        <f>M33*15%</f>
        <v>677832.64313885954</v>
      </c>
      <c r="N54" s="149">
        <f>N33*15%</f>
        <v>591828.92888432846</v>
      </c>
      <c r="O54" s="148">
        <f>SUM(C54:N54)</f>
        <v>7316536.6004739227</v>
      </c>
      <c r="P54" s="147" t="s">
        <v>142</v>
      </c>
    </row>
    <row r="55" spans="1:16" x14ac:dyDescent="0.3">
      <c r="A55" s="141" t="s">
        <v>145</v>
      </c>
      <c r="B55" s="140"/>
      <c r="C55" s="146">
        <f>C34*15%</f>
        <v>523123.93379467179</v>
      </c>
      <c r="D55" s="146">
        <f>D34*15%</f>
        <v>547463.59140426712</v>
      </c>
      <c r="E55" s="146">
        <f>E34*15%</f>
        <v>1314473.6715323078</v>
      </c>
      <c r="F55" s="146">
        <f>F34*15%</f>
        <v>1756792.5198955983</v>
      </c>
      <c r="G55" s="146">
        <f>G34*15%</f>
        <v>1146920.6316857927</v>
      </c>
      <c r="H55" s="146">
        <f>H34*15%</f>
        <v>1312846.1812835946</v>
      </c>
      <c r="I55" s="146">
        <f>I34*15%</f>
        <v>737956.84961255977</v>
      </c>
      <c r="J55" s="146">
        <f>J34*15%</f>
        <v>819115.60867809493</v>
      </c>
      <c r="K55" s="146">
        <f>K34*15%</f>
        <v>1138159.4259298786</v>
      </c>
      <c r="L55" s="146">
        <f>L34*15%</f>
        <v>1736767.7740224053</v>
      </c>
      <c r="M55" s="146">
        <f>M34*15%</f>
        <v>997781.19241603976</v>
      </c>
      <c r="N55" s="145">
        <f>N34*15%</f>
        <v>1160691.6431494392</v>
      </c>
      <c r="O55" s="137">
        <f>SUM(C55:N55)</f>
        <v>13192093.02340465</v>
      </c>
      <c r="P55" s="142" t="s">
        <v>144</v>
      </c>
    </row>
    <row r="56" spans="1:16" x14ac:dyDescent="0.3">
      <c r="A56" s="141" t="s">
        <v>143</v>
      </c>
      <c r="B56" s="140"/>
      <c r="C56" s="146">
        <f>C35*15%</f>
        <v>269684.5520176359</v>
      </c>
      <c r="D56" s="146">
        <f>D35*15%</f>
        <v>365405.41823729692</v>
      </c>
      <c r="E56" s="146">
        <f>E35*15%</f>
        <v>2079841.7844538994</v>
      </c>
      <c r="F56" s="146">
        <f>F35*15%</f>
        <v>2125848.4664755613</v>
      </c>
      <c r="G56" s="146">
        <f>G35*15%</f>
        <v>1818506.7010608676</v>
      </c>
      <c r="H56" s="146">
        <f>H35*15%</f>
        <v>1390877.1391470833</v>
      </c>
      <c r="I56" s="146">
        <f>I35*15%</f>
        <v>748216.49832726049</v>
      </c>
      <c r="J56" s="146">
        <f>J35*15%</f>
        <v>279123.68412774877</v>
      </c>
      <c r="K56" s="146">
        <f>K35*15%</f>
        <v>1748968.1134047972</v>
      </c>
      <c r="L56" s="146">
        <f>L35*15%</f>
        <v>1689161.1546715924</v>
      </c>
      <c r="M56" s="146">
        <f>M35*15%</f>
        <v>1571540.8543850265</v>
      </c>
      <c r="N56" s="145">
        <f>N35*15%</f>
        <v>1109146.5129633613</v>
      </c>
      <c r="O56" s="137">
        <f>SUM(C56:N56)</f>
        <v>15196320.879272131</v>
      </c>
      <c r="P56" s="142" t="s">
        <v>142</v>
      </c>
    </row>
    <row r="57" spans="1:16" x14ac:dyDescent="0.3">
      <c r="A57" s="141" t="s">
        <v>141</v>
      </c>
      <c r="B57" s="140"/>
      <c r="C57" s="146">
        <f>200000/1.1</f>
        <v>181818.18181818179</v>
      </c>
      <c r="D57" s="146">
        <f>200000/1.1</f>
        <v>181818.18181818179</v>
      </c>
      <c r="E57" s="146">
        <f>200000/1.1</f>
        <v>181818.18181818179</v>
      </c>
      <c r="F57" s="146">
        <f>200000/1.1</f>
        <v>181818.18181818179</v>
      </c>
      <c r="G57" s="146">
        <f>200000/1.1</f>
        <v>181818.18181818179</v>
      </c>
      <c r="H57" s="146">
        <f>200000/1.1</f>
        <v>181818.18181818179</v>
      </c>
      <c r="I57" s="146">
        <f>200000/1.1</f>
        <v>181818.18181818179</v>
      </c>
      <c r="J57" s="146">
        <f>200000/1.1</f>
        <v>181818.18181818179</v>
      </c>
      <c r="K57" s="146">
        <f>200000/1.1</f>
        <v>181818.18181818179</v>
      </c>
      <c r="L57" s="146">
        <f>200000/1.1</f>
        <v>181818.18181818179</v>
      </c>
      <c r="M57" s="146">
        <f>200000/1.1</f>
        <v>181818.18181818179</v>
      </c>
      <c r="N57" s="146">
        <f>200000/1.1</f>
        <v>181818.18181818179</v>
      </c>
      <c r="O57" s="137">
        <f>SUM(C57:N57)</f>
        <v>2181818.1818181821</v>
      </c>
      <c r="P57" s="142" t="s">
        <v>140</v>
      </c>
    </row>
    <row r="58" spans="1:16" x14ac:dyDescent="0.3">
      <c r="A58" s="141" t="s">
        <v>139</v>
      </c>
      <c r="B58" s="140"/>
      <c r="C58" s="146">
        <f>C37*15%</f>
        <v>439346.55770724715</v>
      </c>
      <c r="D58" s="146">
        <f>D37*15%</f>
        <v>561686.03488333849</v>
      </c>
      <c r="E58" s="146">
        <f>E37*15%</f>
        <v>1231164.0724125907</v>
      </c>
      <c r="F58" s="146">
        <f>F37*15%</f>
        <v>1734715.7820129802</v>
      </c>
      <c r="G58" s="146">
        <f>G37*15%</f>
        <v>1198403.3397207723</v>
      </c>
      <c r="H58" s="146">
        <f>H37*15%</f>
        <v>1034953.6612282584</v>
      </c>
      <c r="I58" s="146">
        <f>I37*15%</f>
        <v>671756.21254502656</v>
      </c>
      <c r="J58" s="146">
        <f>J37*15%</f>
        <v>663039.37165959377</v>
      </c>
      <c r="K58" s="146">
        <f>K37*15%</f>
        <v>1143878.2912342525</v>
      </c>
      <c r="L58" s="146">
        <f>L37*15%</f>
        <v>1172963.2776570257</v>
      </c>
      <c r="M58" s="146">
        <f>M37*15%</f>
        <v>1464028.7395886763</v>
      </c>
      <c r="N58" s="145">
        <f>N37*15%</f>
        <v>751560.36423186248</v>
      </c>
      <c r="O58" s="137">
        <f>SUM(C58:N58)</f>
        <v>12067495.704881625</v>
      </c>
      <c r="P58" s="142" t="s">
        <v>138</v>
      </c>
    </row>
    <row r="59" spans="1:16" x14ac:dyDescent="0.3">
      <c r="A59" s="141" t="s">
        <v>137</v>
      </c>
      <c r="B59" s="140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3"/>
      <c r="O59" s="137">
        <v>2400000</v>
      </c>
      <c r="P59" s="142" t="s">
        <v>136</v>
      </c>
    </row>
    <row r="60" spans="1:16" x14ac:dyDescent="0.3">
      <c r="A60" s="141" t="s">
        <v>135</v>
      </c>
      <c r="B60" s="140"/>
      <c r="C60" s="146">
        <f>C39*15%</f>
        <v>411907.27448001638</v>
      </c>
      <c r="D60" s="146">
        <f>D39*15%</f>
        <v>403514.99764705304</v>
      </c>
      <c r="E60" s="146">
        <f>E39*15%</f>
        <v>1198672.1752692685</v>
      </c>
      <c r="F60" s="146">
        <f>F39*15%</f>
        <v>1187803.7159985928</v>
      </c>
      <c r="G60" s="146">
        <f>G39*15%</f>
        <v>889689.06531297439</v>
      </c>
      <c r="H60" s="146">
        <f>H39*15%</f>
        <v>862744.33364195237</v>
      </c>
      <c r="I60" s="146">
        <f>I39*15%</f>
        <v>590300.13101415965</v>
      </c>
      <c r="J60" s="146">
        <f>J39*15%</f>
        <v>505518.86352415691</v>
      </c>
      <c r="K60" s="146">
        <f>K39*15%</f>
        <v>992700.24724932504</v>
      </c>
      <c r="L60" s="146">
        <f>L39*15%</f>
        <v>997475.46397524851</v>
      </c>
      <c r="M60" s="146">
        <f>M39*15%</f>
        <v>1013185.1424458269</v>
      </c>
      <c r="N60" s="145">
        <f>N39*15%</f>
        <v>903327.91616244998</v>
      </c>
      <c r="O60" s="137">
        <f>SUM(C60:N60)</f>
        <v>9956839.3267210238</v>
      </c>
      <c r="P60" s="142" t="s">
        <v>134</v>
      </c>
    </row>
    <row r="61" spans="1:16" x14ac:dyDescent="0.3">
      <c r="A61" s="141" t="s">
        <v>133</v>
      </c>
      <c r="B61" s="140"/>
      <c r="C61" s="146">
        <f>C40*15%</f>
        <v>767774.24556380708</v>
      </c>
      <c r="D61" s="146">
        <f>D40*15%</f>
        <v>936389.08464384428</v>
      </c>
      <c r="E61" s="146">
        <f>E40*15%</f>
        <v>2763528.0998369111</v>
      </c>
      <c r="F61" s="146">
        <f>F40*15%</f>
        <v>3040670.3087493689</v>
      </c>
      <c r="G61" s="146">
        <f>G40*15%</f>
        <v>2742046.4738835935</v>
      </c>
      <c r="H61" s="146">
        <f>H40*15%</f>
        <v>1982423.2225238159</v>
      </c>
      <c r="I61" s="146">
        <f>I40*15%</f>
        <v>874773.12885848281</v>
      </c>
      <c r="J61" s="146">
        <f>J40*15%</f>
        <v>835347.39162444451</v>
      </c>
      <c r="K61" s="146">
        <f>K40*15%</f>
        <v>2681371.9873497114</v>
      </c>
      <c r="L61" s="146">
        <f>L40*15%</f>
        <v>2952980.5737503315</v>
      </c>
      <c r="M61" s="146">
        <f>M40*15%</f>
        <v>2862578.1993372259</v>
      </c>
      <c r="N61" s="145">
        <f>N40*15%</f>
        <v>2022665.5847071372</v>
      </c>
      <c r="O61" s="137">
        <f>SUM(C61:N61)</f>
        <v>24462548.300828673</v>
      </c>
      <c r="P61" s="142" t="s">
        <v>132</v>
      </c>
    </row>
    <row r="62" spans="1:16" x14ac:dyDescent="0.3">
      <c r="A62" s="141" t="s">
        <v>131</v>
      </c>
      <c r="B62" s="140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3"/>
      <c r="O62" s="137">
        <v>4363636</v>
      </c>
      <c r="P62" s="142" t="s">
        <v>130</v>
      </c>
    </row>
    <row r="63" spans="1:16" x14ac:dyDescent="0.3">
      <c r="A63" s="141" t="s">
        <v>129</v>
      </c>
      <c r="B63" s="140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8"/>
      <c r="O63" s="137">
        <v>11454545</v>
      </c>
      <c r="P63" s="136"/>
    </row>
    <row r="64" spans="1:16" ht="17.25" thickBot="1" x14ac:dyDescent="0.35">
      <c r="A64" s="107"/>
      <c r="B64" s="106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4">
        <f>SUM(O54:O63)</f>
        <v>102591833.01740021</v>
      </c>
    </row>
    <row r="65" spans="1:16" x14ac:dyDescent="0.3">
      <c r="O65" s="239">
        <f>O64*1.1</f>
        <v>112851016.31914024</v>
      </c>
    </row>
    <row r="66" spans="1:16" x14ac:dyDescent="0.3">
      <c r="A66" s="127" t="s">
        <v>128</v>
      </c>
    </row>
    <row r="68" spans="1:16" x14ac:dyDescent="0.3">
      <c r="B68" s="123"/>
      <c r="C68" s="123" t="s">
        <v>127</v>
      </c>
      <c r="D68" s="133" t="s">
        <v>126</v>
      </c>
      <c r="E68" s="133" t="s">
        <v>125</v>
      </c>
    </row>
    <row r="69" spans="1:16" x14ac:dyDescent="0.3">
      <c r="B69" s="123" t="s">
        <v>124</v>
      </c>
      <c r="C69" s="122">
        <v>19636364</v>
      </c>
      <c r="D69" s="132">
        <f>O58</f>
        <v>12067495.704881625</v>
      </c>
      <c r="E69" s="131">
        <f>D69-C69</f>
        <v>-7568868.2951183748</v>
      </c>
    </row>
    <row r="70" spans="1:16" x14ac:dyDescent="0.3">
      <c r="B70" s="123" t="s">
        <v>123</v>
      </c>
      <c r="C70" s="122">
        <v>28636364</v>
      </c>
      <c r="D70" s="132">
        <f>O55</f>
        <v>13192093.02340465</v>
      </c>
      <c r="E70" s="131">
        <f>D70-C70</f>
        <v>-15444270.97659535</v>
      </c>
    </row>
    <row r="71" spans="1:16" x14ac:dyDescent="0.3">
      <c r="B71" s="123" t="s">
        <v>122</v>
      </c>
      <c r="C71" s="122">
        <v>9545455</v>
      </c>
      <c r="D71" s="132">
        <f>O56</f>
        <v>15196320.879272131</v>
      </c>
      <c r="E71" s="131">
        <f>D71-C71</f>
        <v>5650865.8792721312</v>
      </c>
    </row>
    <row r="72" spans="1:16" x14ac:dyDescent="0.3">
      <c r="B72" s="123" t="s">
        <v>121</v>
      </c>
      <c r="C72" s="122">
        <v>4772727</v>
      </c>
      <c r="D72" s="132">
        <f>O60</f>
        <v>9956839.3267210238</v>
      </c>
      <c r="E72" s="131">
        <f>D72-C72</f>
        <v>5184112.3267210238</v>
      </c>
    </row>
    <row r="73" spans="1:16" x14ac:dyDescent="0.3">
      <c r="B73" s="123" t="s">
        <v>120</v>
      </c>
      <c r="C73" s="122">
        <v>14318182</v>
      </c>
      <c r="D73" s="132">
        <f>O61</f>
        <v>24462548.300828673</v>
      </c>
      <c r="E73" s="131">
        <f>D73-C73</f>
        <v>10144366.300828673</v>
      </c>
    </row>
    <row r="74" spans="1:16" x14ac:dyDescent="0.3">
      <c r="B74" s="123" t="s">
        <v>119</v>
      </c>
      <c r="C74" s="122">
        <v>1789091</v>
      </c>
      <c r="D74" s="132">
        <f>O57</f>
        <v>2181818.1818181821</v>
      </c>
      <c r="E74" s="131">
        <f>D74-C74</f>
        <v>392727.18181818211</v>
      </c>
    </row>
    <row r="75" spans="1:16" x14ac:dyDescent="0.3">
      <c r="B75" s="123" t="s">
        <v>118</v>
      </c>
      <c r="C75" s="122">
        <f>E34*5%</f>
        <v>438157.89051076933</v>
      </c>
      <c r="D75" s="132">
        <f>O54</f>
        <v>7316536.6004739227</v>
      </c>
      <c r="E75" s="131">
        <f>D75-C75</f>
        <v>6878378.7099631531</v>
      </c>
    </row>
    <row r="76" spans="1:16" x14ac:dyDescent="0.3">
      <c r="B76" s="123" t="s">
        <v>117</v>
      </c>
      <c r="C76" s="122">
        <v>2400000</v>
      </c>
      <c r="D76" s="132">
        <f>O59</f>
        <v>2400000</v>
      </c>
      <c r="E76" s="131">
        <f>D76-C76</f>
        <v>0</v>
      </c>
    </row>
    <row r="77" spans="1:16" x14ac:dyDescent="0.3">
      <c r="B77" s="123" t="s">
        <v>116</v>
      </c>
      <c r="C77" s="122">
        <v>4363636</v>
      </c>
      <c r="D77" s="132">
        <f>O62</f>
        <v>4363636</v>
      </c>
      <c r="E77" s="131">
        <f>D77-C77</f>
        <v>0</v>
      </c>
    </row>
    <row r="78" spans="1:16" x14ac:dyDescent="0.3">
      <c r="B78" s="123" t="s">
        <v>115</v>
      </c>
      <c r="C78" s="122">
        <v>11454545</v>
      </c>
      <c r="D78" s="132">
        <f>O63</f>
        <v>11454545</v>
      </c>
      <c r="E78" s="131">
        <f>D78-C78</f>
        <v>0</v>
      </c>
      <c r="K78" s="130" t="s">
        <v>114</v>
      </c>
      <c r="L78" s="130"/>
      <c r="M78" s="130"/>
    </row>
    <row r="79" spans="1:16" x14ac:dyDescent="0.3">
      <c r="B79" s="120"/>
      <c r="C79" s="119">
        <f>SUM(C69:C78)</f>
        <v>97354521.890510768</v>
      </c>
      <c r="D79" s="129">
        <f>SUM(D69:D78)</f>
        <v>102591833.01740022</v>
      </c>
      <c r="E79" s="129">
        <f>D79-C79</f>
        <v>5237311.1268894523</v>
      </c>
      <c r="K79" t="s">
        <v>113</v>
      </c>
      <c r="L79" s="105">
        <v>6400000</v>
      </c>
      <c r="M79" s="105"/>
      <c r="O79" s="2">
        <f>L79+L80</f>
        <v>12800000</v>
      </c>
      <c r="P79" s="128">
        <f>O79*1.1</f>
        <v>14080000.000000002</v>
      </c>
    </row>
    <row r="80" spans="1:16" x14ac:dyDescent="0.3">
      <c r="K80" t="s">
        <v>113</v>
      </c>
      <c r="L80" s="105">
        <v>6400000</v>
      </c>
      <c r="M80" s="105"/>
      <c r="O80" s="2">
        <f>O79*30%</f>
        <v>3840000</v>
      </c>
      <c r="P80" s="128">
        <f>P79-O79</f>
        <v>1280000.0000000019</v>
      </c>
    </row>
    <row r="81" spans="1:14" x14ac:dyDescent="0.3">
      <c r="K81" t="s">
        <v>110</v>
      </c>
      <c r="L81" s="105">
        <f>SUM(L79:L80)</f>
        <v>12800000</v>
      </c>
      <c r="M81" s="105"/>
      <c r="N81" t="s">
        <v>112</v>
      </c>
    </row>
    <row r="82" spans="1:14" x14ac:dyDescent="0.3">
      <c r="A82" s="127" t="s">
        <v>111</v>
      </c>
      <c r="K82" t="s">
        <v>108</v>
      </c>
      <c r="L82" s="105">
        <f>L81*30%</f>
        <v>3840000</v>
      </c>
      <c r="M82" s="105">
        <f>L81*1.1</f>
        <v>14080000.000000002</v>
      </c>
      <c r="N82" s="2">
        <f>L81-L83</f>
        <v>7679999.9999999981</v>
      </c>
    </row>
    <row r="83" spans="1:14" x14ac:dyDescent="0.3">
      <c r="A83" s="120" t="s">
        <v>95</v>
      </c>
      <c r="B83" s="120" t="s">
        <v>94</v>
      </c>
      <c r="C83" s="118" t="s">
        <v>109</v>
      </c>
      <c r="D83" s="118"/>
      <c r="E83" s="118"/>
      <c r="F83" s="118"/>
      <c r="K83" t="s">
        <v>88</v>
      </c>
      <c r="L83" s="105">
        <f>M83+L82</f>
        <v>5120000.0000000019</v>
      </c>
      <c r="M83" s="105">
        <f>M82-L81</f>
        <v>1280000.0000000019</v>
      </c>
    </row>
    <row r="84" spans="1:14" x14ac:dyDescent="0.3">
      <c r="A84" s="123" t="s">
        <v>105</v>
      </c>
      <c r="B84" s="122">
        <v>3200000</v>
      </c>
      <c r="C84" s="121" t="s">
        <v>107</v>
      </c>
      <c r="D84" s="121"/>
      <c r="E84" s="121"/>
      <c r="F84" s="121"/>
      <c r="G84" t="s">
        <v>106</v>
      </c>
      <c r="M84" s="105"/>
    </row>
    <row r="85" spans="1:14" x14ac:dyDescent="0.3">
      <c r="A85" s="123" t="s">
        <v>105</v>
      </c>
      <c r="B85" s="122">
        <v>3000000</v>
      </c>
      <c r="C85" s="121" t="s">
        <v>104</v>
      </c>
      <c r="D85" s="121"/>
      <c r="E85" s="121"/>
      <c r="F85" s="121"/>
    </row>
    <row r="86" spans="1:14" x14ac:dyDescent="0.3">
      <c r="A86" s="123" t="s">
        <v>103</v>
      </c>
      <c r="B86" s="122">
        <f>30000*9*12</f>
        <v>3240000</v>
      </c>
      <c r="C86" s="121" t="s">
        <v>102</v>
      </c>
      <c r="D86" s="121"/>
      <c r="E86" s="121"/>
      <c r="F86" s="121"/>
      <c r="G86">
        <f>30000*9*12</f>
        <v>3240000</v>
      </c>
    </row>
    <row r="87" spans="1:14" x14ac:dyDescent="0.3">
      <c r="A87" s="123" t="s">
        <v>101</v>
      </c>
      <c r="B87" s="122">
        <f>75000*2*12</f>
        <v>1800000</v>
      </c>
      <c r="C87" s="121" t="s">
        <v>100</v>
      </c>
      <c r="D87" s="121"/>
      <c r="E87" s="121"/>
      <c r="F87" s="121"/>
      <c r="G87">
        <f>75000*2*12</f>
        <v>1800000</v>
      </c>
    </row>
    <row r="88" spans="1:14" ht="48" customHeight="1" x14ac:dyDescent="0.3">
      <c r="A88" s="123" t="s">
        <v>99</v>
      </c>
      <c r="B88" s="122">
        <v>5120000</v>
      </c>
      <c r="C88" s="126" t="s">
        <v>183</v>
      </c>
      <c r="D88" s="121"/>
      <c r="E88" s="121"/>
      <c r="F88" s="121"/>
    </row>
    <row r="89" spans="1:14" x14ac:dyDescent="0.3">
      <c r="A89" s="123" t="s">
        <v>98</v>
      </c>
      <c r="B89" s="125">
        <f>O42*1.3%</f>
        <v>8385832.6004700018</v>
      </c>
      <c r="C89" s="121" t="s">
        <v>97</v>
      </c>
      <c r="D89" s="121"/>
      <c r="E89" s="121"/>
      <c r="F89" s="121"/>
    </row>
    <row r="90" spans="1:14" x14ac:dyDescent="0.3">
      <c r="A90" s="120" t="s">
        <v>88</v>
      </c>
      <c r="B90" s="119">
        <f>SUM(B84:B89)</f>
        <v>24745832.600470003</v>
      </c>
      <c r="C90" s="118"/>
      <c r="D90" s="118"/>
      <c r="E90" s="118"/>
      <c r="F90" s="118"/>
    </row>
    <row r="91" spans="1:14" x14ac:dyDescent="0.3">
      <c r="H91" s="105"/>
    </row>
    <row r="92" spans="1:14" x14ac:dyDescent="0.3">
      <c r="A92" s="124" t="s">
        <v>96</v>
      </c>
      <c r="B92" s="124"/>
    </row>
    <row r="94" spans="1:14" x14ac:dyDescent="0.3">
      <c r="A94" s="120" t="s">
        <v>95</v>
      </c>
      <c r="B94" s="120" t="s">
        <v>94</v>
      </c>
      <c r="C94" s="118" t="s">
        <v>93</v>
      </c>
      <c r="D94" s="118"/>
      <c r="E94" s="118"/>
      <c r="F94" s="118"/>
    </row>
    <row r="95" spans="1:14" x14ac:dyDescent="0.3">
      <c r="A95" s="123" t="s">
        <v>92</v>
      </c>
      <c r="B95" s="122">
        <f>100000*12</f>
        <v>1200000</v>
      </c>
      <c r="C95" s="121" t="s">
        <v>91</v>
      </c>
      <c r="D95" s="121"/>
      <c r="E95" s="121"/>
      <c r="F95" s="121"/>
    </row>
    <row r="96" spans="1:14" x14ac:dyDescent="0.3">
      <c r="A96" s="123" t="s">
        <v>90</v>
      </c>
      <c r="B96" s="122">
        <f>5*8000*12</f>
        <v>480000</v>
      </c>
      <c r="C96" s="121" t="s">
        <v>187</v>
      </c>
      <c r="D96" s="121"/>
      <c r="E96" s="121"/>
      <c r="F96" s="121"/>
    </row>
    <row r="97" spans="1:6" x14ac:dyDescent="0.3">
      <c r="A97" s="123" t="s">
        <v>89</v>
      </c>
      <c r="B97" s="122">
        <f>8000*42</f>
        <v>336000</v>
      </c>
      <c r="C97" s="121" t="s">
        <v>186</v>
      </c>
      <c r="D97" s="121"/>
      <c r="E97" s="121"/>
      <c r="F97" s="121"/>
    </row>
    <row r="98" spans="1:6" x14ac:dyDescent="0.3">
      <c r="A98" s="120" t="s">
        <v>88</v>
      </c>
      <c r="B98" s="119">
        <f>SUM(B95:B97)</f>
        <v>2016000</v>
      </c>
      <c r="C98" s="118"/>
      <c r="D98" s="118"/>
      <c r="E98" s="118"/>
      <c r="F98" s="118"/>
    </row>
    <row r="99" spans="1:6" ht="17.25" thickBot="1" x14ac:dyDescent="0.35"/>
    <row r="100" spans="1:6" x14ac:dyDescent="0.3">
      <c r="A100" s="117" t="s">
        <v>184</v>
      </c>
      <c r="B100" s="116">
        <f>O42</f>
        <v>645064046.19000006</v>
      </c>
      <c r="C100" s="115"/>
      <c r="D100" s="115"/>
    </row>
    <row r="101" spans="1:6" x14ac:dyDescent="0.3">
      <c r="A101" s="114" t="s">
        <v>185</v>
      </c>
      <c r="B101" s="113">
        <f>O14</f>
        <v>621583872</v>
      </c>
      <c r="C101" s="108"/>
      <c r="D101" s="112"/>
      <c r="E101" s="107"/>
      <c r="F101" s="107"/>
    </row>
    <row r="102" spans="1:6" ht="17.25" thickBot="1" x14ac:dyDescent="0.35">
      <c r="A102" s="111" t="s">
        <v>87</v>
      </c>
      <c r="B102" s="110">
        <f>B100-B101</f>
        <v>23480174.190000057</v>
      </c>
      <c r="C102" s="107"/>
      <c r="D102" s="107"/>
      <c r="E102" s="107"/>
      <c r="F102" s="107"/>
    </row>
    <row r="103" spans="1:6" x14ac:dyDescent="0.3">
      <c r="A103" s="107"/>
      <c r="B103" s="106"/>
      <c r="C103" s="108"/>
      <c r="D103" s="106"/>
      <c r="E103" s="107"/>
      <c r="F103" s="107"/>
    </row>
    <row r="104" spans="1:6" x14ac:dyDescent="0.3">
      <c r="A104" s="107"/>
      <c r="B104" s="109"/>
      <c r="C104" s="107"/>
      <c r="D104" s="107"/>
      <c r="E104" s="107"/>
      <c r="F104" s="107"/>
    </row>
    <row r="105" spans="1:6" x14ac:dyDescent="0.3">
      <c r="A105" s="107"/>
      <c r="B105" s="106"/>
      <c r="C105" s="107"/>
      <c r="D105" s="107"/>
      <c r="E105" s="107"/>
      <c r="F105" s="106"/>
    </row>
    <row r="106" spans="1:6" x14ac:dyDescent="0.3">
      <c r="B106" s="105"/>
    </row>
    <row r="107" spans="1:6" x14ac:dyDescent="0.3">
      <c r="B107" s="104"/>
    </row>
  </sheetData>
  <mergeCells count="55">
    <mergeCell ref="C90:F90"/>
    <mergeCell ref="C83:F83"/>
    <mergeCell ref="C84:F84"/>
    <mergeCell ref="C85:F85"/>
    <mergeCell ref="C86:F86"/>
    <mergeCell ref="K78:M78"/>
    <mergeCell ref="C98:F98"/>
    <mergeCell ref="A92:B92"/>
    <mergeCell ref="C94:F94"/>
    <mergeCell ref="C95:F95"/>
    <mergeCell ref="C96:F96"/>
    <mergeCell ref="C97:F97"/>
    <mergeCell ref="C87:F87"/>
    <mergeCell ref="C88:F88"/>
    <mergeCell ref="C89:F89"/>
    <mergeCell ref="H31:H32"/>
    <mergeCell ref="I31:I32"/>
    <mergeCell ref="J31:J32"/>
    <mergeCell ref="K31:K32"/>
    <mergeCell ref="L31:L32"/>
    <mergeCell ref="M31:M32"/>
    <mergeCell ref="A31:A42"/>
    <mergeCell ref="B31:B32"/>
    <mergeCell ref="O31:O32"/>
    <mergeCell ref="A4:A15"/>
    <mergeCell ref="A18:A27"/>
    <mergeCell ref="C31:C32"/>
    <mergeCell ref="D31:D32"/>
    <mergeCell ref="E31:E32"/>
    <mergeCell ref="F31:F32"/>
    <mergeCell ref="G31:G32"/>
    <mergeCell ref="A61:B61"/>
    <mergeCell ref="A62:B62"/>
    <mergeCell ref="A53:B53"/>
    <mergeCell ref="A54:B54"/>
    <mergeCell ref="A55:B55"/>
    <mergeCell ref="A56:B56"/>
    <mergeCell ref="A57:B57"/>
    <mergeCell ref="B49:C49"/>
    <mergeCell ref="A58:B58"/>
    <mergeCell ref="A59:B59"/>
    <mergeCell ref="A60:B60"/>
    <mergeCell ref="E48:I48"/>
    <mergeCell ref="E47:I47"/>
    <mergeCell ref="B44:C44"/>
    <mergeCell ref="B45:C45"/>
    <mergeCell ref="B46:C46"/>
    <mergeCell ref="B47:C47"/>
    <mergeCell ref="B48:C48"/>
    <mergeCell ref="N31:N32"/>
    <mergeCell ref="A63:B63"/>
    <mergeCell ref="E44:I44"/>
    <mergeCell ref="E45:I45"/>
    <mergeCell ref="E46:I46"/>
    <mergeCell ref="E49:I49"/>
  </mergeCells>
  <phoneticPr fontId="3" type="noConversion"/>
  <pageMargins left="0.7" right="0.7" top="0.75" bottom="0.75" header="0.3" footer="0.3"/>
  <pageSetup paperSize="9"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"/>
  <sheetViews>
    <sheetView zoomScale="70" zoomScaleNormal="70" workbookViewId="0">
      <pane ySplit="2" topLeftCell="A3" activePane="bottomLeft" state="frozen"/>
      <selection activeCell="A2" sqref="A2"/>
      <selection pane="bottomLeft" activeCell="A2" sqref="A2:L38"/>
    </sheetView>
  </sheetViews>
  <sheetFormatPr defaultRowHeight="16.5" x14ac:dyDescent="0.3"/>
  <cols>
    <col min="1" max="1" width="4.5" customWidth="1"/>
    <col min="2" max="2" width="13.875" customWidth="1"/>
    <col min="3" max="12" width="14.625" customWidth="1"/>
    <col min="13" max="13" width="9.75" customWidth="1"/>
  </cols>
  <sheetData>
    <row r="1" spans="1:14" ht="17.25" thickBot="1" x14ac:dyDescent="0.35">
      <c r="A1" t="s">
        <v>64</v>
      </c>
      <c r="M1" s="77" t="s">
        <v>63</v>
      </c>
      <c r="N1" s="76"/>
    </row>
    <row r="2" spans="1:14" ht="17.25" thickBot="1" x14ac:dyDescent="0.35">
      <c r="A2" s="86" t="s">
        <v>62</v>
      </c>
      <c r="B2" s="85"/>
      <c r="C2" s="84" t="s">
        <v>61</v>
      </c>
      <c r="D2" s="82" t="s">
        <v>60</v>
      </c>
      <c r="E2" s="83" t="s">
        <v>59</v>
      </c>
      <c r="F2" s="82" t="s">
        <v>58</v>
      </c>
      <c r="G2" s="82" t="s">
        <v>57</v>
      </c>
      <c r="H2" s="82" t="s">
        <v>56</v>
      </c>
      <c r="I2" s="82" t="s">
        <v>55</v>
      </c>
      <c r="J2" s="82" t="s">
        <v>54</v>
      </c>
      <c r="K2" s="81" t="s">
        <v>53</v>
      </c>
      <c r="L2" s="80" t="s">
        <v>52</v>
      </c>
      <c r="M2" s="79" t="s">
        <v>51</v>
      </c>
      <c r="N2" s="78" t="s">
        <v>50</v>
      </c>
    </row>
    <row r="3" spans="1:14" ht="17.25" thickBot="1" x14ac:dyDescent="0.35">
      <c r="A3" s="45" t="s">
        <v>49</v>
      </c>
      <c r="B3" s="44" t="s">
        <v>31</v>
      </c>
      <c r="C3" s="43">
        <v>3624546</v>
      </c>
      <c r="D3" s="42">
        <v>1197909</v>
      </c>
      <c r="E3" s="42">
        <v>3360549</v>
      </c>
      <c r="F3" s="42">
        <v>2822363</v>
      </c>
      <c r="G3" s="42">
        <v>4932183</v>
      </c>
      <c r="H3" s="42">
        <v>1732454</v>
      </c>
      <c r="I3" s="42">
        <v>164999</v>
      </c>
      <c r="J3" s="42">
        <v>2597093</v>
      </c>
      <c r="K3" s="41">
        <v>2646093</v>
      </c>
      <c r="L3" s="40">
        <f>SUM(C3:K3)</f>
        <v>23078189</v>
      </c>
      <c r="M3" s="77" t="s">
        <v>49</v>
      </c>
      <c r="N3" s="76"/>
    </row>
    <row r="4" spans="1:14" x14ac:dyDescent="0.3">
      <c r="A4" s="37"/>
      <c r="B4" s="36" t="s">
        <v>29</v>
      </c>
      <c r="C4" s="75">
        <v>2866865.6457827166</v>
      </c>
      <c r="D4" s="74">
        <v>1127424.5663422917</v>
      </c>
      <c r="E4" s="74">
        <v>2595717.4866740298</v>
      </c>
      <c r="F4" s="74">
        <v>3029516.3503431845</v>
      </c>
      <c r="G4" s="74">
        <v>3595237.807198693</v>
      </c>
      <c r="H4" s="74">
        <v>1714817.2860474156</v>
      </c>
      <c r="I4" s="74">
        <v>207370.38598240004</v>
      </c>
      <c r="J4" s="74">
        <v>1852749.7577493382</v>
      </c>
      <c r="K4" s="73">
        <v>2397969.5482130186</v>
      </c>
      <c r="L4" s="54">
        <v>19387668.834333088</v>
      </c>
      <c r="M4" s="72">
        <v>4.5609689813472555E-2</v>
      </c>
      <c r="N4" s="30">
        <f>L3/L43</f>
        <v>3.7128037002864836E-2</v>
      </c>
    </row>
    <row r="5" spans="1:14" ht="17.25" thickBot="1" x14ac:dyDescent="0.35">
      <c r="A5" s="29"/>
      <c r="B5" s="64" t="s">
        <v>28</v>
      </c>
      <c r="C5" s="67">
        <f>C3/C4</f>
        <v>1.2642887556770803</v>
      </c>
      <c r="D5" s="62">
        <f>D3/D4</f>
        <v>1.0625180927947857</v>
      </c>
      <c r="E5" s="62">
        <f>E3/E4</f>
        <v>1.2946512928515852</v>
      </c>
      <c r="F5" s="26">
        <f>F3/F4</f>
        <v>0.93162164306533013</v>
      </c>
      <c r="G5" s="62">
        <f>G3/G4</f>
        <v>1.3718655801083202</v>
      </c>
      <c r="H5" s="62">
        <f>H3/H4</f>
        <v>1.010284893962806</v>
      </c>
      <c r="I5" s="26">
        <f>I3/I4</f>
        <v>0.79567291741456181</v>
      </c>
      <c r="J5" s="62">
        <f>J3/J4</f>
        <v>1.4017505543516391</v>
      </c>
      <c r="K5" s="66">
        <f>K3/K4</f>
        <v>1.1034723113860576</v>
      </c>
      <c r="L5" s="71">
        <f>L3/L4</f>
        <v>1.1903539923856896</v>
      </c>
      <c r="M5" s="72"/>
      <c r="N5" s="23"/>
    </row>
    <row r="6" spans="1:14" ht="17.25" thickBot="1" x14ac:dyDescent="0.35">
      <c r="A6" s="45" t="s">
        <v>48</v>
      </c>
      <c r="B6" s="44" t="s">
        <v>31</v>
      </c>
      <c r="C6" s="43">
        <v>4074318</v>
      </c>
      <c r="D6" s="42">
        <v>1103727</v>
      </c>
      <c r="E6" s="42">
        <v>3516907</v>
      </c>
      <c r="F6" s="42">
        <v>3608272</v>
      </c>
      <c r="G6" s="42">
        <v>6015365</v>
      </c>
      <c r="H6" s="42">
        <v>2347365</v>
      </c>
      <c r="I6" s="42">
        <v>194547</v>
      </c>
      <c r="J6" s="42">
        <v>2444455</v>
      </c>
      <c r="K6" s="41">
        <v>2592181</v>
      </c>
      <c r="L6" s="40">
        <f>SUM(C6:K6)</f>
        <v>25897137</v>
      </c>
      <c r="M6" s="39" t="s">
        <v>48</v>
      </c>
      <c r="N6" s="38"/>
    </row>
    <row r="7" spans="1:14" x14ac:dyDescent="0.3">
      <c r="A7" s="37"/>
      <c r="B7" s="36" t="s">
        <v>29</v>
      </c>
      <c r="C7" s="35">
        <v>3958344.0608309684</v>
      </c>
      <c r="D7" s="34">
        <v>1492256.6752623229</v>
      </c>
      <c r="E7" s="34">
        <v>3229245.4419877958</v>
      </c>
      <c r="F7" s="34">
        <v>4348177.7210061522</v>
      </c>
      <c r="G7" s="34">
        <v>5142941.8644900005</v>
      </c>
      <c r="H7" s="34">
        <v>773818.30026510532</v>
      </c>
      <c r="I7" s="34">
        <v>240108.70883720188</v>
      </c>
      <c r="J7" s="34">
        <v>2691619.2072309745</v>
      </c>
      <c r="K7" s="33">
        <v>2240224.5068787802</v>
      </c>
      <c r="L7" s="54">
        <f>SUM(C7:K7)</f>
        <v>24116736.486789301</v>
      </c>
      <c r="M7" s="31">
        <v>4.3811600568583388E-2</v>
      </c>
      <c r="N7" s="30">
        <f>L6/L43</f>
        <v>4.1663141800435906E-2</v>
      </c>
    </row>
    <row r="8" spans="1:14" ht="17.25" thickBot="1" x14ac:dyDescent="0.35">
      <c r="A8" s="29"/>
      <c r="B8" s="64" t="s">
        <v>23</v>
      </c>
      <c r="C8" s="67">
        <f>C6/C7</f>
        <v>1.0292985999667461</v>
      </c>
      <c r="D8" s="26">
        <f>D6/D7</f>
        <v>0.73963616199336246</v>
      </c>
      <c r="E8" s="62">
        <f>E6/E7</f>
        <v>1.089080115828895</v>
      </c>
      <c r="F8" s="26">
        <f>F6/F7</f>
        <v>0.82983544636833728</v>
      </c>
      <c r="G8" s="62">
        <f>G6/G7</f>
        <v>1.1696350373963469</v>
      </c>
      <c r="H8" s="62">
        <f>H6/H7</f>
        <v>3.0334834407454663</v>
      </c>
      <c r="I8" s="26">
        <f>I6/I7</f>
        <v>0.81024549647595845</v>
      </c>
      <c r="J8" s="26">
        <f>J6/J7</f>
        <v>0.9081726692368024</v>
      </c>
      <c r="K8" s="66">
        <f>K6/K7</f>
        <v>1.1571076881091651</v>
      </c>
      <c r="L8" s="71">
        <f>L6/L7</f>
        <v>1.073824271960925</v>
      </c>
      <c r="M8" s="24"/>
      <c r="N8" s="23"/>
    </row>
    <row r="9" spans="1:14" ht="17.25" thickBot="1" x14ac:dyDescent="0.35">
      <c r="A9" s="45" t="s">
        <v>47</v>
      </c>
      <c r="B9" s="44" t="s">
        <v>31</v>
      </c>
      <c r="C9" s="43">
        <v>7202364</v>
      </c>
      <c r="D9" s="42">
        <v>1365455</v>
      </c>
      <c r="E9" s="42">
        <v>8444181</v>
      </c>
      <c r="F9" s="42">
        <v>7909000</v>
      </c>
      <c r="G9" s="42">
        <v>17752909</v>
      </c>
      <c r="H9" s="42">
        <v>13360907</v>
      </c>
      <c r="I9" s="42">
        <v>982272</v>
      </c>
      <c r="J9" s="42">
        <v>4590365</v>
      </c>
      <c r="K9" s="41">
        <v>7700272</v>
      </c>
      <c r="L9" s="40">
        <f>SUM(C9:K9)</f>
        <v>69307725</v>
      </c>
      <c r="M9" s="39" t="s">
        <v>47</v>
      </c>
      <c r="N9" s="38"/>
    </row>
    <row r="10" spans="1:14" x14ac:dyDescent="0.3">
      <c r="A10" s="37"/>
      <c r="B10" s="36" t="s">
        <v>29</v>
      </c>
      <c r="C10" s="35">
        <v>9485835.1266114563</v>
      </c>
      <c r="D10" s="34">
        <v>3130938.1095505035</v>
      </c>
      <c r="E10" s="34">
        <v>9274805.4707886297</v>
      </c>
      <c r="F10" s="34">
        <v>11025360.31106885</v>
      </c>
      <c r="G10" s="34">
        <v>21642754.584579699</v>
      </c>
      <c r="H10" s="34">
        <v>18907992.108543783</v>
      </c>
      <c r="I10" s="34">
        <v>2829061.8390677017</v>
      </c>
      <c r="J10" s="34">
        <v>6158614.4470102312</v>
      </c>
      <c r="K10" s="33">
        <v>10956206.752981303</v>
      </c>
      <c r="L10" s="54">
        <f>SUM(C10:K10)</f>
        <v>93411568.750202164</v>
      </c>
      <c r="M10" s="31">
        <v>9.6199140637638528E-2</v>
      </c>
      <c r="N10" s="30">
        <f>L9/L43</f>
        <v>0.1115018071125243</v>
      </c>
    </row>
    <row r="11" spans="1:14" ht="17.25" thickBot="1" x14ac:dyDescent="0.35">
      <c r="A11" s="29"/>
      <c r="B11" s="64" t="s">
        <v>28</v>
      </c>
      <c r="C11" s="27">
        <f>C9/C10</f>
        <v>0.75927568884204699</v>
      </c>
      <c r="D11" s="63">
        <f>D9/D10</f>
        <v>0.43611689283632404</v>
      </c>
      <c r="E11" s="26">
        <f>E9/E10</f>
        <v>0.91044292266778915</v>
      </c>
      <c r="F11" s="26">
        <f>F9/F10</f>
        <v>0.71734617072421691</v>
      </c>
      <c r="G11" s="26">
        <f>G9/G10</f>
        <v>0.82027030942950374</v>
      </c>
      <c r="H11" s="26">
        <f>H9/H10</f>
        <v>0.7066274897567113</v>
      </c>
      <c r="I11" s="63">
        <f>I9/I10</f>
        <v>0.34720768080619302</v>
      </c>
      <c r="J11" s="26">
        <f>J9/J10</f>
        <v>0.74535677456289606</v>
      </c>
      <c r="K11" s="61">
        <f>K9/K10</f>
        <v>0.70282280844186074</v>
      </c>
      <c r="L11" s="60">
        <f>L9/L10</f>
        <v>0.74196082912749506</v>
      </c>
      <c r="M11" s="24"/>
      <c r="N11" s="23"/>
    </row>
    <row r="12" spans="1:14" ht="17.25" thickBot="1" x14ac:dyDescent="0.35">
      <c r="A12" s="45" t="s">
        <v>46</v>
      </c>
      <c r="B12" s="44" t="s">
        <v>31</v>
      </c>
      <c r="C12" s="70">
        <v>8964091</v>
      </c>
      <c r="D12" s="69">
        <v>1352271</v>
      </c>
      <c r="E12" s="69">
        <v>11285638</v>
      </c>
      <c r="F12" s="69">
        <v>11143817</v>
      </c>
      <c r="G12" s="69">
        <v>19533271</v>
      </c>
      <c r="H12" s="69">
        <v>13656454</v>
      </c>
      <c r="I12" s="69">
        <v>1203817</v>
      </c>
      <c r="J12" s="69">
        <v>5830092</v>
      </c>
      <c r="K12" s="68">
        <v>7630453</v>
      </c>
      <c r="L12" s="40">
        <f>SUM(C12:K12)</f>
        <v>80599904</v>
      </c>
      <c r="M12" s="39" t="s">
        <v>45</v>
      </c>
      <c r="N12" s="38"/>
    </row>
    <row r="13" spans="1:14" x14ac:dyDescent="0.3">
      <c r="A13" s="37"/>
      <c r="B13" s="36" t="s">
        <v>29</v>
      </c>
      <c r="C13" s="35">
        <v>8765698.9168272391</v>
      </c>
      <c r="D13" s="34">
        <v>2362779.9504395882</v>
      </c>
      <c r="E13" s="34">
        <v>9784514.9844145887</v>
      </c>
      <c r="F13" s="34">
        <v>9560369.6586418804</v>
      </c>
      <c r="G13" s="34">
        <v>19107953.666565098</v>
      </c>
      <c r="H13" s="34">
        <v>15935647.957721014</v>
      </c>
      <c r="I13" s="34">
        <v>2532270.7705752798</v>
      </c>
      <c r="J13" s="34">
        <v>6542269.0678689396</v>
      </c>
      <c r="K13" s="33">
        <v>9048264.911098823</v>
      </c>
      <c r="L13" s="54">
        <f>SUM(C13:K13)</f>
        <v>83639769.884152442</v>
      </c>
      <c r="M13" s="31">
        <v>0.10602037833922562</v>
      </c>
      <c r="N13" s="30">
        <f>L12/L43</f>
        <v>0.12966858959944186</v>
      </c>
    </row>
    <row r="14" spans="1:14" ht="17.25" thickBot="1" x14ac:dyDescent="0.35">
      <c r="A14" s="29"/>
      <c r="B14" s="64" t="s">
        <v>23</v>
      </c>
      <c r="C14" s="67">
        <f>C12/C13</f>
        <v>1.0226327740725745</v>
      </c>
      <c r="D14" s="26">
        <f>D12/D13</f>
        <v>0.57232202251776088</v>
      </c>
      <c r="E14" s="62">
        <f>E12/E13</f>
        <v>1.153418234626499</v>
      </c>
      <c r="F14" s="62">
        <f>F12/F13</f>
        <v>1.1656261627840716</v>
      </c>
      <c r="G14" s="62">
        <f>G12/G13</f>
        <v>1.0222586542157635</v>
      </c>
      <c r="H14" s="26">
        <f>H12/H13</f>
        <v>0.85697513124235924</v>
      </c>
      <c r="I14" s="63">
        <f>I12/I13</f>
        <v>0.47539031528074605</v>
      </c>
      <c r="J14" s="26">
        <f>J12/J13</f>
        <v>0.89114219233711189</v>
      </c>
      <c r="K14" s="61">
        <f>K12/K13</f>
        <v>0.84330565859541751</v>
      </c>
      <c r="L14" s="60">
        <f>L12/L13</f>
        <v>0.96365525767989446</v>
      </c>
      <c r="M14" s="24"/>
      <c r="N14" s="23"/>
    </row>
    <row r="15" spans="1:14" ht="17.25" thickBot="1" x14ac:dyDescent="0.35">
      <c r="A15" s="45" t="s">
        <v>44</v>
      </c>
      <c r="B15" s="44" t="s">
        <v>31</v>
      </c>
      <c r="C15" s="43">
        <v>8007862</v>
      </c>
      <c r="D15" s="42">
        <v>1300363</v>
      </c>
      <c r="E15" s="42">
        <v>7367820</v>
      </c>
      <c r="F15" s="42">
        <v>7698545</v>
      </c>
      <c r="G15" s="42">
        <v>17614911</v>
      </c>
      <c r="H15" s="42">
        <v>11682090</v>
      </c>
      <c r="I15" s="42">
        <v>452182</v>
      </c>
      <c r="J15" s="42">
        <v>5519092</v>
      </c>
      <c r="K15" s="41">
        <v>5715364</v>
      </c>
      <c r="L15" s="40">
        <f>SUM(C15:K15)</f>
        <v>65358229</v>
      </c>
      <c r="M15" s="39" t="s">
        <v>43</v>
      </c>
      <c r="N15" s="38"/>
    </row>
    <row r="16" spans="1:14" x14ac:dyDescent="0.3">
      <c r="A16" s="37"/>
      <c r="B16" s="36" t="s">
        <v>29</v>
      </c>
      <c r="C16" s="35">
        <v>8575311.0299000666</v>
      </c>
      <c r="D16" s="34">
        <v>2427027.8453009045</v>
      </c>
      <c r="E16" s="34">
        <v>6689219.989631352</v>
      </c>
      <c r="F16" s="34">
        <v>8054715.0328293955</v>
      </c>
      <c r="G16" s="34">
        <v>19211873.40152565</v>
      </c>
      <c r="H16" s="34">
        <v>15788845.440833015</v>
      </c>
      <c r="I16" s="34">
        <v>1943519.5754812972</v>
      </c>
      <c r="J16" s="34">
        <v>7283774.5417723153</v>
      </c>
      <c r="K16" s="33">
        <v>7266838.7435517004</v>
      </c>
      <c r="L16" s="54">
        <f>SUM(C16:K16)</f>
        <v>77241125.600825697</v>
      </c>
      <c r="M16" s="31">
        <v>9.4659524589304114E-2</v>
      </c>
      <c r="N16" s="30">
        <f>L15/L43</f>
        <v>0.1051478842102261</v>
      </c>
    </row>
    <row r="17" spans="1:14" ht="17.25" thickBot="1" x14ac:dyDescent="0.35">
      <c r="A17" s="29"/>
      <c r="B17" s="64" t="s">
        <v>28</v>
      </c>
      <c r="C17" s="27">
        <f>C15/C16</f>
        <v>0.93382758620398643</v>
      </c>
      <c r="D17" s="26">
        <f>D15/D16</f>
        <v>0.53578412893683969</v>
      </c>
      <c r="E17" s="62">
        <f>E15/E16</f>
        <v>1.1014468071644399</v>
      </c>
      <c r="F17" s="26">
        <f>F15/F16</f>
        <v>0.95578117520263373</v>
      </c>
      <c r="G17" s="26">
        <f>G15/G16</f>
        <v>0.91687627915563752</v>
      </c>
      <c r="H17" s="26">
        <f>H15/H16</f>
        <v>0.73989513950069141</v>
      </c>
      <c r="I17" s="63">
        <f>I15/I16</f>
        <v>0.23266140753329984</v>
      </c>
      <c r="J17" s="26">
        <f>J15/J16</f>
        <v>0.75772416737340054</v>
      </c>
      <c r="K17" s="61">
        <f>K15/K16</f>
        <v>0.78649935710649743</v>
      </c>
      <c r="L17" s="60">
        <f>L15/L16</f>
        <v>0.84615842262274499</v>
      </c>
      <c r="M17" s="24"/>
      <c r="N17" s="23"/>
    </row>
    <row r="18" spans="1:14" ht="17.25" thickBot="1" x14ac:dyDescent="0.35">
      <c r="A18" s="45" t="s">
        <v>42</v>
      </c>
      <c r="B18" s="44" t="s">
        <v>31</v>
      </c>
      <c r="C18" s="43">
        <v>7583773</v>
      </c>
      <c r="D18" s="42">
        <v>1886002</v>
      </c>
      <c r="E18" s="42">
        <v>8433726</v>
      </c>
      <c r="F18" s="42">
        <v>6648544</v>
      </c>
      <c r="G18" s="42">
        <v>12735090</v>
      </c>
      <c r="H18" s="42">
        <v>8934997</v>
      </c>
      <c r="I18" s="42">
        <v>443818</v>
      </c>
      <c r="J18" s="42">
        <v>4183181</v>
      </c>
      <c r="K18" s="41">
        <v>5542271</v>
      </c>
      <c r="L18" s="40">
        <f>SUM(C18:K18)</f>
        <v>56391402</v>
      </c>
      <c r="M18" s="39" t="s">
        <v>41</v>
      </c>
      <c r="N18" s="38"/>
    </row>
    <row r="19" spans="1:14" x14ac:dyDescent="0.3">
      <c r="A19" s="37"/>
      <c r="B19" s="36" t="s">
        <v>29</v>
      </c>
      <c r="C19" s="35">
        <v>6384617.4282039125</v>
      </c>
      <c r="D19" s="34">
        <v>2123426.7573266714</v>
      </c>
      <c r="E19" s="34">
        <v>7661106.9074217612</v>
      </c>
      <c r="F19" s="34">
        <v>6675860.4375451971</v>
      </c>
      <c r="G19" s="34">
        <v>14636984.92223246</v>
      </c>
      <c r="H19" s="34">
        <v>12491481.1236933</v>
      </c>
      <c r="I19" s="34">
        <v>1433102.2847619837</v>
      </c>
      <c r="J19" s="34">
        <v>5071333.9180948529</v>
      </c>
      <c r="K19" s="33">
        <v>6771903.2984022833</v>
      </c>
      <c r="L19" s="54">
        <f>SUM(C19:K19)</f>
        <v>63249817.077682421</v>
      </c>
      <c r="M19" s="31">
        <v>9.120495029685477E-2</v>
      </c>
      <c r="N19" s="30">
        <f>L18/L43</f>
        <v>9.072211255828723E-2</v>
      </c>
    </row>
    <row r="20" spans="1:14" ht="17.25" thickBot="1" x14ac:dyDescent="0.35">
      <c r="A20" s="29"/>
      <c r="B20" s="64" t="s">
        <v>23</v>
      </c>
      <c r="C20" s="67">
        <f>C18/C19</f>
        <v>1.1878194872724626</v>
      </c>
      <c r="D20" s="26">
        <f>D18/D19</f>
        <v>0.8881879224195226</v>
      </c>
      <c r="E20" s="62">
        <f>E18/E19</f>
        <v>1.1008495380517087</v>
      </c>
      <c r="F20" s="62">
        <f>F18/F19</f>
        <v>0.99590817726033209</v>
      </c>
      <c r="G20" s="26">
        <f>G18/G19</f>
        <v>0.8700623842726225</v>
      </c>
      <c r="H20" s="26">
        <f>H18/H19</f>
        <v>0.71528723547862427</v>
      </c>
      <c r="I20" s="63">
        <f>I18/I19</f>
        <v>0.30969038617764216</v>
      </c>
      <c r="J20" s="26">
        <f>J18/J19</f>
        <v>0.82486798691644714</v>
      </c>
      <c r="K20" s="61">
        <f>K18/K19</f>
        <v>0.81842146229518742</v>
      </c>
      <c r="L20" s="60">
        <f>L18/L19</f>
        <v>0.89156624644053872</v>
      </c>
      <c r="M20" s="24"/>
      <c r="N20" s="23"/>
    </row>
    <row r="21" spans="1:14" ht="17.25" thickBot="1" x14ac:dyDescent="0.35">
      <c r="A21" s="45" t="s">
        <v>40</v>
      </c>
      <c r="B21" s="44" t="s">
        <v>31</v>
      </c>
      <c r="C21" s="43">
        <v>4597229</v>
      </c>
      <c r="D21" s="42">
        <v>1493638</v>
      </c>
      <c r="E21" s="42">
        <v>4740636</v>
      </c>
      <c r="F21" s="42">
        <v>4315363</v>
      </c>
      <c r="G21" s="42">
        <v>5619544</v>
      </c>
      <c r="H21" s="42">
        <v>4806544</v>
      </c>
      <c r="I21" s="42">
        <v>127818</v>
      </c>
      <c r="J21" s="42">
        <v>2313725</v>
      </c>
      <c r="K21" s="41">
        <v>3792089</v>
      </c>
      <c r="L21" s="40">
        <f>SUM(C21:K21)</f>
        <v>31806586</v>
      </c>
      <c r="M21" s="39" t="s">
        <v>39</v>
      </c>
      <c r="N21" s="38"/>
    </row>
    <row r="22" spans="1:14" x14ac:dyDescent="0.3">
      <c r="A22" s="37"/>
      <c r="B22" s="36" t="s">
        <v>29</v>
      </c>
      <c r="C22" s="35">
        <v>5432014.8417166146</v>
      </c>
      <c r="D22" s="34">
        <v>1955774.9122781132</v>
      </c>
      <c r="E22" s="34">
        <v>4797543.529543817</v>
      </c>
      <c r="F22" s="34">
        <v>4343648.7778457403</v>
      </c>
      <c r="G22" s="34">
        <v>5658348.8799378341</v>
      </c>
      <c r="H22" s="34">
        <v>4405916.5573197817</v>
      </c>
      <c r="I22" s="34">
        <v>353322.94768057932</v>
      </c>
      <c r="J22" s="34">
        <v>3277266.3535181801</v>
      </c>
      <c r="K22" s="33">
        <v>3360478.9384146356</v>
      </c>
      <c r="L22" s="54">
        <f>SUM(C22:K22)</f>
        <v>33584315.738255292</v>
      </c>
      <c r="M22" s="31">
        <v>5.5150644914165749E-2</v>
      </c>
      <c r="N22" s="30">
        <f>L21/L43</f>
        <v>5.1170224056263799E-2</v>
      </c>
    </row>
    <row r="23" spans="1:14" ht="17.25" thickBot="1" x14ac:dyDescent="0.35">
      <c r="A23" s="29"/>
      <c r="B23" s="64" t="s">
        <v>28</v>
      </c>
      <c r="C23" s="27">
        <f>C21/C22</f>
        <v>0.84632114122633595</v>
      </c>
      <c r="D23" s="26">
        <f>D21/D22</f>
        <v>0.76370649333066154</v>
      </c>
      <c r="E23" s="26">
        <f>E21/E22</f>
        <v>0.98813819422515414</v>
      </c>
      <c r="F23" s="26">
        <f>F21/F22</f>
        <v>0.99348801450292012</v>
      </c>
      <c r="G23" s="26">
        <f>G21/G22</f>
        <v>0.99314201355179421</v>
      </c>
      <c r="H23" s="26">
        <f>H21/H22</f>
        <v>1.0909294212607441</v>
      </c>
      <c r="I23" s="63">
        <f>I21/I22</f>
        <v>0.36175968993543417</v>
      </c>
      <c r="J23" s="26">
        <f>J21/J22</f>
        <v>0.70599235778202518</v>
      </c>
      <c r="K23" s="66">
        <f>K21/K22</f>
        <v>1.1284370678987157</v>
      </c>
      <c r="L23" s="60">
        <f>L21/L22</f>
        <v>0.94706666790205551</v>
      </c>
      <c r="M23" s="24"/>
      <c r="N23" s="23"/>
    </row>
    <row r="24" spans="1:14" ht="17.25" thickBot="1" x14ac:dyDescent="0.35">
      <c r="A24" s="45" t="s">
        <v>38</v>
      </c>
      <c r="B24" s="44" t="s">
        <v>31</v>
      </c>
      <c r="C24" s="43">
        <f>2878864+1637791</f>
        <v>4516655</v>
      </c>
      <c r="D24" s="42">
        <f>909364+402260</f>
        <v>1311624</v>
      </c>
      <c r="E24" s="42">
        <v>5262000</v>
      </c>
      <c r="F24" s="42">
        <v>4259366</v>
      </c>
      <c r="G24" s="42">
        <v>5366273</v>
      </c>
      <c r="H24" s="42">
        <v>1793091</v>
      </c>
      <c r="I24" s="42">
        <f>122635+2727</f>
        <v>125362</v>
      </c>
      <c r="J24" s="42">
        <v>3240365</v>
      </c>
      <c r="K24" s="41">
        <v>3247454</v>
      </c>
      <c r="L24" s="40">
        <f>SUM(C24:K24)</f>
        <v>29122190</v>
      </c>
      <c r="M24" s="39" t="s">
        <v>37</v>
      </c>
      <c r="N24" s="38"/>
    </row>
    <row r="25" spans="1:14" x14ac:dyDescent="0.3">
      <c r="A25" s="37"/>
      <c r="B25" s="36" t="s">
        <v>29</v>
      </c>
      <c r="C25" s="35">
        <v>4850848.8999588955</v>
      </c>
      <c r="D25" s="34">
        <v>1841995.0744378467</v>
      </c>
      <c r="E25" s="34">
        <v>3943153.8360282765</v>
      </c>
      <c r="F25" s="34">
        <v>4505507.6438105628</v>
      </c>
      <c r="G25" s="34">
        <v>5808451.5891379584</v>
      </c>
      <c r="H25" s="34">
        <v>1414705.269316378</v>
      </c>
      <c r="I25" s="34">
        <v>407665.07662389986</v>
      </c>
      <c r="J25" s="34">
        <v>3496619.1358640301</v>
      </c>
      <c r="K25" s="33">
        <v>3247075.8206401868</v>
      </c>
      <c r="L25" s="54">
        <f>SUM(C25:K25)</f>
        <v>29516022.345818035</v>
      </c>
      <c r="M25" s="31">
        <v>5.5899608700242326E-2</v>
      </c>
      <c r="N25" s="30">
        <f>L24/L43</f>
        <v>4.6851585621578033E-2</v>
      </c>
    </row>
    <row r="26" spans="1:14" ht="17.25" thickBot="1" x14ac:dyDescent="0.35">
      <c r="A26" s="29"/>
      <c r="B26" s="64" t="s">
        <v>23</v>
      </c>
      <c r="C26" s="27">
        <f>C24/C25</f>
        <v>0.93110609980827741</v>
      </c>
      <c r="D26" s="26">
        <f>D24/D25</f>
        <v>0.71206705066803222</v>
      </c>
      <c r="E26" s="62">
        <f>E24/E25</f>
        <v>1.3344648012262501</v>
      </c>
      <c r="F26" s="26">
        <f>F24/F25</f>
        <v>0.94536872129188376</v>
      </c>
      <c r="G26" s="26">
        <f>G24/G25</f>
        <v>0.92387324188689968</v>
      </c>
      <c r="H26" s="62">
        <f>H24/H25</f>
        <v>1.2674661209585143</v>
      </c>
      <c r="I26" s="63">
        <f>I24/I25</f>
        <v>0.30751223783550974</v>
      </c>
      <c r="J26" s="26">
        <f>J24/J25</f>
        <v>0.92671374092886194</v>
      </c>
      <c r="K26" s="65">
        <f>K24/K25</f>
        <v>1.0001164676714382</v>
      </c>
      <c r="L26" s="60">
        <f>L24/L25</f>
        <v>0.98665699797880002</v>
      </c>
      <c r="M26" s="24"/>
      <c r="N26" s="23"/>
    </row>
    <row r="27" spans="1:14" ht="17.25" thickBot="1" x14ac:dyDescent="0.35">
      <c r="A27" s="45" t="s">
        <v>36</v>
      </c>
      <c r="B27" s="44" t="s">
        <v>31</v>
      </c>
      <c r="C27" s="43">
        <v>6702394</v>
      </c>
      <c r="D27" s="42">
        <v>1304142</v>
      </c>
      <c r="E27" s="42">
        <f>2132909+5178629</f>
        <v>7311538</v>
      </c>
      <c r="F27" s="42">
        <f>3927910+3420366</f>
        <v>7348276</v>
      </c>
      <c r="G27" s="42">
        <f>9125545+8099593</f>
        <v>17225138</v>
      </c>
      <c r="H27" s="42">
        <f>2129545+9105829</f>
        <v>11235374</v>
      </c>
      <c r="I27" s="42">
        <v>385356</v>
      </c>
      <c r="J27" s="42">
        <f>2369181+1909046</f>
        <v>4278227</v>
      </c>
      <c r="K27" s="41">
        <f>1412728+4964380</f>
        <v>6377108</v>
      </c>
      <c r="L27" s="40">
        <f>SUM(C27:K27)</f>
        <v>62167553</v>
      </c>
      <c r="M27" s="39" t="s">
        <v>35</v>
      </c>
      <c r="N27" s="38"/>
    </row>
    <row r="28" spans="1:14" x14ac:dyDescent="0.3">
      <c r="A28" s="37"/>
      <c r="B28" s="36" t="s">
        <v>29</v>
      </c>
      <c r="C28" s="35">
        <v>8774755.76535175</v>
      </c>
      <c r="D28" s="34">
        <v>3353875.4404014139</v>
      </c>
      <c r="E28" s="34">
        <v>7365900.5539169535</v>
      </c>
      <c r="F28" s="34">
        <v>7437886.2581742443</v>
      </c>
      <c r="G28" s="34">
        <v>20102019.329607833</v>
      </c>
      <c r="H28" s="34">
        <v>14027985.283049844</v>
      </c>
      <c r="I28" s="34">
        <v>602110.74718013813</v>
      </c>
      <c r="J28" s="34">
        <v>5769818.5831596097</v>
      </c>
      <c r="K28" s="33">
        <v>8417187.1929073613</v>
      </c>
      <c r="L28" s="54">
        <f>SUM(C28:K28)</f>
        <v>75851539.153749153</v>
      </c>
      <c r="M28" s="31">
        <v>0.10655059443562072</v>
      </c>
      <c r="N28" s="30">
        <f>L27/L43</f>
        <v>0.10001474587809125</v>
      </c>
    </row>
    <row r="29" spans="1:14" ht="17.25" thickBot="1" x14ac:dyDescent="0.35">
      <c r="A29" s="29"/>
      <c r="B29" s="64" t="s">
        <v>28</v>
      </c>
      <c r="C29" s="27">
        <f>C27/C28</f>
        <v>0.76382684364449926</v>
      </c>
      <c r="D29" s="63">
        <f>D27/D28</f>
        <v>0.38884628340398703</v>
      </c>
      <c r="E29" s="26">
        <f>E27/E28</f>
        <v>0.99261970026352786</v>
      </c>
      <c r="F29" s="26">
        <f>F27/F28</f>
        <v>0.98795218761570025</v>
      </c>
      <c r="G29" s="26">
        <f>G27/G28</f>
        <v>0.85688595347381169</v>
      </c>
      <c r="H29" s="26">
        <f>H27/H28</f>
        <v>0.80092570481776992</v>
      </c>
      <c r="I29" s="26">
        <f>I27/I28</f>
        <v>0.64000850641636209</v>
      </c>
      <c r="J29" s="26">
        <f>J27/J28</f>
        <v>0.74148379855250157</v>
      </c>
      <c r="K29" s="61">
        <f>K27/K28</f>
        <v>0.7576293426589813</v>
      </c>
      <c r="L29" s="60">
        <f>L27/L28</f>
        <v>0.81959514195206962</v>
      </c>
      <c r="M29" s="24"/>
      <c r="N29" s="23"/>
    </row>
    <row r="30" spans="1:14" ht="17.25" thickBot="1" x14ac:dyDescent="0.35">
      <c r="A30" s="45" t="s">
        <v>34</v>
      </c>
      <c r="B30" s="44" t="s">
        <v>31</v>
      </c>
      <c r="C30" s="43">
        <v>6322082</v>
      </c>
      <c r="D30" s="42">
        <v>1210235</v>
      </c>
      <c r="E30" s="42">
        <v>11156999</v>
      </c>
      <c r="F30" s="42">
        <v>7535118</v>
      </c>
      <c r="G30" s="42">
        <v>18969952</v>
      </c>
      <c r="H30" s="42">
        <v>10851174</v>
      </c>
      <c r="I30" s="42">
        <v>471086</v>
      </c>
      <c r="J30" s="42">
        <v>3848540</v>
      </c>
      <c r="K30" s="41">
        <v>6407784</v>
      </c>
      <c r="L30" s="40">
        <f>SUM(C30:K30)</f>
        <v>66772970</v>
      </c>
      <c r="M30" s="39" t="s">
        <v>33</v>
      </c>
      <c r="N30" s="38"/>
    </row>
    <row r="31" spans="1:14" x14ac:dyDescent="0.3">
      <c r="A31" s="37"/>
      <c r="B31" s="36" t="s">
        <v>29</v>
      </c>
      <c r="C31" s="35">
        <v>7233911.5417658277</v>
      </c>
      <c r="D31" s="34">
        <v>2756293.6363816876</v>
      </c>
      <c r="E31" s="34">
        <v>8069243.1435770141</v>
      </c>
      <c r="F31" s="34">
        <v>5883078.4850412719</v>
      </c>
      <c r="G31" s="34">
        <v>20205761.601396881</v>
      </c>
      <c r="H31" s="34">
        <v>11444627.95060141</v>
      </c>
      <c r="I31" s="34">
        <v>492764.375238423</v>
      </c>
      <c r="J31" s="34">
        <v>4912267.7620394398</v>
      </c>
      <c r="K31" s="33">
        <v>7576006.5710109128</v>
      </c>
      <c r="L31" s="54">
        <f>SUM(C31:K31)</f>
        <v>68573955.067052871</v>
      </c>
      <c r="M31" s="31">
        <v>0.10971731835793604</v>
      </c>
      <c r="N31" s="30">
        <f>L30/L43</f>
        <v>0.10742391012358828</v>
      </c>
    </row>
    <row r="32" spans="1:14" ht="17.25" thickBot="1" x14ac:dyDescent="0.35">
      <c r="A32" s="29"/>
      <c r="B32" s="64" t="s">
        <v>23</v>
      </c>
      <c r="C32" s="27">
        <f>C30/C31</f>
        <v>0.87395069230508637</v>
      </c>
      <c r="D32" s="63">
        <f>D30/D31</f>
        <v>0.43908057691151176</v>
      </c>
      <c r="E32" s="62">
        <f>E30/E31</f>
        <v>1.3826574316180804</v>
      </c>
      <c r="F32" s="62">
        <f>F30/F31</f>
        <v>1.2808120814908928</v>
      </c>
      <c r="G32" s="26">
        <f>G30/G31</f>
        <v>0.9388387517493304</v>
      </c>
      <c r="H32" s="26">
        <f>H30/H31</f>
        <v>0.94814563189271484</v>
      </c>
      <c r="I32" s="26">
        <f>I30/I31</f>
        <v>0.95600661020201805</v>
      </c>
      <c r="J32" s="26">
        <f>J30/J31</f>
        <v>0.78345484945677946</v>
      </c>
      <c r="K32" s="61">
        <f>K30/K31</f>
        <v>0.84579968878577283</v>
      </c>
      <c r="L32" s="60">
        <f>L30/L31</f>
        <v>0.97373660210656021</v>
      </c>
      <c r="M32" s="24"/>
      <c r="N32" s="23"/>
    </row>
    <row r="33" spans="1:14" ht="17.25" thickBot="1" x14ac:dyDescent="0.35">
      <c r="A33" s="45" t="s">
        <v>32</v>
      </c>
      <c r="B33" s="59" t="s">
        <v>31</v>
      </c>
      <c r="C33" s="58">
        <v>5677278</v>
      </c>
      <c r="D33" s="57">
        <v>1170610</v>
      </c>
      <c r="E33" s="57">
        <v>6409748</v>
      </c>
      <c r="F33" s="57">
        <v>9404923</v>
      </c>
      <c r="G33" s="57">
        <v>18389207</v>
      </c>
      <c r="H33" s="57">
        <v>10095581</v>
      </c>
      <c r="I33" s="57">
        <v>351541</v>
      </c>
      <c r="J33" s="57">
        <v>4354398</v>
      </c>
      <c r="K33" s="56">
        <v>6508703</v>
      </c>
      <c r="L33" s="55">
        <f>SUM(C33:K33)</f>
        <v>62361989</v>
      </c>
      <c r="M33" s="39" t="s">
        <v>30</v>
      </c>
      <c r="N33" s="38"/>
    </row>
    <row r="34" spans="1:14" x14ac:dyDescent="0.3">
      <c r="A34" s="37"/>
      <c r="B34" s="36" t="s">
        <v>29</v>
      </c>
      <c r="C34" s="35">
        <v>7613179.3975605909</v>
      </c>
      <c r="D34" s="34">
        <v>3069612.6491391701</v>
      </c>
      <c r="E34" s="34">
        <v>8952153.555684315</v>
      </c>
      <c r="F34" s="34">
        <v>8622964.5615315512</v>
      </c>
      <c r="G34" s="34">
        <v>20975561.554293267</v>
      </c>
      <c r="H34" s="34">
        <v>11518783.686973372</v>
      </c>
      <c r="I34" s="34">
        <v>440403.39947870164</v>
      </c>
      <c r="J34" s="34">
        <v>5632403.9718236513</v>
      </c>
      <c r="K34" s="33">
        <v>7891025.4941480402</v>
      </c>
      <c r="L34" s="54">
        <f>SUM(C34:K34)</f>
        <v>74716088.270632669</v>
      </c>
      <c r="M34" s="31">
        <v>0.1101931394443687</v>
      </c>
      <c r="N34" s="30">
        <f>L33/L43</f>
        <v>0.10032755322197291</v>
      </c>
    </row>
    <row r="35" spans="1:14" ht="17.25" thickBot="1" x14ac:dyDescent="0.35">
      <c r="A35" s="53"/>
      <c r="B35" s="52" t="s">
        <v>28</v>
      </c>
      <c r="C35" s="51">
        <f>C33/C34</f>
        <v>0.74571709183933177</v>
      </c>
      <c r="D35" s="50">
        <f>D33/D34</f>
        <v>0.38135430551091887</v>
      </c>
      <c r="E35" s="48">
        <f>E33/E34</f>
        <v>0.71600067627638342</v>
      </c>
      <c r="F35" s="49">
        <f>F33/F34</f>
        <v>1.0906832485380831</v>
      </c>
      <c r="G35" s="48">
        <f>G33/G34</f>
        <v>0.87669676696861099</v>
      </c>
      <c r="H35" s="48">
        <f>H33/H34</f>
        <v>0.87644505482094637</v>
      </c>
      <c r="I35" s="48">
        <f>I33/I34</f>
        <v>0.79822499194173657</v>
      </c>
      <c r="J35" s="48">
        <f>J33/J34</f>
        <v>0.77309760126991378</v>
      </c>
      <c r="K35" s="47">
        <f>K33/K34</f>
        <v>0.82482346620560709</v>
      </c>
      <c r="L35" s="46">
        <f>L33/L34</f>
        <v>0.83465275609873602</v>
      </c>
      <c r="M35" s="24"/>
      <c r="N35" s="23"/>
    </row>
    <row r="36" spans="1:14" ht="17.25" thickBot="1" x14ac:dyDescent="0.35">
      <c r="A36" s="45" t="s">
        <v>27</v>
      </c>
      <c r="B36" s="44" t="s">
        <v>26</v>
      </c>
      <c r="C36" s="43">
        <v>5224242</v>
      </c>
      <c r="D36" s="42">
        <v>1117701</v>
      </c>
      <c r="E36" s="42">
        <v>7456285</v>
      </c>
      <c r="F36" s="42">
        <v>4828025</v>
      </c>
      <c r="G36" s="42">
        <v>12993607</v>
      </c>
      <c r="H36" s="42">
        <v>7125159</v>
      </c>
      <c r="I36" s="42">
        <v>370089</v>
      </c>
      <c r="J36" s="42">
        <v>3801910</v>
      </c>
      <c r="K36" s="41">
        <v>5802980</v>
      </c>
      <c r="L36" s="40">
        <f>SUM(C36:K36)</f>
        <v>48719998</v>
      </c>
      <c r="M36" s="39" t="s">
        <v>25</v>
      </c>
      <c r="N36" s="38"/>
    </row>
    <row r="37" spans="1:14" ht="17.25" thickBot="1" x14ac:dyDescent="0.35">
      <c r="A37" s="37"/>
      <c r="B37" s="36" t="s">
        <v>24</v>
      </c>
      <c r="C37" s="35">
        <v>5246201.5609881291</v>
      </c>
      <c r="D37" s="34">
        <v>1990493.3505201901</v>
      </c>
      <c r="E37" s="34">
        <v>6241401.5354136201</v>
      </c>
      <c r="F37" s="34">
        <v>4412898.8509914717</v>
      </c>
      <c r="G37" s="34">
        <v>13941123.806276206</v>
      </c>
      <c r="H37" s="34">
        <v>6794074.7790803397</v>
      </c>
      <c r="I37" s="34">
        <v>413515.134505486</v>
      </c>
      <c r="J37" s="34">
        <v>3499166.9258408444</v>
      </c>
      <c r="K37" s="33">
        <v>5727314.5968906339</v>
      </c>
      <c r="L37" s="32">
        <f>SUM(C37:K37)</f>
        <v>48266190.540506929</v>
      </c>
      <c r="M37" s="31">
        <v>8.498340807618826E-2</v>
      </c>
      <c r="N37" s="30">
        <f>L36/L43</f>
        <v>7.8380408814725494E-2</v>
      </c>
    </row>
    <row r="38" spans="1:14" ht="17.25" thickBot="1" x14ac:dyDescent="0.35">
      <c r="A38" s="29"/>
      <c r="B38" s="28" t="s">
        <v>23</v>
      </c>
      <c r="C38" s="27">
        <f>C36/C37</f>
        <v>0.99581419799966797</v>
      </c>
      <c r="D38" s="26">
        <f>D36/D37</f>
        <v>0.56151958493501275</v>
      </c>
      <c r="E38" s="26">
        <f>E36/E37</f>
        <v>1.1946491437368914</v>
      </c>
      <c r="F38" s="26">
        <f>F36/F37</f>
        <v>1.0940710773180897</v>
      </c>
      <c r="G38" s="26">
        <f>G36/G37</f>
        <v>0.932034402717976</v>
      </c>
      <c r="H38" s="26">
        <f>H36/H37</f>
        <v>1.0487313183450826</v>
      </c>
      <c r="I38" s="26">
        <f>I36/I37</f>
        <v>0.89498296221390206</v>
      </c>
      <c r="J38" s="26">
        <f>J36/J37</f>
        <v>1.0865186144517547</v>
      </c>
      <c r="K38" s="26">
        <f>K36/K37</f>
        <v>1.0132113230082462</v>
      </c>
      <c r="L38" s="25">
        <f>L36/L37</f>
        <v>1.0094021809969076</v>
      </c>
      <c r="M38" s="24"/>
      <c r="N38" s="23"/>
    </row>
    <row r="39" spans="1:14" ht="17.25" thickBot="1" x14ac:dyDescent="0.35">
      <c r="A39" s="22" t="s">
        <v>22</v>
      </c>
      <c r="B39" s="21"/>
      <c r="C39" s="20">
        <f>SUM(C3,C6,C9,C12,C15,C18,C21,C24,C27,C30,C33,C36)</f>
        <v>72496834</v>
      </c>
      <c r="D39" s="20">
        <f>SUM(D3,D6,D9,D12,D15,D18,D21,D24,D27,D30,D33,D36)</f>
        <v>15813677</v>
      </c>
      <c r="E39" s="20">
        <f>SUM(E3,E6,E9,E12,E15,E18,E21,E24,E27,E30,E33,E36)</f>
        <v>84746027</v>
      </c>
      <c r="F39" s="20">
        <f>SUM(F3,F6,F9,F12,F15,F18,F21,F24,F27,F30,F33,F36)</f>
        <v>77521612</v>
      </c>
      <c r="G39" s="20">
        <f>SUM(G3,G6,G9,G12,G15,G18,G21,G24,G27,G30,G33,G36)</f>
        <v>157147450</v>
      </c>
      <c r="H39" s="20">
        <f>SUM(H3,H6,H18,H9,H12,H15,H21,H24,H27,H30,H33,H36)</f>
        <v>97621190</v>
      </c>
      <c r="I39" s="20">
        <f>SUM(I3,I6,I9,I12,I15,I18,I21,I24,I27,I30,I33,I36)</f>
        <v>5272887</v>
      </c>
      <c r="J39" s="20">
        <f>SUM(J3,J6,J9,J12,J15,J18,J21,J24,J27,J30,J33,J36)</f>
        <v>47001443</v>
      </c>
      <c r="K39" s="19">
        <f>SUM(K3,K6,K9,K12,K15,K18,K21,K24,K27,K30,K33,K36)</f>
        <v>63962752</v>
      </c>
      <c r="L39" s="18">
        <f>SUM(C39:K39)</f>
        <v>621583872</v>
      </c>
      <c r="M39" s="17">
        <v>0.99999999817360097</v>
      </c>
      <c r="N39" s="16">
        <f>SUM(N4,N7,N10,N13,N16,N19,N22,N25,N28,N31,N34,N37)</f>
        <v>1</v>
      </c>
    </row>
    <row r="40" spans="1:14" x14ac:dyDescent="0.3">
      <c r="A40" s="15" t="s">
        <v>21</v>
      </c>
      <c r="B40" s="15"/>
      <c r="C40" s="2">
        <f>SUM(C4,C7,C10,C13,C16,C19,C22,C25,C28,C31,C34,C37)</f>
        <v>79187584.215498179</v>
      </c>
      <c r="D40" s="2">
        <f>SUM(D4,D7,D10,D13,D16,D19,D22,D25,D28,D31,D34,D37)</f>
        <v>27631898.967380702</v>
      </c>
      <c r="E40" s="2">
        <f>SUM(E4,E7,E10,E13,E16,E19,E22,E25,E28,E31,E34,E37)</f>
        <v>78604006.435082167</v>
      </c>
      <c r="F40" s="2">
        <f>SUM(F4,F7,F10,F13,F16,F19,F22,F25,F28,F31,F34,F37)</f>
        <v>77899984.088829502</v>
      </c>
      <c r="G40" s="2">
        <f>SUM(G4,G7,G10,G13,G16,G19,G22,G25,G28,G31,G34,G37)</f>
        <v>170029013.00724158</v>
      </c>
      <c r="H40" s="2">
        <f>SUM(H4,H7,H10,H13,H16,H19,H22,H25,H28,H31,H34,H37)</f>
        <v>115218695.74344479</v>
      </c>
      <c r="I40" s="2">
        <f>SUM(I4,I7,I10,I13,I16,I19,I22,I25,I28,I31,I34,I37)</f>
        <v>11895215.245413093</v>
      </c>
      <c r="J40" s="2">
        <f>SUM(J4,J7,J10,J13,J16,J19,J22,J25,J28,J31,J34,J37)</f>
        <v>56187903.671972401</v>
      </c>
      <c r="K40" s="2">
        <f>SUM(K4,K7,K10,K13,K16,K19,K22,K25,K28,K31,K34,K37)</f>
        <v>74900496.375137672</v>
      </c>
    </row>
    <row r="41" spans="1:14" x14ac:dyDescent="0.3">
      <c r="A41" s="14" t="s">
        <v>20</v>
      </c>
      <c r="B41" s="14"/>
      <c r="C41" s="1">
        <f>C39/C40</f>
        <v>0.91550758516271669</v>
      </c>
      <c r="D41" s="1">
        <f>D39/D40</f>
        <v>0.57229787278347954</v>
      </c>
      <c r="E41" s="1">
        <f>E39/E40</f>
        <v>1.0781387723536768</v>
      </c>
      <c r="F41" s="1">
        <f>F39/F40</f>
        <v>0.99514284767506445</v>
      </c>
      <c r="G41" s="1">
        <f>G39/G40</f>
        <v>0.92423902968434601</v>
      </c>
      <c r="H41" s="1">
        <f>H39/H40</f>
        <v>0.84726866043833016</v>
      </c>
      <c r="I41" s="1">
        <f>I39/I40</f>
        <v>0.44327798120620598</v>
      </c>
      <c r="J41" s="1">
        <f>J39/J40</f>
        <v>0.83650465542186114</v>
      </c>
      <c r="K41" s="1">
        <f>K39/K40</f>
        <v>0.8539696676994476</v>
      </c>
    </row>
    <row r="42" spans="1:14" ht="17.25" thickBot="1" x14ac:dyDescent="0.35">
      <c r="A42" s="14" t="s">
        <v>19</v>
      </c>
      <c r="B42" s="14"/>
      <c r="C42" s="1" t="s">
        <v>16</v>
      </c>
      <c r="D42" s="1" t="s">
        <v>18</v>
      </c>
      <c r="E42" s="1" t="s">
        <v>17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</row>
    <row r="43" spans="1:14" x14ac:dyDescent="0.3">
      <c r="A43" s="13"/>
      <c r="B43" s="13"/>
      <c r="C43" s="1"/>
      <c r="D43" s="1"/>
      <c r="E43" s="1"/>
      <c r="F43" s="1"/>
      <c r="G43" s="1"/>
      <c r="H43" s="1"/>
      <c r="I43" s="1"/>
      <c r="J43" s="1"/>
      <c r="K43" s="12" t="s">
        <v>15</v>
      </c>
      <c r="L43" s="11">
        <f>SUM(L3,L6,L9,L12,L15,L18,L21,L24,L27,L30,L33,L36)</f>
        <v>621583872</v>
      </c>
    </row>
    <row r="44" spans="1:14" x14ac:dyDescent="0.3">
      <c r="K44" s="10" t="s">
        <v>14</v>
      </c>
      <c r="L44" s="9">
        <v>691554798</v>
      </c>
    </row>
    <row r="45" spans="1:14" ht="17.25" thickBot="1" x14ac:dyDescent="0.35">
      <c r="K45" s="8" t="s">
        <v>13</v>
      </c>
      <c r="L45" s="7">
        <f>L43/L44</f>
        <v>0.89882085092554009</v>
      </c>
    </row>
    <row r="46" spans="1:14" x14ac:dyDescent="0.3">
      <c r="A46" s="4" t="s">
        <v>12</v>
      </c>
      <c r="B46" s="4"/>
      <c r="C46" t="s">
        <v>11</v>
      </c>
      <c r="D46" t="s">
        <v>10</v>
      </c>
      <c r="E46" t="s">
        <v>9</v>
      </c>
      <c r="F46" t="s">
        <v>8</v>
      </c>
      <c r="G46" t="s">
        <v>7</v>
      </c>
      <c r="H46" t="s">
        <v>6</v>
      </c>
      <c r="I46" t="s">
        <v>5</v>
      </c>
      <c r="J46" t="s">
        <v>4</v>
      </c>
      <c r="K46" t="s">
        <v>3</v>
      </c>
    </row>
    <row r="47" spans="1:14" x14ac:dyDescent="0.3">
      <c r="A47" s="6" t="s">
        <v>2</v>
      </c>
      <c r="B47" s="6"/>
      <c r="C47" s="5">
        <v>0.13900000000000001</v>
      </c>
      <c r="D47" s="5">
        <v>5.5E-2</v>
      </c>
      <c r="E47" s="5">
        <v>0.126</v>
      </c>
      <c r="F47" s="5">
        <v>0.153</v>
      </c>
      <c r="G47" s="5">
        <v>0.21199999999999999</v>
      </c>
      <c r="H47" s="5">
        <v>0.11799999999999999</v>
      </c>
      <c r="I47" s="5">
        <v>1.2999999999999999E-2</v>
      </c>
      <c r="J47" s="5">
        <v>7.0000000000000007E-2</v>
      </c>
      <c r="K47" s="5">
        <v>0.113</v>
      </c>
      <c r="L47" s="5">
        <v>1</v>
      </c>
    </row>
    <row r="48" spans="1:14" x14ac:dyDescent="0.3">
      <c r="A48" s="4" t="s">
        <v>1</v>
      </c>
      <c r="B48" s="4"/>
      <c r="C48" s="3">
        <f>C39/L39</f>
        <v>0.11663242446547906</v>
      </c>
      <c r="D48" s="3">
        <f>D39/L39</f>
        <v>2.544093840324094E-2</v>
      </c>
      <c r="E48" s="3">
        <f>E39/L39</f>
        <v>0.13633884471185251</v>
      </c>
      <c r="F48" s="3">
        <f>F39/L39</f>
        <v>0.12471625389920027</v>
      </c>
      <c r="G48" s="3">
        <f>G39/L39</f>
        <v>0.2528177725949749</v>
      </c>
      <c r="H48" s="3">
        <f>H39/L39</f>
        <v>0.15705232133178643</v>
      </c>
      <c r="I48" s="3">
        <f>I39/L39</f>
        <v>8.4829855430998049E-3</v>
      </c>
      <c r="J48" s="3">
        <f>J39/L39</f>
        <v>7.5615608958399749E-2</v>
      </c>
      <c r="K48" s="3">
        <f>K39/L39</f>
        <v>0.10290285009196636</v>
      </c>
      <c r="L48" s="3">
        <f>SUM(C48:K48)</f>
        <v>1.0000000000000002</v>
      </c>
    </row>
    <row r="60" spans="3:12" x14ac:dyDescent="0.3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3:12" x14ac:dyDescent="0.3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3:12" x14ac:dyDescent="0.3"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3:12" x14ac:dyDescent="0.3"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3:12" x14ac:dyDescent="0.3"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3:12" x14ac:dyDescent="0.3"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3:12" x14ac:dyDescent="0.3"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3:12" x14ac:dyDescent="0.3"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3:12" x14ac:dyDescent="0.3"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3:12" x14ac:dyDescent="0.3"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3:12" x14ac:dyDescent="0.3"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3:12" x14ac:dyDescent="0.3"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3:12" x14ac:dyDescent="0.3"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3:12" x14ac:dyDescent="0.3"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3:12" x14ac:dyDescent="0.3"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3:12" x14ac:dyDescent="0.3"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3:12" x14ac:dyDescent="0.3">
      <c r="L76" s="2"/>
    </row>
    <row r="78" spans="3:12" x14ac:dyDescent="0.3">
      <c r="F78" t="s">
        <v>0</v>
      </c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</sheetData>
  <mergeCells count="57">
    <mergeCell ref="M28:M29"/>
    <mergeCell ref="N28:N29"/>
    <mergeCell ref="M31:M32"/>
    <mergeCell ref="A40:B40"/>
    <mergeCell ref="A41:B41"/>
    <mergeCell ref="A39:B39"/>
    <mergeCell ref="M27:N27"/>
    <mergeCell ref="N19:N20"/>
    <mergeCell ref="M22:M23"/>
    <mergeCell ref="N22:N23"/>
    <mergeCell ref="M25:M26"/>
    <mergeCell ref="N25:N26"/>
    <mergeCell ref="M19:M20"/>
    <mergeCell ref="M12:N12"/>
    <mergeCell ref="M15:N15"/>
    <mergeCell ref="M18:N18"/>
    <mergeCell ref="M21:N21"/>
    <mergeCell ref="M24:N24"/>
    <mergeCell ref="M30:N30"/>
    <mergeCell ref="M4:M5"/>
    <mergeCell ref="N4:N5"/>
    <mergeCell ref="M7:M8"/>
    <mergeCell ref="N7:N8"/>
    <mergeCell ref="M10:M11"/>
    <mergeCell ref="N10:N11"/>
    <mergeCell ref="M13:M14"/>
    <mergeCell ref="N13:N14"/>
    <mergeCell ref="M16:M17"/>
    <mergeCell ref="A3:A5"/>
    <mergeCell ref="A9:A11"/>
    <mergeCell ref="A12:A14"/>
    <mergeCell ref="A15:A17"/>
    <mergeCell ref="M1:N1"/>
    <mergeCell ref="M3:N3"/>
    <mergeCell ref="M6:N6"/>
    <mergeCell ref="M9:N9"/>
    <mergeCell ref="N16:N17"/>
    <mergeCell ref="A30:A32"/>
    <mergeCell ref="M33:N33"/>
    <mergeCell ref="M36:N36"/>
    <mergeCell ref="A42:B42"/>
    <mergeCell ref="A2:B2"/>
    <mergeCell ref="A18:A20"/>
    <mergeCell ref="A21:A23"/>
    <mergeCell ref="A24:A26"/>
    <mergeCell ref="A27:A29"/>
    <mergeCell ref="A6:A8"/>
    <mergeCell ref="A47:B47"/>
    <mergeCell ref="A48:B48"/>
    <mergeCell ref="A46:B46"/>
    <mergeCell ref="N31:N32"/>
    <mergeCell ref="M34:M35"/>
    <mergeCell ref="N34:N35"/>
    <mergeCell ref="M37:M38"/>
    <mergeCell ref="N37:N38"/>
    <mergeCell ref="A33:A35"/>
    <mergeCell ref="A36:A38"/>
  </mergeCells>
  <phoneticPr fontId="3" type="noConversion"/>
  <conditionalFormatting sqref="C5:L5 C8:L8 C11:L11 C14:L14 C17:L17 C20:L20 C23:L23 C26:L26 C29:L29 C32:L32 C35:L35 C38:L38">
    <cfRule type="cellIs" dxfId="2" priority="1" operator="lessThan">
      <formula>1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1" topLeftCell="A2" activePane="bottomLeft" state="frozen"/>
      <selection pane="bottomLeft" activeCell="J15" sqref="J15"/>
    </sheetView>
  </sheetViews>
  <sheetFormatPr defaultRowHeight="16.5" x14ac:dyDescent="0.3"/>
  <cols>
    <col min="1" max="1" width="21.75" customWidth="1"/>
    <col min="2" max="2" width="14.75" bestFit="1" customWidth="1"/>
    <col min="3" max="5" width="13.5" bestFit="1" customWidth="1"/>
    <col min="6" max="7" width="14.625" bestFit="1" customWidth="1"/>
    <col min="8" max="10" width="13.5" bestFit="1" customWidth="1"/>
    <col min="11" max="11" width="18.5" customWidth="1"/>
    <col min="12" max="12" width="22.25" customWidth="1"/>
  </cols>
  <sheetData>
    <row r="1" spans="1:12" x14ac:dyDescent="0.3">
      <c r="A1" s="93"/>
      <c r="B1" s="103" t="s">
        <v>86</v>
      </c>
      <c r="C1" s="103" t="s">
        <v>85</v>
      </c>
      <c r="D1" s="103" t="s">
        <v>84</v>
      </c>
      <c r="E1" s="103" t="s">
        <v>83</v>
      </c>
      <c r="F1" s="103" t="s">
        <v>82</v>
      </c>
      <c r="G1" s="103" t="s">
        <v>81</v>
      </c>
      <c r="H1" s="103" t="s">
        <v>80</v>
      </c>
      <c r="I1" s="103" t="s">
        <v>79</v>
      </c>
      <c r="J1" s="103" t="s">
        <v>78</v>
      </c>
    </row>
    <row r="2" spans="1:12" x14ac:dyDescent="0.3">
      <c r="A2" s="93" t="s">
        <v>77</v>
      </c>
      <c r="B2" s="101">
        <v>72496834</v>
      </c>
      <c r="C2" s="101">
        <v>15813677</v>
      </c>
      <c r="D2" s="101">
        <v>84746027</v>
      </c>
      <c r="E2" s="101">
        <v>77521612</v>
      </c>
      <c r="F2" s="101">
        <v>157147450</v>
      </c>
      <c r="G2" s="101">
        <v>97621190</v>
      </c>
      <c r="H2" s="101">
        <v>5272887</v>
      </c>
      <c r="I2" s="101">
        <v>47001443</v>
      </c>
      <c r="J2" s="101">
        <v>63962752</v>
      </c>
      <c r="K2" s="88">
        <f>SUM(B2:J2)</f>
        <v>621583872</v>
      </c>
    </row>
    <row r="3" spans="1:12" x14ac:dyDescent="0.3">
      <c r="A3" s="100" t="s">
        <v>76</v>
      </c>
      <c r="B3" s="99">
        <v>79187584.215498179</v>
      </c>
      <c r="C3" s="99">
        <v>27631898.967380702</v>
      </c>
      <c r="D3" s="99">
        <v>78604006.435082167</v>
      </c>
      <c r="E3" s="99">
        <v>77899984.088829502</v>
      </c>
      <c r="F3" s="99">
        <v>170029013.00724158</v>
      </c>
      <c r="G3" s="99">
        <v>115218695.74344479</v>
      </c>
      <c r="H3" s="99">
        <v>11895215.245413093</v>
      </c>
      <c r="I3" s="99">
        <v>56187903.671972401</v>
      </c>
      <c r="J3" s="99">
        <v>74900496.375137672</v>
      </c>
      <c r="K3" s="88">
        <f>SUM(B3:J3)</f>
        <v>691554797.75000012</v>
      </c>
    </row>
    <row r="4" spans="1:12" x14ac:dyDescent="0.3">
      <c r="A4" s="93" t="s">
        <v>23</v>
      </c>
      <c r="B4" s="96">
        <v>0.91550758516271669</v>
      </c>
      <c r="C4" s="96">
        <v>0.57229787278347954</v>
      </c>
      <c r="D4" s="97">
        <v>1.0781387723536768</v>
      </c>
      <c r="E4" s="96">
        <v>0.99514284767506445</v>
      </c>
      <c r="F4" s="96">
        <v>0.92423902968434601</v>
      </c>
      <c r="G4" s="96">
        <v>0.84726866043833016</v>
      </c>
      <c r="H4" s="96">
        <v>0.44327798120620598</v>
      </c>
      <c r="I4" s="96">
        <v>0.83650465542186114</v>
      </c>
      <c r="J4" s="96">
        <v>0.8539696676994476</v>
      </c>
      <c r="K4" s="3"/>
    </row>
    <row r="5" spans="1:12" x14ac:dyDescent="0.3">
      <c r="A5" s="95" t="s">
        <v>75</v>
      </c>
      <c r="B5" s="94">
        <f>B2-B3</f>
        <v>-6690750.2154981792</v>
      </c>
      <c r="C5" s="94">
        <f>C2-C3</f>
        <v>-11818221.967380702</v>
      </c>
      <c r="D5" s="94">
        <f>D2-D3</f>
        <v>6142020.5649178326</v>
      </c>
      <c r="E5" s="94">
        <f>E2-E3</f>
        <v>-378372.08882950246</v>
      </c>
      <c r="F5" s="94">
        <f>F2-F3</f>
        <v>-12881563.007241577</v>
      </c>
      <c r="G5" s="94">
        <f>G2-G3</f>
        <v>-17597505.743444785</v>
      </c>
      <c r="H5" s="94">
        <f>H2-H3</f>
        <v>-6622328.2454130929</v>
      </c>
      <c r="I5" s="94">
        <f>I2-I3</f>
        <v>-9186460.6719724014</v>
      </c>
      <c r="J5" s="94">
        <f>J2-J3</f>
        <v>-10937744.375137672</v>
      </c>
      <c r="K5" s="88">
        <f>SUM(B5:J5)</f>
        <v>-69970925.750000089</v>
      </c>
    </row>
    <row r="6" spans="1:12" x14ac:dyDescent="0.3">
      <c r="A6" s="93" t="s">
        <v>74</v>
      </c>
      <c r="B6" s="90" t="s">
        <v>72</v>
      </c>
      <c r="C6" s="89" t="s">
        <v>72</v>
      </c>
      <c r="D6" s="92" t="s">
        <v>73</v>
      </c>
      <c r="E6" s="90" t="s">
        <v>72</v>
      </c>
      <c r="F6" s="90" t="s">
        <v>72</v>
      </c>
      <c r="G6" s="89" t="s">
        <v>72</v>
      </c>
      <c r="H6" s="89" t="s">
        <v>72</v>
      </c>
      <c r="I6" s="89" t="s">
        <v>72</v>
      </c>
      <c r="J6" s="89" t="s">
        <v>72</v>
      </c>
      <c r="K6" s="88"/>
    </row>
    <row r="7" spans="1:12" x14ac:dyDescent="0.3">
      <c r="A7" s="102"/>
      <c r="K7" s="88"/>
    </row>
    <row r="8" spans="1:12" x14ac:dyDescent="0.3">
      <c r="A8" s="93" t="s">
        <v>71</v>
      </c>
      <c r="B8" s="101">
        <v>72496834</v>
      </c>
      <c r="C8" s="101">
        <v>15813677</v>
      </c>
      <c r="D8" s="101">
        <v>84746027</v>
      </c>
      <c r="E8" s="101">
        <v>77521612</v>
      </c>
      <c r="F8" s="101">
        <v>157147450</v>
      </c>
      <c r="G8" s="101">
        <v>97621190</v>
      </c>
      <c r="H8" s="101">
        <v>5272887</v>
      </c>
      <c r="I8" s="101">
        <v>47001443</v>
      </c>
      <c r="J8" s="101">
        <v>63962752</v>
      </c>
      <c r="K8" s="88">
        <f>SUM(B8:J8)</f>
        <v>621583872</v>
      </c>
    </row>
    <row r="9" spans="1:12" x14ac:dyDescent="0.3">
      <c r="A9" s="100" t="s">
        <v>70</v>
      </c>
      <c r="B9" s="99">
        <v>76303589</v>
      </c>
      <c r="C9" s="99">
        <v>26625551</v>
      </c>
      <c r="D9" s="99">
        <v>75741265</v>
      </c>
      <c r="E9" s="99">
        <v>75062883</v>
      </c>
      <c r="F9" s="99">
        <v>163836592</v>
      </c>
      <c r="G9" s="99">
        <v>111022455</v>
      </c>
      <c r="H9" s="99">
        <v>11461994</v>
      </c>
      <c r="I9" s="99">
        <v>54141552</v>
      </c>
      <c r="J9" s="99">
        <v>72172636</v>
      </c>
      <c r="K9" s="88">
        <f>SUM(B9:J9)</f>
        <v>666368517</v>
      </c>
    </row>
    <row r="10" spans="1:12" x14ac:dyDescent="0.3">
      <c r="A10" s="98" t="s">
        <v>69</v>
      </c>
      <c r="B10" s="96">
        <f>B8/B9</f>
        <v>0.95011040699540361</v>
      </c>
      <c r="C10" s="96">
        <f>C8/C9</f>
        <v>0.59392862893241161</v>
      </c>
      <c r="D10" s="97">
        <f>D8/D9</f>
        <v>1.1188884553222078</v>
      </c>
      <c r="E10" s="97">
        <f>E8/E9</f>
        <v>1.0327555897366745</v>
      </c>
      <c r="F10" s="96">
        <f>F8/F9</f>
        <v>0.95917186802811427</v>
      </c>
      <c r="G10" s="96">
        <f>G8/G9</f>
        <v>0.87929230172400707</v>
      </c>
      <c r="H10" s="96">
        <f>H8/H9</f>
        <v>0.46003225965743832</v>
      </c>
      <c r="I10" s="96">
        <f>I8/I9</f>
        <v>0.86812145688029041</v>
      </c>
      <c r="J10" s="96">
        <f>J8/J9</f>
        <v>0.88624658243049348</v>
      </c>
      <c r="K10" s="88"/>
    </row>
    <row r="11" spans="1:12" x14ac:dyDescent="0.3">
      <c r="A11" s="95" t="s">
        <v>68</v>
      </c>
      <c r="B11" s="94">
        <f>B8-B9</f>
        <v>-3806755</v>
      </c>
      <c r="C11" s="94">
        <f>C8-C9</f>
        <v>-10811874</v>
      </c>
      <c r="D11" s="94">
        <f>D8-D9</f>
        <v>9004762</v>
      </c>
      <c r="E11" s="94">
        <f>E8-E9</f>
        <v>2458729</v>
      </c>
      <c r="F11" s="94">
        <f>F8-F9</f>
        <v>-6689142</v>
      </c>
      <c r="G11" s="94">
        <f>G8-G9</f>
        <v>-13401265</v>
      </c>
      <c r="H11" s="94">
        <f>H8-H9</f>
        <v>-6189107</v>
      </c>
      <c r="I11" s="94">
        <f>I8-I9</f>
        <v>-7140109</v>
      </c>
      <c r="J11" s="94">
        <f>J8-J9</f>
        <v>-8209884</v>
      </c>
      <c r="K11" s="88">
        <f>SUM(B11:J11)</f>
        <v>-44784645</v>
      </c>
    </row>
    <row r="12" spans="1:12" x14ac:dyDescent="0.3">
      <c r="A12" s="93" t="s">
        <v>67</v>
      </c>
      <c r="B12" s="90" t="s">
        <v>65</v>
      </c>
      <c r="C12" s="89" t="s">
        <v>65</v>
      </c>
      <c r="D12" s="92" t="s">
        <v>66</v>
      </c>
      <c r="E12" s="91" t="s">
        <v>66</v>
      </c>
      <c r="F12" s="90" t="s">
        <v>65</v>
      </c>
      <c r="G12" s="89" t="s">
        <v>65</v>
      </c>
      <c r="H12" s="89" t="s">
        <v>65</v>
      </c>
      <c r="I12" s="89" t="s">
        <v>65</v>
      </c>
      <c r="J12" s="89" t="s">
        <v>65</v>
      </c>
      <c r="K12" s="88"/>
      <c r="L12" s="87"/>
    </row>
    <row r="13" spans="1:12" x14ac:dyDescent="0.3">
      <c r="L13" s="87"/>
    </row>
    <row r="14" spans="1:12" x14ac:dyDescent="0.3">
      <c r="L14" s="1"/>
    </row>
  </sheetData>
  <phoneticPr fontId="3" type="noConversion"/>
  <conditionalFormatting sqref="B4:J4">
    <cfRule type="cellIs" dxfId="1" priority="2" operator="lessThan">
      <formula>1</formula>
    </cfRule>
  </conditionalFormatting>
  <conditionalFormatting sqref="B10:J10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4"/>
  <sheetViews>
    <sheetView view="pageBreakPreview" zoomScale="60" zoomScaleNormal="100" workbookViewId="0">
      <selection activeCell="T28" sqref="T28"/>
    </sheetView>
  </sheetViews>
  <sheetFormatPr defaultRowHeight="12" x14ac:dyDescent="0.3"/>
  <cols>
    <col min="1" max="1" width="17.125" style="338" customWidth="1"/>
    <col min="2" max="13" width="13.625" style="336" customWidth="1"/>
    <col min="14" max="14" width="13.625" style="337" customWidth="1"/>
    <col min="15" max="15" width="10.625" style="336" customWidth="1"/>
    <col min="16" max="16" width="17.375" style="336" bestFit="1" customWidth="1"/>
    <col min="17" max="27" width="10.625" style="336" customWidth="1"/>
    <col min="28" max="28" width="14.5" style="336" customWidth="1"/>
    <col min="29" max="29" width="11.75" style="336" customWidth="1"/>
    <col min="30" max="254" width="9" style="336"/>
    <col min="255" max="268" width="10.625" style="336" customWidth="1"/>
    <col min="269" max="269" width="12.375" style="336" customWidth="1"/>
    <col min="270" max="284" width="10.625" style="336" customWidth="1"/>
    <col min="285" max="285" width="11.75" style="336" customWidth="1"/>
    <col min="286" max="510" width="9" style="336"/>
    <col min="511" max="524" width="10.625" style="336" customWidth="1"/>
    <col min="525" max="525" width="12.375" style="336" customWidth="1"/>
    <col min="526" max="540" width="10.625" style="336" customWidth="1"/>
    <col min="541" max="541" width="11.75" style="336" customWidth="1"/>
    <col min="542" max="766" width="9" style="336"/>
    <col min="767" max="780" width="10.625" style="336" customWidth="1"/>
    <col min="781" max="781" width="12.375" style="336" customWidth="1"/>
    <col min="782" max="796" width="10.625" style="336" customWidth="1"/>
    <col min="797" max="797" width="11.75" style="336" customWidth="1"/>
    <col min="798" max="1022" width="9" style="336"/>
    <col min="1023" max="1036" width="10.625" style="336" customWidth="1"/>
    <col min="1037" max="1037" width="12.375" style="336" customWidth="1"/>
    <col min="1038" max="1052" width="10.625" style="336" customWidth="1"/>
    <col min="1053" max="1053" width="11.75" style="336" customWidth="1"/>
    <col min="1054" max="1278" width="9" style="336"/>
    <col min="1279" max="1292" width="10.625" style="336" customWidth="1"/>
    <col min="1293" max="1293" width="12.375" style="336" customWidth="1"/>
    <col min="1294" max="1308" width="10.625" style="336" customWidth="1"/>
    <col min="1309" max="1309" width="11.75" style="336" customWidth="1"/>
    <col min="1310" max="1534" width="9" style="336"/>
    <col min="1535" max="1548" width="10.625" style="336" customWidth="1"/>
    <col min="1549" max="1549" width="12.375" style="336" customWidth="1"/>
    <col min="1550" max="1564" width="10.625" style="336" customWidth="1"/>
    <col min="1565" max="1565" width="11.75" style="336" customWidth="1"/>
    <col min="1566" max="1790" width="9" style="336"/>
    <col min="1791" max="1804" width="10.625" style="336" customWidth="1"/>
    <col min="1805" max="1805" width="12.375" style="336" customWidth="1"/>
    <col min="1806" max="1820" width="10.625" style="336" customWidth="1"/>
    <col min="1821" max="1821" width="11.75" style="336" customWidth="1"/>
    <col min="1822" max="2046" width="9" style="336"/>
    <col min="2047" max="2060" width="10.625" style="336" customWidth="1"/>
    <col min="2061" max="2061" width="12.375" style="336" customWidth="1"/>
    <col min="2062" max="2076" width="10.625" style="336" customWidth="1"/>
    <col min="2077" max="2077" width="11.75" style="336" customWidth="1"/>
    <col min="2078" max="2302" width="9" style="336"/>
    <col min="2303" max="2316" width="10.625" style="336" customWidth="1"/>
    <col min="2317" max="2317" width="12.375" style="336" customWidth="1"/>
    <col min="2318" max="2332" width="10.625" style="336" customWidth="1"/>
    <col min="2333" max="2333" width="11.75" style="336" customWidth="1"/>
    <col min="2334" max="2558" width="9" style="336"/>
    <col min="2559" max="2572" width="10.625" style="336" customWidth="1"/>
    <col min="2573" max="2573" width="12.375" style="336" customWidth="1"/>
    <col min="2574" max="2588" width="10.625" style="336" customWidth="1"/>
    <col min="2589" max="2589" width="11.75" style="336" customWidth="1"/>
    <col min="2590" max="2814" width="9" style="336"/>
    <col min="2815" max="2828" width="10.625" style="336" customWidth="1"/>
    <col min="2829" max="2829" width="12.375" style="336" customWidth="1"/>
    <col min="2830" max="2844" width="10.625" style="336" customWidth="1"/>
    <col min="2845" max="2845" width="11.75" style="336" customWidth="1"/>
    <col min="2846" max="3070" width="9" style="336"/>
    <col min="3071" max="3084" width="10.625" style="336" customWidth="1"/>
    <col min="3085" max="3085" width="12.375" style="336" customWidth="1"/>
    <col min="3086" max="3100" width="10.625" style="336" customWidth="1"/>
    <col min="3101" max="3101" width="11.75" style="336" customWidth="1"/>
    <col min="3102" max="3326" width="9" style="336"/>
    <col min="3327" max="3340" width="10.625" style="336" customWidth="1"/>
    <col min="3341" max="3341" width="12.375" style="336" customWidth="1"/>
    <col min="3342" max="3356" width="10.625" style="336" customWidth="1"/>
    <col min="3357" max="3357" width="11.75" style="336" customWidth="1"/>
    <col min="3358" max="3582" width="9" style="336"/>
    <col min="3583" max="3596" width="10.625" style="336" customWidth="1"/>
    <col min="3597" max="3597" width="12.375" style="336" customWidth="1"/>
    <col min="3598" max="3612" width="10.625" style="336" customWidth="1"/>
    <col min="3613" max="3613" width="11.75" style="336" customWidth="1"/>
    <col min="3614" max="3838" width="9" style="336"/>
    <col min="3839" max="3852" width="10.625" style="336" customWidth="1"/>
    <col min="3853" max="3853" width="12.375" style="336" customWidth="1"/>
    <col min="3854" max="3868" width="10.625" style="336" customWidth="1"/>
    <col min="3869" max="3869" width="11.75" style="336" customWidth="1"/>
    <col min="3870" max="4094" width="9" style="336"/>
    <col min="4095" max="4108" width="10.625" style="336" customWidth="1"/>
    <col min="4109" max="4109" width="12.375" style="336" customWidth="1"/>
    <col min="4110" max="4124" width="10.625" style="336" customWidth="1"/>
    <col min="4125" max="4125" width="11.75" style="336" customWidth="1"/>
    <col min="4126" max="4350" width="9" style="336"/>
    <col min="4351" max="4364" width="10.625" style="336" customWidth="1"/>
    <col min="4365" max="4365" width="12.375" style="336" customWidth="1"/>
    <col min="4366" max="4380" width="10.625" style="336" customWidth="1"/>
    <col min="4381" max="4381" width="11.75" style="336" customWidth="1"/>
    <col min="4382" max="4606" width="9" style="336"/>
    <col min="4607" max="4620" width="10.625" style="336" customWidth="1"/>
    <col min="4621" max="4621" width="12.375" style="336" customWidth="1"/>
    <col min="4622" max="4636" width="10.625" style="336" customWidth="1"/>
    <col min="4637" max="4637" width="11.75" style="336" customWidth="1"/>
    <col min="4638" max="4862" width="9" style="336"/>
    <col min="4863" max="4876" width="10.625" style="336" customWidth="1"/>
    <col min="4877" max="4877" width="12.375" style="336" customWidth="1"/>
    <col min="4878" max="4892" width="10.625" style="336" customWidth="1"/>
    <col min="4893" max="4893" width="11.75" style="336" customWidth="1"/>
    <col min="4894" max="5118" width="9" style="336"/>
    <col min="5119" max="5132" width="10.625" style="336" customWidth="1"/>
    <col min="5133" max="5133" width="12.375" style="336" customWidth="1"/>
    <col min="5134" max="5148" width="10.625" style="336" customWidth="1"/>
    <col min="5149" max="5149" width="11.75" style="336" customWidth="1"/>
    <col min="5150" max="5374" width="9" style="336"/>
    <col min="5375" max="5388" width="10.625" style="336" customWidth="1"/>
    <col min="5389" max="5389" width="12.375" style="336" customWidth="1"/>
    <col min="5390" max="5404" width="10.625" style="336" customWidth="1"/>
    <col min="5405" max="5405" width="11.75" style="336" customWidth="1"/>
    <col min="5406" max="5630" width="9" style="336"/>
    <col min="5631" max="5644" width="10.625" style="336" customWidth="1"/>
    <col min="5645" max="5645" width="12.375" style="336" customWidth="1"/>
    <col min="5646" max="5660" width="10.625" style="336" customWidth="1"/>
    <col min="5661" max="5661" width="11.75" style="336" customWidth="1"/>
    <col min="5662" max="5886" width="9" style="336"/>
    <col min="5887" max="5900" width="10.625" style="336" customWidth="1"/>
    <col min="5901" max="5901" width="12.375" style="336" customWidth="1"/>
    <col min="5902" max="5916" width="10.625" style="336" customWidth="1"/>
    <col min="5917" max="5917" width="11.75" style="336" customWidth="1"/>
    <col min="5918" max="6142" width="9" style="336"/>
    <col min="6143" max="6156" width="10.625" style="336" customWidth="1"/>
    <col min="6157" max="6157" width="12.375" style="336" customWidth="1"/>
    <col min="6158" max="6172" width="10.625" style="336" customWidth="1"/>
    <col min="6173" max="6173" width="11.75" style="336" customWidth="1"/>
    <col min="6174" max="6398" width="9" style="336"/>
    <col min="6399" max="6412" width="10.625" style="336" customWidth="1"/>
    <col min="6413" max="6413" width="12.375" style="336" customWidth="1"/>
    <col min="6414" max="6428" width="10.625" style="336" customWidth="1"/>
    <col min="6429" max="6429" width="11.75" style="336" customWidth="1"/>
    <col min="6430" max="6654" width="9" style="336"/>
    <col min="6655" max="6668" width="10.625" style="336" customWidth="1"/>
    <col min="6669" max="6669" width="12.375" style="336" customWidth="1"/>
    <col min="6670" max="6684" width="10.625" style="336" customWidth="1"/>
    <col min="6685" max="6685" width="11.75" style="336" customWidth="1"/>
    <col min="6686" max="6910" width="9" style="336"/>
    <col min="6911" max="6924" width="10.625" style="336" customWidth="1"/>
    <col min="6925" max="6925" width="12.375" style="336" customWidth="1"/>
    <col min="6926" max="6940" width="10.625" style="336" customWidth="1"/>
    <col min="6941" max="6941" width="11.75" style="336" customWidth="1"/>
    <col min="6942" max="7166" width="9" style="336"/>
    <col min="7167" max="7180" width="10.625" style="336" customWidth="1"/>
    <col min="7181" max="7181" width="12.375" style="336" customWidth="1"/>
    <col min="7182" max="7196" width="10.625" style="336" customWidth="1"/>
    <col min="7197" max="7197" width="11.75" style="336" customWidth="1"/>
    <col min="7198" max="7422" width="9" style="336"/>
    <col min="7423" max="7436" width="10.625" style="336" customWidth="1"/>
    <col min="7437" max="7437" width="12.375" style="336" customWidth="1"/>
    <col min="7438" max="7452" width="10.625" style="336" customWidth="1"/>
    <col min="7453" max="7453" width="11.75" style="336" customWidth="1"/>
    <col min="7454" max="7678" width="9" style="336"/>
    <col min="7679" max="7692" width="10.625" style="336" customWidth="1"/>
    <col min="7693" max="7693" width="12.375" style="336" customWidth="1"/>
    <col min="7694" max="7708" width="10.625" style="336" customWidth="1"/>
    <col min="7709" max="7709" width="11.75" style="336" customWidth="1"/>
    <col min="7710" max="7934" width="9" style="336"/>
    <col min="7935" max="7948" width="10.625" style="336" customWidth="1"/>
    <col min="7949" max="7949" width="12.375" style="336" customWidth="1"/>
    <col min="7950" max="7964" width="10.625" style="336" customWidth="1"/>
    <col min="7965" max="7965" width="11.75" style="336" customWidth="1"/>
    <col min="7966" max="8190" width="9" style="336"/>
    <col min="8191" max="8204" width="10.625" style="336" customWidth="1"/>
    <col min="8205" max="8205" width="12.375" style="336" customWidth="1"/>
    <col min="8206" max="8220" width="10.625" style="336" customWidth="1"/>
    <col min="8221" max="8221" width="11.75" style="336" customWidth="1"/>
    <col min="8222" max="8446" width="9" style="336"/>
    <col min="8447" max="8460" width="10.625" style="336" customWidth="1"/>
    <col min="8461" max="8461" width="12.375" style="336" customWidth="1"/>
    <col min="8462" max="8476" width="10.625" style="336" customWidth="1"/>
    <col min="8477" max="8477" width="11.75" style="336" customWidth="1"/>
    <col min="8478" max="8702" width="9" style="336"/>
    <col min="8703" max="8716" width="10.625" style="336" customWidth="1"/>
    <col min="8717" max="8717" width="12.375" style="336" customWidth="1"/>
    <col min="8718" max="8732" width="10.625" style="336" customWidth="1"/>
    <col min="8733" max="8733" width="11.75" style="336" customWidth="1"/>
    <col min="8734" max="8958" width="9" style="336"/>
    <col min="8959" max="8972" width="10.625" style="336" customWidth="1"/>
    <col min="8973" max="8973" width="12.375" style="336" customWidth="1"/>
    <col min="8974" max="8988" width="10.625" style="336" customWidth="1"/>
    <col min="8989" max="8989" width="11.75" style="336" customWidth="1"/>
    <col min="8990" max="9214" width="9" style="336"/>
    <col min="9215" max="9228" width="10.625" style="336" customWidth="1"/>
    <col min="9229" max="9229" width="12.375" style="336" customWidth="1"/>
    <col min="9230" max="9244" width="10.625" style="336" customWidth="1"/>
    <col min="9245" max="9245" width="11.75" style="336" customWidth="1"/>
    <col min="9246" max="9470" width="9" style="336"/>
    <col min="9471" max="9484" width="10.625" style="336" customWidth="1"/>
    <col min="9485" max="9485" width="12.375" style="336" customWidth="1"/>
    <col min="9486" max="9500" width="10.625" style="336" customWidth="1"/>
    <col min="9501" max="9501" width="11.75" style="336" customWidth="1"/>
    <col min="9502" max="9726" width="9" style="336"/>
    <col min="9727" max="9740" width="10.625" style="336" customWidth="1"/>
    <col min="9741" max="9741" width="12.375" style="336" customWidth="1"/>
    <col min="9742" max="9756" width="10.625" style="336" customWidth="1"/>
    <col min="9757" max="9757" width="11.75" style="336" customWidth="1"/>
    <col min="9758" max="9982" width="9" style="336"/>
    <col min="9983" max="9996" width="10.625" style="336" customWidth="1"/>
    <col min="9997" max="9997" width="12.375" style="336" customWidth="1"/>
    <col min="9998" max="10012" width="10.625" style="336" customWidth="1"/>
    <col min="10013" max="10013" width="11.75" style="336" customWidth="1"/>
    <col min="10014" max="10238" width="9" style="336"/>
    <col min="10239" max="10252" width="10.625" style="336" customWidth="1"/>
    <col min="10253" max="10253" width="12.375" style="336" customWidth="1"/>
    <col min="10254" max="10268" width="10.625" style="336" customWidth="1"/>
    <col min="10269" max="10269" width="11.75" style="336" customWidth="1"/>
    <col min="10270" max="10494" width="9" style="336"/>
    <col min="10495" max="10508" width="10.625" style="336" customWidth="1"/>
    <col min="10509" max="10509" width="12.375" style="336" customWidth="1"/>
    <col min="10510" max="10524" width="10.625" style="336" customWidth="1"/>
    <col min="10525" max="10525" width="11.75" style="336" customWidth="1"/>
    <col min="10526" max="10750" width="9" style="336"/>
    <col min="10751" max="10764" width="10.625" style="336" customWidth="1"/>
    <col min="10765" max="10765" width="12.375" style="336" customWidth="1"/>
    <col min="10766" max="10780" width="10.625" style="336" customWidth="1"/>
    <col min="10781" max="10781" width="11.75" style="336" customWidth="1"/>
    <col min="10782" max="11006" width="9" style="336"/>
    <col min="11007" max="11020" width="10.625" style="336" customWidth="1"/>
    <col min="11021" max="11021" width="12.375" style="336" customWidth="1"/>
    <col min="11022" max="11036" width="10.625" style="336" customWidth="1"/>
    <col min="11037" max="11037" width="11.75" style="336" customWidth="1"/>
    <col min="11038" max="11262" width="9" style="336"/>
    <col min="11263" max="11276" width="10.625" style="336" customWidth="1"/>
    <col min="11277" max="11277" width="12.375" style="336" customWidth="1"/>
    <col min="11278" max="11292" width="10.625" style="336" customWidth="1"/>
    <col min="11293" max="11293" width="11.75" style="336" customWidth="1"/>
    <col min="11294" max="11518" width="9" style="336"/>
    <col min="11519" max="11532" width="10.625" style="336" customWidth="1"/>
    <col min="11533" max="11533" width="12.375" style="336" customWidth="1"/>
    <col min="11534" max="11548" width="10.625" style="336" customWidth="1"/>
    <col min="11549" max="11549" width="11.75" style="336" customWidth="1"/>
    <col min="11550" max="11774" width="9" style="336"/>
    <col min="11775" max="11788" width="10.625" style="336" customWidth="1"/>
    <col min="11789" max="11789" width="12.375" style="336" customWidth="1"/>
    <col min="11790" max="11804" width="10.625" style="336" customWidth="1"/>
    <col min="11805" max="11805" width="11.75" style="336" customWidth="1"/>
    <col min="11806" max="12030" width="9" style="336"/>
    <col min="12031" max="12044" width="10.625" style="336" customWidth="1"/>
    <col min="12045" max="12045" width="12.375" style="336" customWidth="1"/>
    <col min="12046" max="12060" width="10.625" style="336" customWidth="1"/>
    <col min="12061" max="12061" width="11.75" style="336" customWidth="1"/>
    <col min="12062" max="12286" width="9" style="336"/>
    <col min="12287" max="12300" width="10.625" style="336" customWidth="1"/>
    <col min="12301" max="12301" width="12.375" style="336" customWidth="1"/>
    <col min="12302" max="12316" width="10.625" style="336" customWidth="1"/>
    <col min="12317" max="12317" width="11.75" style="336" customWidth="1"/>
    <col min="12318" max="12542" width="9" style="336"/>
    <col min="12543" max="12556" width="10.625" style="336" customWidth="1"/>
    <col min="12557" max="12557" width="12.375" style="336" customWidth="1"/>
    <col min="12558" max="12572" width="10.625" style="336" customWidth="1"/>
    <col min="12573" max="12573" width="11.75" style="336" customWidth="1"/>
    <col min="12574" max="12798" width="9" style="336"/>
    <col min="12799" max="12812" width="10.625" style="336" customWidth="1"/>
    <col min="12813" max="12813" width="12.375" style="336" customWidth="1"/>
    <col min="12814" max="12828" width="10.625" style="336" customWidth="1"/>
    <col min="12829" max="12829" width="11.75" style="336" customWidth="1"/>
    <col min="12830" max="13054" width="9" style="336"/>
    <col min="13055" max="13068" width="10.625" style="336" customWidth="1"/>
    <col min="13069" max="13069" width="12.375" style="336" customWidth="1"/>
    <col min="13070" max="13084" width="10.625" style="336" customWidth="1"/>
    <col min="13085" max="13085" width="11.75" style="336" customWidth="1"/>
    <col min="13086" max="13310" width="9" style="336"/>
    <col min="13311" max="13324" width="10.625" style="336" customWidth="1"/>
    <col min="13325" max="13325" width="12.375" style="336" customWidth="1"/>
    <col min="13326" max="13340" width="10.625" style="336" customWidth="1"/>
    <col min="13341" max="13341" width="11.75" style="336" customWidth="1"/>
    <col min="13342" max="13566" width="9" style="336"/>
    <col min="13567" max="13580" width="10.625" style="336" customWidth="1"/>
    <col min="13581" max="13581" width="12.375" style="336" customWidth="1"/>
    <col min="13582" max="13596" width="10.625" style="336" customWidth="1"/>
    <col min="13597" max="13597" width="11.75" style="336" customWidth="1"/>
    <col min="13598" max="13822" width="9" style="336"/>
    <col min="13823" max="13836" width="10.625" style="336" customWidth="1"/>
    <col min="13837" max="13837" width="12.375" style="336" customWidth="1"/>
    <col min="13838" max="13852" width="10.625" style="336" customWidth="1"/>
    <col min="13853" max="13853" width="11.75" style="336" customWidth="1"/>
    <col min="13854" max="14078" width="9" style="336"/>
    <col min="14079" max="14092" width="10.625" style="336" customWidth="1"/>
    <col min="14093" max="14093" width="12.375" style="336" customWidth="1"/>
    <col min="14094" max="14108" width="10.625" style="336" customWidth="1"/>
    <col min="14109" max="14109" width="11.75" style="336" customWidth="1"/>
    <col min="14110" max="14334" width="9" style="336"/>
    <col min="14335" max="14348" width="10.625" style="336" customWidth="1"/>
    <col min="14349" max="14349" width="12.375" style="336" customWidth="1"/>
    <col min="14350" max="14364" width="10.625" style="336" customWidth="1"/>
    <col min="14365" max="14365" width="11.75" style="336" customWidth="1"/>
    <col min="14366" max="14590" width="9" style="336"/>
    <col min="14591" max="14604" width="10.625" style="336" customWidth="1"/>
    <col min="14605" max="14605" width="12.375" style="336" customWidth="1"/>
    <col min="14606" max="14620" width="10.625" style="336" customWidth="1"/>
    <col min="14621" max="14621" width="11.75" style="336" customWidth="1"/>
    <col min="14622" max="14846" width="9" style="336"/>
    <col min="14847" max="14860" width="10.625" style="336" customWidth="1"/>
    <col min="14861" max="14861" width="12.375" style="336" customWidth="1"/>
    <col min="14862" max="14876" width="10.625" style="336" customWidth="1"/>
    <col min="14877" max="14877" width="11.75" style="336" customWidth="1"/>
    <col min="14878" max="15102" width="9" style="336"/>
    <col min="15103" max="15116" width="10.625" style="336" customWidth="1"/>
    <col min="15117" max="15117" width="12.375" style="336" customWidth="1"/>
    <col min="15118" max="15132" width="10.625" style="336" customWidth="1"/>
    <col min="15133" max="15133" width="11.75" style="336" customWidth="1"/>
    <col min="15134" max="15358" width="9" style="336"/>
    <col min="15359" max="15372" width="10.625" style="336" customWidth="1"/>
    <col min="15373" max="15373" width="12.375" style="336" customWidth="1"/>
    <col min="15374" max="15388" width="10.625" style="336" customWidth="1"/>
    <col min="15389" max="15389" width="11.75" style="336" customWidth="1"/>
    <col min="15390" max="15614" width="9" style="336"/>
    <col min="15615" max="15628" width="10.625" style="336" customWidth="1"/>
    <col min="15629" max="15629" width="12.375" style="336" customWidth="1"/>
    <col min="15630" max="15644" width="10.625" style="336" customWidth="1"/>
    <col min="15645" max="15645" width="11.75" style="336" customWidth="1"/>
    <col min="15646" max="15870" width="9" style="336"/>
    <col min="15871" max="15884" width="10.625" style="336" customWidth="1"/>
    <col min="15885" max="15885" width="12.375" style="336" customWidth="1"/>
    <col min="15886" max="15900" width="10.625" style="336" customWidth="1"/>
    <col min="15901" max="15901" width="11.75" style="336" customWidth="1"/>
    <col min="15902" max="16126" width="9" style="336"/>
    <col min="16127" max="16140" width="10.625" style="336" customWidth="1"/>
    <col min="16141" max="16141" width="12.375" style="336" customWidth="1"/>
    <col min="16142" max="16156" width="10.625" style="336" customWidth="1"/>
    <col min="16157" max="16157" width="11.75" style="336" customWidth="1"/>
    <col min="16158" max="16384" width="9" style="336"/>
  </cols>
  <sheetData>
    <row r="1" spans="1:29" ht="16.5" x14ac:dyDescent="0.3">
      <c r="A1" s="384" t="s">
        <v>286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</row>
    <row r="2" spans="1:29" ht="16.5" x14ac:dyDescent="0.3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</row>
    <row r="3" spans="1:29" ht="17.25" thickBot="1" x14ac:dyDescent="0.35">
      <c r="A3" s="358" t="s">
        <v>285</v>
      </c>
      <c r="B3" s="339"/>
      <c r="C3" s="339"/>
      <c r="D3" s="339"/>
      <c r="E3" s="339"/>
      <c r="F3" s="339"/>
      <c r="G3" s="339"/>
      <c r="H3" s="339"/>
      <c r="I3" s="339"/>
      <c r="J3" s="339"/>
      <c r="K3" s="366"/>
      <c r="L3" s="366"/>
      <c r="M3" s="339"/>
      <c r="N3" s="257"/>
      <c r="O3" s="339"/>
      <c r="P3" s="358" t="s">
        <v>284</v>
      </c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189" t="s">
        <v>283</v>
      </c>
    </row>
    <row r="4" spans="1:29" ht="17.25" thickBot="1" x14ac:dyDescent="0.35">
      <c r="A4" s="355"/>
      <c r="B4" s="355" t="s">
        <v>281</v>
      </c>
      <c r="C4" s="355" t="s">
        <v>149</v>
      </c>
      <c r="D4" s="355" t="s">
        <v>148</v>
      </c>
      <c r="E4" s="355" t="s">
        <v>46</v>
      </c>
      <c r="F4" s="355" t="s">
        <v>44</v>
      </c>
      <c r="G4" s="355" t="s">
        <v>42</v>
      </c>
      <c r="H4" s="355" t="s">
        <v>40</v>
      </c>
      <c r="I4" s="355" t="s">
        <v>38</v>
      </c>
      <c r="J4" s="355" t="s">
        <v>36</v>
      </c>
      <c r="K4" s="355" t="s">
        <v>34</v>
      </c>
      <c r="L4" s="355" t="s">
        <v>32</v>
      </c>
      <c r="M4" s="357" t="s">
        <v>27</v>
      </c>
      <c r="N4" s="356" t="s">
        <v>282</v>
      </c>
      <c r="O4" s="339"/>
      <c r="P4" s="383"/>
      <c r="Q4" s="355" t="s">
        <v>281</v>
      </c>
      <c r="R4" s="355" t="s">
        <v>149</v>
      </c>
      <c r="S4" s="355" t="s">
        <v>148</v>
      </c>
      <c r="T4" s="355" t="s">
        <v>46</v>
      </c>
      <c r="U4" s="355" t="s">
        <v>44</v>
      </c>
      <c r="V4" s="355" t="s">
        <v>42</v>
      </c>
      <c r="W4" s="355" t="s">
        <v>40</v>
      </c>
      <c r="X4" s="355" t="s">
        <v>38</v>
      </c>
      <c r="Y4" s="355" t="s">
        <v>36</v>
      </c>
      <c r="Z4" s="355" t="s">
        <v>34</v>
      </c>
      <c r="AA4" s="355" t="s">
        <v>32</v>
      </c>
      <c r="AB4" s="357" t="s">
        <v>27</v>
      </c>
      <c r="AC4" s="382" t="s">
        <v>280</v>
      </c>
    </row>
    <row r="5" spans="1:29" s="337" customFormat="1" ht="17.25" thickBot="1" x14ac:dyDescent="0.35">
      <c r="A5" s="355" t="s">
        <v>279</v>
      </c>
      <c r="B5" s="354">
        <v>3624546</v>
      </c>
      <c r="C5" s="354">
        <v>4074318</v>
      </c>
      <c r="D5" s="354">
        <v>7202364</v>
      </c>
      <c r="E5" s="354">
        <v>8964091</v>
      </c>
      <c r="F5" s="354">
        <v>8007862</v>
      </c>
      <c r="G5" s="354">
        <v>7584043</v>
      </c>
      <c r="H5" s="354">
        <v>4597229</v>
      </c>
      <c r="I5" s="354">
        <v>4516705</v>
      </c>
      <c r="J5" s="354">
        <v>6702394</v>
      </c>
      <c r="K5" s="354">
        <v>6322082</v>
      </c>
      <c r="L5" s="354">
        <v>5677278</v>
      </c>
      <c r="M5" s="43">
        <v>5224242</v>
      </c>
      <c r="N5" s="349">
        <f>SUM(B5:M5)</f>
        <v>72497154</v>
      </c>
      <c r="O5" s="257"/>
      <c r="P5" s="381" t="s">
        <v>279</v>
      </c>
      <c r="Q5" s="380">
        <f>IF(B5,B20/B5,"")</f>
        <v>0.14445533316448461</v>
      </c>
      <c r="R5" s="380">
        <f>IF(C5,C20/C5,"")</f>
        <v>0.39638732175544472</v>
      </c>
      <c r="S5" s="380">
        <f>IF(D5,D20/D5,"")</f>
        <v>0.26674714024450863</v>
      </c>
      <c r="T5" s="380">
        <f>IF(E5,E20/E5,"")</f>
        <v>0.27524932533594315</v>
      </c>
      <c r="U5" s="380">
        <f>IF(F5,F20/F5,"")</f>
        <v>0.22383103005521324</v>
      </c>
      <c r="V5" s="380">
        <f>IF(G5,G20/G5,"")</f>
        <v>0.26437165506577426</v>
      </c>
      <c r="W5" s="380">
        <f>IF(H5,H20/H5,"")</f>
        <v>0.26008645642842676</v>
      </c>
      <c r="X5" s="380">
        <f>IF(I5,I20/I5,"")</f>
        <v>0.25352330958076741</v>
      </c>
      <c r="Y5" s="380">
        <f>IF(J5,J20/J5,"")</f>
        <v>0.22077283131967473</v>
      </c>
      <c r="Z5" s="380">
        <f>IF(K5,K20/K5,"")</f>
        <v>0.28640770556281936</v>
      </c>
      <c r="AA5" s="380">
        <f>IF(L5,L20/L5,"")</f>
        <v>0.27372061047565399</v>
      </c>
      <c r="AB5" s="380">
        <f>IF(M5,M20/M5,"")</f>
        <v>0.28556468096232906</v>
      </c>
      <c r="AC5" s="377">
        <f>AVERAGE(Q5:AB5)</f>
        <v>0.26259311666258661</v>
      </c>
    </row>
    <row r="6" spans="1:29" ht="17.25" thickBot="1" x14ac:dyDescent="0.35">
      <c r="A6" s="355" t="s">
        <v>278</v>
      </c>
      <c r="B6" s="354">
        <v>1197909</v>
      </c>
      <c r="C6" s="354">
        <v>1103727</v>
      </c>
      <c r="D6" s="354">
        <v>1365455</v>
      </c>
      <c r="E6" s="354">
        <v>1352271</v>
      </c>
      <c r="F6" s="354">
        <v>1300363</v>
      </c>
      <c r="G6" s="354">
        <v>1886002</v>
      </c>
      <c r="H6" s="354">
        <v>1493638</v>
      </c>
      <c r="I6" s="354">
        <v>1311624</v>
      </c>
      <c r="J6" s="354">
        <v>1304142</v>
      </c>
      <c r="K6" s="354">
        <v>1210235</v>
      </c>
      <c r="L6" s="354">
        <v>1170610</v>
      </c>
      <c r="M6" s="42">
        <v>1117701</v>
      </c>
      <c r="N6" s="349">
        <f>SUM(B6:M6)</f>
        <v>15813677</v>
      </c>
      <c r="O6" s="339"/>
      <c r="P6" s="381" t="s">
        <v>278</v>
      </c>
      <c r="Q6" s="380">
        <f>IF(B6,B21/B6,"")</f>
        <v>0.14793277285670281</v>
      </c>
      <c r="R6" s="380">
        <f>IF(C6,C21/C6,"")</f>
        <v>0.64474276700669642</v>
      </c>
      <c r="S6" s="380">
        <f>IF(D6,D21/D6,"")</f>
        <v>0.14179156398416645</v>
      </c>
      <c r="T6" s="380">
        <f>IF(E6,E21/E6,"")</f>
        <v>0.30785988903111877</v>
      </c>
      <c r="U6" s="380">
        <f>IF(F6,F21/F6,"")</f>
        <v>0.27569071097839604</v>
      </c>
      <c r="V6" s="380">
        <f>IF(G6,G21/G6,"")</f>
        <v>0.27661688587816979</v>
      </c>
      <c r="W6" s="380">
        <f>IF(H6,H21/H6,"")</f>
        <v>0.25999606330315644</v>
      </c>
      <c r="X6" s="380">
        <f>IF(I6,I21/I6,"")</f>
        <v>0.35805230767354057</v>
      </c>
      <c r="Y6" s="380">
        <f>IF(J6,J21/J6,"")</f>
        <v>0.26844469390603171</v>
      </c>
      <c r="Z6" s="380">
        <f>IF(K6,K21/K6,"")</f>
        <v>0.16968605270877143</v>
      </c>
      <c r="AA6" s="380">
        <f>IF(L6,L21/L6,"")</f>
        <v>0.13745824826372574</v>
      </c>
      <c r="AB6" s="380">
        <f>IF(M6,M21/M6,"")</f>
        <v>0.29682356909406005</v>
      </c>
      <c r="AC6" s="377">
        <f>AVERAGE(Q6:AB6)</f>
        <v>0.27375796039037809</v>
      </c>
    </row>
    <row r="7" spans="1:29" ht="17.25" thickBot="1" x14ac:dyDescent="0.35">
      <c r="A7" s="348" t="s">
        <v>277</v>
      </c>
      <c r="B7" s="352">
        <f>SUM(B5:B6)</f>
        <v>4822455</v>
      </c>
      <c r="C7" s="352">
        <f>SUM(C5:C6)</f>
        <v>5178045</v>
      </c>
      <c r="D7" s="352">
        <f>SUM(D5:D6)</f>
        <v>8567819</v>
      </c>
      <c r="E7" s="352">
        <f>SUM(E5:E6)</f>
        <v>10316362</v>
      </c>
      <c r="F7" s="352">
        <f>SUM(F5:F6)</f>
        <v>9308225</v>
      </c>
      <c r="G7" s="352">
        <f>SUM(G5:G6)</f>
        <v>9470045</v>
      </c>
      <c r="H7" s="352">
        <f>SUM(H5:H6)</f>
        <v>6090867</v>
      </c>
      <c r="I7" s="352">
        <f>SUM(I5:I6)</f>
        <v>5828329</v>
      </c>
      <c r="J7" s="352">
        <f>SUM(J5:J6)</f>
        <v>8006536</v>
      </c>
      <c r="K7" s="352">
        <f>SUM(K5:K6)</f>
        <v>7532317</v>
      </c>
      <c r="L7" s="352">
        <f>SUM(L5:L6)</f>
        <v>6847888</v>
      </c>
      <c r="M7" s="351">
        <f>SUM(M5:M6)</f>
        <v>6341943</v>
      </c>
      <c r="N7" s="345">
        <f>SUM(B7:M7)</f>
        <v>88310831</v>
      </c>
      <c r="O7" s="339"/>
      <c r="P7" s="376" t="s">
        <v>277</v>
      </c>
      <c r="Q7" s="375">
        <f>AVERAGE(Q5:Q6)</f>
        <v>0.14619405301059371</v>
      </c>
      <c r="R7" s="375">
        <f>AVERAGE(R5:R6)</f>
        <v>0.52056504438107054</v>
      </c>
      <c r="S7" s="375">
        <f>AVERAGE(S5:S6)</f>
        <v>0.20426935211433755</v>
      </c>
      <c r="T7" s="375">
        <f>AVERAGE(T5:T6)</f>
        <v>0.29155460718353099</v>
      </c>
      <c r="U7" s="375">
        <f>AVERAGE(U5:U6)</f>
        <v>0.24976087051680462</v>
      </c>
      <c r="V7" s="375">
        <f>AVERAGE(V5:V6)</f>
        <v>0.27049427047197205</v>
      </c>
      <c r="W7" s="375">
        <f>AVERAGE(W5:W6)</f>
        <v>0.26004125986579163</v>
      </c>
      <c r="X7" s="375">
        <f>AVERAGE(X5:X6)</f>
        <v>0.30578780862715399</v>
      </c>
      <c r="Y7" s="375">
        <f>AVERAGE(Y5:Y6)</f>
        <v>0.24460876261285322</v>
      </c>
      <c r="Z7" s="375">
        <f>AVERAGE(Z5:Z6)</f>
        <v>0.22804687913579541</v>
      </c>
      <c r="AA7" s="375">
        <f>AVERAGE(AA5:AA6)</f>
        <v>0.20558942936968988</v>
      </c>
      <c r="AB7" s="375">
        <f>AVERAGE(AB5:AB6)</f>
        <v>0.29119412502819453</v>
      </c>
      <c r="AC7" s="374"/>
    </row>
    <row r="8" spans="1:29" ht="17.25" thickBot="1" x14ac:dyDescent="0.35">
      <c r="A8" s="350" t="s">
        <v>276</v>
      </c>
      <c r="B8" s="34">
        <v>3360549</v>
      </c>
      <c r="C8" s="34">
        <v>3516907</v>
      </c>
      <c r="D8" s="34">
        <v>8452364</v>
      </c>
      <c r="E8" s="34">
        <v>11302912</v>
      </c>
      <c r="F8" s="34">
        <v>7367820</v>
      </c>
      <c r="G8" s="34">
        <v>8433726</v>
      </c>
      <c r="H8" s="34">
        <v>4740636</v>
      </c>
      <c r="I8" s="34">
        <v>5262000</v>
      </c>
      <c r="J8" s="34">
        <v>7311538</v>
      </c>
      <c r="K8" s="34">
        <v>11156999</v>
      </c>
      <c r="L8" s="34">
        <v>6409748</v>
      </c>
      <c r="M8" s="42">
        <v>7456285</v>
      </c>
      <c r="N8" s="349">
        <f>SUM(B8:M8)</f>
        <v>84771484</v>
      </c>
      <c r="O8" s="339"/>
      <c r="P8" s="379" t="s">
        <v>276</v>
      </c>
      <c r="Q8" s="378">
        <f>IF(B8,B23/B8,"")</f>
        <v>0.20241335567492097</v>
      </c>
      <c r="R8" s="378">
        <f>IF(C8,C23/C8,"")</f>
        <v>0.34441570391255727</v>
      </c>
      <c r="S8" s="378">
        <f>IF(D8,D23/D8,"")</f>
        <v>0.25080439034570684</v>
      </c>
      <c r="T8" s="378">
        <f>IF(E8,E23/E8,"")</f>
        <v>0.27939817632836567</v>
      </c>
      <c r="U8" s="378">
        <f>IF(F8,F23/F8,"")</f>
        <v>0.24390918887812135</v>
      </c>
      <c r="V8" s="378">
        <f>IF(G8,G23/G8,"")</f>
        <v>0.2213845932390974</v>
      </c>
      <c r="W8" s="378">
        <f>IF(H8,H23/H8,"")</f>
        <v>0.28380537970010777</v>
      </c>
      <c r="X8" s="378">
        <f>IF(I8,I23/I8,"")</f>
        <v>0.2782039148612695</v>
      </c>
      <c r="Y8" s="378">
        <f>IF(J8,J23/J8,"")</f>
        <v>0.25260622320502196</v>
      </c>
      <c r="Z8" s="378">
        <f>IF(K8,K23/K8,"")</f>
        <v>0.24331211287192908</v>
      </c>
      <c r="AA8" s="378">
        <f>IF(L8,L23/L8,"")</f>
        <v>0.35155984291426123</v>
      </c>
      <c r="AB8" s="378">
        <f>IF(M8,M23/M8,"")</f>
        <v>0.25832676728424409</v>
      </c>
      <c r="AC8" s="377">
        <f>AVERAGE(Q8:AB8)</f>
        <v>0.26751163743463363</v>
      </c>
    </row>
    <row r="9" spans="1:29" ht="17.25" thickBot="1" x14ac:dyDescent="0.35">
      <c r="A9" s="350" t="s">
        <v>275</v>
      </c>
      <c r="B9" s="34">
        <v>2822363</v>
      </c>
      <c r="C9" s="34">
        <v>3608272</v>
      </c>
      <c r="D9" s="34">
        <v>7909000</v>
      </c>
      <c r="E9" s="34">
        <v>11143817</v>
      </c>
      <c r="F9" s="34">
        <v>7698545</v>
      </c>
      <c r="G9" s="34">
        <v>6648544</v>
      </c>
      <c r="H9" s="34">
        <v>4315363</v>
      </c>
      <c r="I9" s="34">
        <v>4259366</v>
      </c>
      <c r="J9" s="34">
        <v>7348276</v>
      </c>
      <c r="K9" s="34">
        <v>7535118</v>
      </c>
      <c r="L9" s="34">
        <v>9404923</v>
      </c>
      <c r="M9" s="42">
        <v>4828025</v>
      </c>
      <c r="N9" s="349">
        <f>SUM(B9:M9)</f>
        <v>77521612</v>
      </c>
      <c r="O9" s="339"/>
      <c r="P9" s="379" t="s">
        <v>275</v>
      </c>
      <c r="Q9" s="378">
        <f>IF(B9,B24/B9,"")</f>
        <v>0.27993564258034848</v>
      </c>
      <c r="R9" s="378">
        <f>IF(C9,C24/C9,"")</f>
        <v>0.38449706673997969</v>
      </c>
      <c r="S9" s="378">
        <f>IF(D9,D24/D9,"")</f>
        <v>0.28694367176634217</v>
      </c>
      <c r="T9" s="378">
        <f>IF(E9,E24/E9,"")</f>
        <v>0.30444398001151668</v>
      </c>
      <c r="U9" s="378">
        <f>IF(F9,F24/F9,"")</f>
        <v>0.2247279193665816</v>
      </c>
      <c r="V9" s="378">
        <f>IF(G9,G24/G9,"")</f>
        <v>0.23154392901663884</v>
      </c>
      <c r="W9" s="378">
        <f>IF(H9,H24/H9,"")</f>
        <v>0.26685773595407847</v>
      </c>
      <c r="X9" s="378">
        <f>IF(I9,I24/I9,"")</f>
        <v>0.3901383445329657</v>
      </c>
      <c r="Y9" s="378">
        <f>IF(J9,J24/J9,"")</f>
        <v>0.24925424684647121</v>
      </c>
      <c r="Z9" s="378">
        <f>IF(K9,K24/K9,"")</f>
        <v>0.34391472037995957</v>
      </c>
      <c r="AA9" s="378">
        <f>IF(L9,L24/L9,"")</f>
        <v>0.23226973788089494</v>
      </c>
      <c r="AB9" s="378">
        <f>IF(M9,M24/M9,"")</f>
        <v>0.28912008533510081</v>
      </c>
      <c r="AC9" s="377">
        <f>AVERAGE(Q9:AB9)</f>
        <v>0.29030392336757321</v>
      </c>
    </row>
    <row r="10" spans="1:29" ht="17.25" thickBot="1" x14ac:dyDescent="0.35">
      <c r="A10" s="350" t="s">
        <v>274</v>
      </c>
      <c r="B10" s="34">
        <v>2648821</v>
      </c>
      <c r="C10" s="34">
        <v>2592181</v>
      </c>
      <c r="D10" s="34">
        <v>7700272</v>
      </c>
      <c r="E10" s="34">
        <v>7630453</v>
      </c>
      <c r="F10" s="34">
        <v>5715364</v>
      </c>
      <c r="G10" s="34">
        <v>5542271</v>
      </c>
      <c r="H10" s="34">
        <v>3792089</v>
      </c>
      <c r="I10" s="34">
        <v>3247454</v>
      </c>
      <c r="J10" s="34">
        <v>6377108</v>
      </c>
      <c r="K10" s="34">
        <v>6407784</v>
      </c>
      <c r="L10" s="34">
        <v>6508703</v>
      </c>
      <c r="M10" s="41">
        <v>5802980</v>
      </c>
      <c r="N10" s="349">
        <f>SUM(B10:M10)</f>
        <v>63965480</v>
      </c>
      <c r="O10" s="339"/>
      <c r="P10" s="379" t="s">
        <v>273</v>
      </c>
      <c r="Q10" s="378">
        <f>IF(B10,B25/B10,"")</f>
        <v>0.17645208943903723</v>
      </c>
      <c r="R10" s="378">
        <f>IF(C10,C25/C10,"")</f>
        <v>0.4678504317406848</v>
      </c>
      <c r="S10" s="378">
        <f>IF(D10,D25/D10,"")</f>
        <v>0.18276627111353988</v>
      </c>
      <c r="T10" s="378">
        <f>IF(E10,E25/E10,"")</f>
        <v>0.23225003810389763</v>
      </c>
      <c r="U10" s="378">
        <f>IF(F10,F25/F10,"")</f>
        <v>0.19796464407166367</v>
      </c>
      <c r="V10" s="378">
        <f>IF(G10,G25/G10,"")</f>
        <v>0.19737991880945555</v>
      </c>
      <c r="W10" s="378">
        <f>IF(H10,H25/H10,"")</f>
        <v>0.20331273870418126</v>
      </c>
      <c r="X10" s="378">
        <f>IF(I10,I25/I10,"")</f>
        <v>0.24090348931809349</v>
      </c>
      <c r="Y10" s="378">
        <f>IF(J10,J25/J10,"")</f>
        <v>0.19960968200632637</v>
      </c>
      <c r="Z10" s="378">
        <f>IF(K10,K25/K10,"")</f>
        <v>0.25315819010128932</v>
      </c>
      <c r="AA10" s="378">
        <f>IF(L10,L25/L10,"")</f>
        <v>0.18756578691637951</v>
      </c>
      <c r="AB10" s="378">
        <f>IF(M10,M25/M10,"")</f>
        <v>0.25058383795911754</v>
      </c>
      <c r="AC10" s="377">
        <f>AVERAGE(Q10:AB10)</f>
        <v>0.2324830931903055</v>
      </c>
    </row>
    <row r="11" spans="1:29" ht="17.25" thickBot="1" x14ac:dyDescent="0.35">
      <c r="A11" s="350" t="s">
        <v>272</v>
      </c>
      <c r="B11" s="34">
        <v>4932183</v>
      </c>
      <c r="C11" s="34">
        <v>6015365</v>
      </c>
      <c r="D11" s="34">
        <v>17752909</v>
      </c>
      <c r="E11" s="34">
        <v>19533271</v>
      </c>
      <c r="F11" s="34">
        <v>17614911</v>
      </c>
      <c r="G11" s="34">
        <v>12735090</v>
      </c>
      <c r="H11" s="34">
        <v>5619544</v>
      </c>
      <c r="I11" s="34">
        <v>5366273</v>
      </c>
      <c r="J11" s="34">
        <v>17225138</v>
      </c>
      <c r="K11" s="34">
        <v>18969952</v>
      </c>
      <c r="L11" s="34">
        <v>18389207</v>
      </c>
      <c r="M11" s="42">
        <v>12993607</v>
      </c>
      <c r="N11" s="349">
        <f>SUM(B11:M11)</f>
        <v>157147450</v>
      </c>
      <c r="O11" s="339"/>
      <c r="P11" s="379" t="s">
        <v>255</v>
      </c>
      <c r="Q11" s="378">
        <f>IF(B11,B26/B11,"")</f>
        <v>0.2587028907889265</v>
      </c>
      <c r="R11" s="378">
        <f>IF(C11,C26/C11,"")</f>
        <v>0.44897325432455054</v>
      </c>
      <c r="S11" s="378">
        <f>IF(D11,D26/D11,"")</f>
        <v>0.2629239523505697</v>
      </c>
      <c r="T11" s="378">
        <f>IF(E11,E26/E11,"")</f>
        <v>0.33273152253915894</v>
      </c>
      <c r="U11" s="378">
        <f>IF(F11,F26/F11,"")</f>
        <v>0.26676450423167053</v>
      </c>
      <c r="V11" s="378">
        <f>IF(G11,G26/G11,"")</f>
        <v>0.28428460262157551</v>
      </c>
      <c r="W11" s="378">
        <f>IF(H11,H26/H11,"")</f>
        <v>0.23073366806986476</v>
      </c>
      <c r="X11" s="378">
        <f>IF(I11,I26/I11,"")</f>
        <v>0.33632839775389733</v>
      </c>
      <c r="Y11" s="378">
        <f>IF(J11,J26/J11,"")</f>
        <v>0.24092129189327829</v>
      </c>
      <c r="Z11" s="378">
        <f>IF(K11,K26/K11,"")</f>
        <v>0.27671119041313336</v>
      </c>
      <c r="AA11" s="378">
        <f>IF(L11,L26/L11,"")</f>
        <v>0.26824974018727399</v>
      </c>
      <c r="AB11" s="378">
        <f>IF(M11,M26/M11,"")</f>
        <v>0.33561042749715303</v>
      </c>
      <c r="AC11" s="377">
        <f>AVERAGE(Q11:AB11)</f>
        <v>0.29524462022258774</v>
      </c>
    </row>
    <row r="12" spans="1:29" ht="17.25" thickBot="1" x14ac:dyDescent="0.35">
      <c r="A12" s="350" t="s">
        <v>253</v>
      </c>
      <c r="B12" s="34">
        <v>1732454</v>
      </c>
      <c r="C12" s="34">
        <v>2352093</v>
      </c>
      <c r="D12" s="34">
        <v>13360907</v>
      </c>
      <c r="E12" s="34">
        <v>13656454</v>
      </c>
      <c r="F12" s="34">
        <v>11682090</v>
      </c>
      <c r="G12" s="34">
        <v>8934997</v>
      </c>
      <c r="H12" s="34">
        <v>4806544</v>
      </c>
      <c r="I12" s="34">
        <v>1793091</v>
      </c>
      <c r="J12" s="34">
        <v>11235374</v>
      </c>
      <c r="K12" s="34">
        <v>10851174</v>
      </c>
      <c r="L12" s="34">
        <v>10095581</v>
      </c>
      <c r="M12" s="42">
        <v>7125159</v>
      </c>
      <c r="N12" s="349">
        <f>SUM(B12:M12)</f>
        <v>97625918</v>
      </c>
      <c r="O12" s="339"/>
      <c r="P12" s="379" t="s">
        <v>253</v>
      </c>
      <c r="Q12" s="378">
        <f>IF(B12,B27/B12,"")</f>
        <v>0.26322199608185848</v>
      </c>
      <c r="R12" s="378">
        <f>IF(C12,C27/C12,"")</f>
        <v>0.46069606941562258</v>
      </c>
      <c r="S12" s="378">
        <f>IF(D12,D27/D12,"")</f>
        <v>0.27842870248254853</v>
      </c>
      <c r="T12" s="378">
        <f>IF(E12,E27/E12,"")</f>
        <v>0.33730205513085609</v>
      </c>
      <c r="U12" s="378">
        <f>IF(F12,F27/F12,"")</f>
        <v>0.2534563592644809</v>
      </c>
      <c r="V12" s="378">
        <f>IF(G12,G27/G12,"")</f>
        <v>0.26364810195235655</v>
      </c>
      <c r="W12" s="378">
        <f>IF(H12,H27/H12,"")</f>
        <v>0.17610678275284694</v>
      </c>
      <c r="X12" s="378">
        <f>IF(I12,I27/I12,"")</f>
        <v>0.6313845755736881</v>
      </c>
      <c r="Y12" s="378">
        <f>IF(J12,J27/J12,"")</f>
        <v>0.2542425378986049</v>
      </c>
      <c r="Z12" s="378">
        <f>IF(K12,K27/K12,"")</f>
        <v>0.30775149306425276</v>
      </c>
      <c r="AA12" s="378">
        <f>IF(L12,L27/L12,"")</f>
        <v>0.22278658355571612</v>
      </c>
      <c r="AB12" s="378">
        <f>IF(M12,M27/M12,"")</f>
        <v>0.34600350672876212</v>
      </c>
      <c r="AC12" s="377">
        <f>AVERAGE(Q12:AB12)</f>
        <v>0.31625239699179947</v>
      </c>
    </row>
    <row r="13" spans="1:29" ht="17.25" thickBot="1" x14ac:dyDescent="0.35">
      <c r="A13" s="350" t="s">
        <v>252</v>
      </c>
      <c r="B13" s="34">
        <v>2597093</v>
      </c>
      <c r="C13" s="34">
        <v>2444455</v>
      </c>
      <c r="D13" s="34">
        <v>4590365</v>
      </c>
      <c r="E13" s="34">
        <v>5830092</v>
      </c>
      <c r="F13" s="34">
        <v>5519092</v>
      </c>
      <c r="G13" s="34">
        <v>4183181</v>
      </c>
      <c r="H13" s="34">
        <v>2313725</v>
      </c>
      <c r="I13" s="34">
        <v>3240365</v>
      </c>
      <c r="J13" s="34">
        <v>4278227</v>
      </c>
      <c r="K13" s="34">
        <v>3878540</v>
      </c>
      <c r="L13" s="34">
        <v>4354398</v>
      </c>
      <c r="M13" s="42">
        <v>3801910</v>
      </c>
      <c r="N13" s="349">
        <f>SUM(B13:M13)</f>
        <v>47031443</v>
      </c>
      <c r="O13" s="339"/>
      <c r="P13" s="379" t="s">
        <v>252</v>
      </c>
      <c r="Q13" s="378">
        <f>IF(B13,B28/B13,"")</f>
        <v>0.19525677363113297</v>
      </c>
      <c r="R13" s="378">
        <f>IF(C13,C28/C13,"")</f>
        <v>0.35933981194172115</v>
      </c>
      <c r="S13" s="378">
        <f>IF(D13,D28/D13,"")</f>
        <v>0.15020809892023837</v>
      </c>
      <c r="T13" s="378">
        <f>IF(E13,E28/E13,"")</f>
        <v>0.26820674527949129</v>
      </c>
      <c r="U13" s="378">
        <f>IF(F13,F28/F13,"")</f>
        <v>0.19238943652325419</v>
      </c>
      <c r="V13" s="378">
        <f>IF(G13,G28/G13,"")</f>
        <v>0.19836531099180266</v>
      </c>
      <c r="W13" s="378">
        <f>IF(H13,H28/H13,"")</f>
        <v>0.27506293963197875</v>
      </c>
      <c r="X13" s="378">
        <f>IF(I13,I28/I13,"")</f>
        <v>0.23646718810998144</v>
      </c>
      <c r="Y13" s="378">
        <f>IF(J13,J28/J13,"")</f>
        <v>0.19623374355778692</v>
      </c>
      <c r="Z13" s="378">
        <f>IF(K13,K28/K13,"")</f>
        <v>0.25435602056443918</v>
      </c>
      <c r="AA13" s="378">
        <f>IF(L13,L28/L13,"")</f>
        <v>0.20687819533262691</v>
      </c>
      <c r="AB13" s="378">
        <f>IF(M13,M28/M13,"")</f>
        <v>0.28927302329618532</v>
      </c>
      <c r="AC13" s="377">
        <f>AVERAGE(Q13:AB13)</f>
        <v>0.23516977398171993</v>
      </c>
    </row>
    <row r="14" spans="1:29" ht="17.25" thickBot="1" x14ac:dyDescent="0.35">
      <c r="A14" s="350" t="s">
        <v>250</v>
      </c>
      <c r="B14" s="34">
        <v>164999</v>
      </c>
      <c r="C14" s="34">
        <v>194547</v>
      </c>
      <c r="D14" s="34">
        <v>982272</v>
      </c>
      <c r="E14" s="34">
        <v>1203817</v>
      </c>
      <c r="F14" s="34">
        <v>452182</v>
      </c>
      <c r="G14" s="34">
        <v>443818</v>
      </c>
      <c r="H14" s="34">
        <v>127818</v>
      </c>
      <c r="I14" s="34">
        <v>125362</v>
      </c>
      <c r="J14" s="34">
        <v>385356</v>
      </c>
      <c r="K14" s="34">
        <v>471086</v>
      </c>
      <c r="L14" s="34">
        <v>351541</v>
      </c>
      <c r="M14" s="42">
        <v>370089</v>
      </c>
      <c r="N14" s="349">
        <f>SUM(B14:M14)</f>
        <v>5272887</v>
      </c>
      <c r="O14" s="339"/>
      <c r="P14" s="379" t="s">
        <v>250</v>
      </c>
      <c r="Q14" s="378">
        <f>IF(B14,B29/B14,"")</f>
        <v>0.63545839671755588</v>
      </c>
      <c r="R14" s="378">
        <f>IF(C14,C29/C14,"")</f>
        <v>0.65547142849799789</v>
      </c>
      <c r="S14" s="378">
        <f>IF(D14,D29/D14,"")</f>
        <v>0.58151917187907221</v>
      </c>
      <c r="T14" s="378">
        <f>IF(E14,E29/E14,"")</f>
        <v>0.30918320641758673</v>
      </c>
      <c r="U14" s="378">
        <f>IF(F14,F29/F14,"")</f>
        <v>0.41753099415721989</v>
      </c>
      <c r="V14" s="378">
        <f>IF(G14,G29/G14,"")</f>
        <v>0.36048560445948563</v>
      </c>
      <c r="W14" s="378">
        <f>IF(H14,H29/H14,"")</f>
        <v>0</v>
      </c>
      <c r="X14" s="378">
        <f>IF(I14,I29/I14,"")</f>
        <v>0.48459660822258738</v>
      </c>
      <c r="Y14" s="378">
        <f>IF(J14,J29/J14,"")</f>
        <v>0.67496029645314981</v>
      </c>
      <c r="Z14" s="378">
        <f>IF(K14,K29/K14,"")</f>
        <v>0.13373354334452733</v>
      </c>
      <c r="AA14" s="378">
        <f>IF(L14,L29/L14,"")</f>
        <v>4.6367280061216189E-2</v>
      </c>
      <c r="AB14" s="378">
        <f>IF(M14,M29/M14,"")</f>
        <v>0</v>
      </c>
      <c r="AC14" s="377">
        <f>AVERAGE(Q14:AB14)</f>
        <v>0.35827554418419988</v>
      </c>
    </row>
    <row r="15" spans="1:29" ht="17.25" thickBot="1" x14ac:dyDescent="0.35">
      <c r="A15" s="348" t="s">
        <v>249</v>
      </c>
      <c r="B15" s="347">
        <f>SUM(B8:B14)</f>
        <v>18258462</v>
      </c>
      <c r="C15" s="347">
        <f>SUM(C8:C14)</f>
        <v>20723820</v>
      </c>
      <c r="D15" s="347">
        <f>SUM(D8:D14)</f>
        <v>60748089</v>
      </c>
      <c r="E15" s="347">
        <f>SUM(E8:E14)</f>
        <v>70300816</v>
      </c>
      <c r="F15" s="347">
        <f>SUM(F8:F14)</f>
        <v>56050004</v>
      </c>
      <c r="G15" s="347">
        <f>SUM(G8:G14)</f>
        <v>46921627</v>
      </c>
      <c r="H15" s="347">
        <f>SUM(H8:H14)</f>
        <v>25715719</v>
      </c>
      <c r="I15" s="347">
        <f>SUM(I8:I14)</f>
        <v>23293911</v>
      </c>
      <c r="J15" s="347">
        <f>SUM(J8:J14)</f>
        <v>54161017</v>
      </c>
      <c r="K15" s="347">
        <f>SUM(K8:K14)</f>
        <v>59270653</v>
      </c>
      <c r="L15" s="347">
        <f>SUM(L8:L14)</f>
        <v>55514101</v>
      </c>
      <c r="M15" s="346">
        <f>SUM(M8:M14)</f>
        <v>42378055</v>
      </c>
      <c r="N15" s="345">
        <f>SUM(B15:M15)</f>
        <v>533336274</v>
      </c>
      <c r="O15" s="339"/>
      <c r="P15" s="376" t="s">
        <v>249</v>
      </c>
      <c r="Q15" s="375">
        <f>AVERAGE(Q8:Q14)</f>
        <v>0.28734873498768293</v>
      </c>
      <c r="R15" s="375">
        <f>AVERAGE(R8:R14)</f>
        <v>0.445891966653302</v>
      </c>
      <c r="S15" s="375">
        <f>AVERAGE(S8:S14)</f>
        <v>0.28479917983685965</v>
      </c>
      <c r="T15" s="375">
        <f>AVERAGE(T8:T14)</f>
        <v>0.29478796054441042</v>
      </c>
      <c r="U15" s="375">
        <f>AVERAGE(U8:U14)</f>
        <v>0.25667757807042746</v>
      </c>
      <c r="V15" s="375">
        <f>AVERAGE(V8:V14)</f>
        <v>0.25101315158434456</v>
      </c>
      <c r="W15" s="375">
        <f>AVERAGE(W8:W14)</f>
        <v>0.20512560640186542</v>
      </c>
      <c r="X15" s="375">
        <f>AVERAGE(X8:X14)</f>
        <v>0.37114607405321187</v>
      </c>
      <c r="Y15" s="375">
        <f>AVERAGE(Y8:Y14)</f>
        <v>0.29540400312294851</v>
      </c>
      <c r="Z15" s="375">
        <f>AVERAGE(Z8:Z14)</f>
        <v>0.25899103867707579</v>
      </c>
      <c r="AA15" s="375">
        <f>AVERAGE(AA8:AA14)</f>
        <v>0.21652530954976698</v>
      </c>
      <c r="AB15" s="375">
        <f>AVERAGE(AB8:AB14)</f>
        <v>0.25270252115722325</v>
      </c>
      <c r="AC15" s="374"/>
    </row>
    <row r="16" spans="1:29" ht="17.25" thickBot="1" x14ac:dyDescent="0.35">
      <c r="A16" s="344" t="s">
        <v>271</v>
      </c>
      <c r="B16" s="343">
        <f>B7+B15</f>
        <v>23080917</v>
      </c>
      <c r="C16" s="343">
        <f>C7+C15</f>
        <v>25901865</v>
      </c>
      <c r="D16" s="343">
        <f>D7+D15</f>
        <v>69315908</v>
      </c>
      <c r="E16" s="343">
        <f>E7+E15</f>
        <v>80617178</v>
      </c>
      <c r="F16" s="343">
        <f>F7+F15</f>
        <v>65358229</v>
      </c>
      <c r="G16" s="343">
        <f>G7+G15</f>
        <v>56391672</v>
      </c>
      <c r="H16" s="343">
        <f>H7+H15</f>
        <v>31806586</v>
      </c>
      <c r="I16" s="343">
        <f>I7+I15</f>
        <v>29122240</v>
      </c>
      <c r="J16" s="343">
        <f>J7+J15</f>
        <v>62167553</v>
      </c>
      <c r="K16" s="343">
        <f>K7+K15</f>
        <v>66802970</v>
      </c>
      <c r="L16" s="343">
        <f>L7+L15</f>
        <v>62361989</v>
      </c>
      <c r="M16" s="342">
        <f>M7+M15</f>
        <v>48719998</v>
      </c>
      <c r="N16" s="341">
        <f>SUM(B16:M16)</f>
        <v>621647105</v>
      </c>
      <c r="O16" s="339"/>
      <c r="P16" s="373" t="s">
        <v>270</v>
      </c>
      <c r="Q16" s="372">
        <f>AVERAGE(Q7,Q15)</f>
        <v>0.21677139399913831</v>
      </c>
      <c r="R16" s="372">
        <f>AVERAGE(R7,R15)</f>
        <v>0.48322850551718627</v>
      </c>
      <c r="S16" s="372">
        <f>AVERAGE(S7,S15)</f>
        <v>0.2445342659755986</v>
      </c>
      <c r="T16" s="372">
        <f>AVERAGE(T7,T15)</f>
        <v>0.29317128386397073</v>
      </c>
      <c r="U16" s="372">
        <f>AVERAGE(U7,U15)</f>
        <v>0.25321922429361604</v>
      </c>
      <c r="V16" s="372">
        <f>AVERAGE(V7,V15)</f>
        <v>0.26075371102815831</v>
      </c>
      <c r="W16" s="372">
        <f>AVERAGE(W7,W15)</f>
        <v>0.23258343313382851</v>
      </c>
      <c r="X16" s="372">
        <f>AVERAGE(X7,X15)</f>
        <v>0.33846694134018296</v>
      </c>
      <c r="Y16" s="372">
        <f>AVERAGE(Y7,Y15)</f>
        <v>0.27000638286790085</v>
      </c>
      <c r="Z16" s="372">
        <f>AVERAGE(Z7,Z15)</f>
        <v>0.2435189589064356</v>
      </c>
      <c r="AA16" s="372">
        <f>AVERAGE(AA7,AA15)</f>
        <v>0.21105736945972842</v>
      </c>
      <c r="AB16" s="372">
        <f>AVERAGE(AB7,AB15)</f>
        <v>0.27194832309270889</v>
      </c>
      <c r="AC16" s="371"/>
    </row>
    <row r="17" spans="1:29" ht="16.5" x14ac:dyDescent="0.3">
      <c r="A17" s="368"/>
      <c r="B17" s="370"/>
      <c r="C17" s="370"/>
      <c r="D17" s="370"/>
      <c r="E17" s="370"/>
      <c r="F17" s="370"/>
      <c r="G17" s="370"/>
      <c r="H17" s="370"/>
      <c r="I17" s="370"/>
      <c r="J17" s="369"/>
      <c r="K17" s="369"/>
      <c r="L17" s="369"/>
      <c r="M17" s="368"/>
      <c r="N17" s="257"/>
      <c r="O17" s="339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163"/>
    </row>
    <row r="18" spans="1:29" ht="17.25" thickBot="1" x14ac:dyDescent="0.35">
      <c r="A18" s="367" t="s">
        <v>269</v>
      </c>
      <c r="B18" s="339"/>
      <c r="C18" s="339"/>
      <c r="D18" s="339"/>
      <c r="E18" s="339"/>
      <c r="F18" s="366"/>
      <c r="G18" s="339"/>
      <c r="H18" s="339"/>
      <c r="I18" s="339"/>
      <c r="J18" s="339"/>
      <c r="K18" s="339"/>
      <c r="L18" s="339"/>
      <c r="M18" s="339"/>
      <c r="N18" s="257"/>
      <c r="O18" s="339"/>
      <c r="P18" s="365"/>
      <c r="Q18" s="365"/>
      <c r="R18" s="365"/>
      <c r="S18" s="365"/>
      <c r="T18" s="365"/>
      <c r="U18" s="365"/>
      <c r="V18" s="365"/>
      <c r="W18" s="365"/>
      <c r="X18" s="365"/>
      <c r="Y18" s="365"/>
      <c r="Z18" s="365"/>
      <c r="AA18" s="365"/>
      <c r="AB18" s="365"/>
      <c r="AC18" s="163"/>
    </row>
    <row r="19" spans="1:29" ht="17.25" thickBot="1" x14ac:dyDescent="0.35">
      <c r="A19" s="355"/>
      <c r="B19" s="355" t="s">
        <v>239</v>
      </c>
      <c r="C19" s="355" t="s">
        <v>149</v>
      </c>
      <c r="D19" s="355" t="s">
        <v>148</v>
      </c>
      <c r="E19" s="355" t="s">
        <v>46</v>
      </c>
      <c r="F19" s="355" t="s">
        <v>44</v>
      </c>
      <c r="G19" s="355" t="s">
        <v>42</v>
      </c>
      <c r="H19" s="355" t="s">
        <v>40</v>
      </c>
      <c r="I19" s="355" t="s">
        <v>38</v>
      </c>
      <c r="J19" s="355" t="s">
        <v>36</v>
      </c>
      <c r="K19" s="355" t="s">
        <v>34</v>
      </c>
      <c r="L19" s="355" t="s">
        <v>32</v>
      </c>
      <c r="M19" s="357" t="s">
        <v>27</v>
      </c>
      <c r="N19" s="356" t="s">
        <v>263</v>
      </c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339"/>
      <c r="AB19" s="339"/>
    </row>
    <row r="20" spans="1:29" s="337" customFormat="1" ht="17.25" thickBot="1" x14ac:dyDescent="0.35">
      <c r="A20" s="355" t="s">
        <v>86</v>
      </c>
      <c r="B20" s="354">
        <f>B35+B51+B67</f>
        <v>523585</v>
      </c>
      <c r="C20" s="354">
        <f>C35+C51+C67</f>
        <v>1615008</v>
      </c>
      <c r="D20" s="354">
        <f>D35+D51+D67</f>
        <v>1921210</v>
      </c>
      <c r="E20" s="354">
        <f>E35+E51+E67</f>
        <v>2467360</v>
      </c>
      <c r="F20" s="354">
        <f>F35+F51+F67</f>
        <v>1792408</v>
      </c>
      <c r="G20" s="354">
        <f>G35+G51+G67</f>
        <v>2005006</v>
      </c>
      <c r="H20" s="354">
        <f>H35+H51+H67</f>
        <v>1195677</v>
      </c>
      <c r="I20" s="354">
        <f>I35+I51+I67</f>
        <v>1145090</v>
      </c>
      <c r="J20" s="354">
        <f>J35+J51+J67</f>
        <v>1479706.5</v>
      </c>
      <c r="K20" s="354">
        <f>K35+K51+K67</f>
        <v>1810693</v>
      </c>
      <c r="L20" s="354">
        <f>L35+L51+L67</f>
        <v>1553988</v>
      </c>
      <c r="M20" s="353">
        <f>M35+M51+M67</f>
        <v>1491859</v>
      </c>
      <c r="N20" s="349">
        <f>SUM(B20:M20)</f>
        <v>19001590.5</v>
      </c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</row>
    <row r="21" spans="1:29" ht="17.25" thickBot="1" x14ac:dyDescent="0.35">
      <c r="A21" s="355" t="s">
        <v>85</v>
      </c>
      <c r="B21" s="354">
        <f>B36+B52+B68</f>
        <v>177210</v>
      </c>
      <c r="C21" s="354">
        <f>C36+C52+C68</f>
        <v>711620</v>
      </c>
      <c r="D21" s="354">
        <f>D36+D52+D68</f>
        <v>193610</v>
      </c>
      <c r="E21" s="354">
        <f>E36+E52+E68</f>
        <v>416310</v>
      </c>
      <c r="F21" s="354">
        <f>F36+F52+F68</f>
        <v>358498</v>
      </c>
      <c r="G21" s="354">
        <f>G36+G52+G68</f>
        <v>521700</v>
      </c>
      <c r="H21" s="354">
        <f>H36+H52+H68</f>
        <v>388340</v>
      </c>
      <c r="I21" s="354">
        <f>I36+I52+I68</f>
        <v>469630</v>
      </c>
      <c r="J21" s="354">
        <f>J36+J52+J68</f>
        <v>350090</v>
      </c>
      <c r="K21" s="354">
        <f>K36+K52+K68</f>
        <v>205360</v>
      </c>
      <c r="L21" s="354">
        <f>L36+L52+L68</f>
        <v>160910</v>
      </c>
      <c r="M21" s="353">
        <f>M36+M52+M68</f>
        <v>331760</v>
      </c>
      <c r="N21" s="349">
        <f>SUM(B21:M21)</f>
        <v>4285038</v>
      </c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</row>
    <row r="22" spans="1:29" ht="17.25" thickBot="1" x14ac:dyDescent="0.35">
      <c r="A22" s="348" t="s">
        <v>237</v>
      </c>
      <c r="B22" s="352">
        <f>SUM(B20:B21)</f>
        <v>700795</v>
      </c>
      <c r="C22" s="352">
        <f>SUM(C20:C21)</f>
        <v>2326628</v>
      </c>
      <c r="D22" s="352">
        <f>SUM(D20:D21)</f>
        <v>2114820</v>
      </c>
      <c r="E22" s="352">
        <f>SUM(E20:E21)</f>
        <v>2883670</v>
      </c>
      <c r="F22" s="352">
        <f>SUM(F20:F21)</f>
        <v>2150906</v>
      </c>
      <c r="G22" s="352">
        <f>SUM(G20:G21)</f>
        <v>2526706</v>
      </c>
      <c r="H22" s="352">
        <f>SUM(H20:H21)</f>
        <v>1584017</v>
      </c>
      <c r="I22" s="352">
        <f>SUM(I20:I21)</f>
        <v>1614720</v>
      </c>
      <c r="J22" s="352">
        <f>SUM(J20:J21)</f>
        <v>1829796.5</v>
      </c>
      <c r="K22" s="352">
        <f>SUM(K20:K21)</f>
        <v>2016053</v>
      </c>
      <c r="L22" s="352">
        <f>SUM(L20:L21)</f>
        <v>1714898</v>
      </c>
      <c r="M22" s="351">
        <f>SUM(M20:M21)</f>
        <v>1823619</v>
      </c>
      <c r="N22" s="345">
        <f>SUM(B22:M22)</f>
        <v>23286628.5</v>
      </c>
      <c r="O22" s="339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</row>
    <row r="23" spans="1:29" ht="17.25" thickBot="1" x14ac:dyDescent="0.35">
      <c r="A23" s="350" t="s">
        <v>84</v>
      </c>
      <c r="B23" s="34">
        <f>B38+B54+B70</f>
        <v>680220</v>
      </c>
      <c r="C23" s="34">
        <f>C38+C54+C70</f>
        <v>1211278</v>
      </c>
      <c r="D23" s="34">
        <f>D38+D54+D70</f>
        <v>2119890</v>
      </c>
      <c r="E23" s="34">
        <f>E38+E54+E70</f>
        <v>3158013</v>
      </c>
      <c r="F23" s="34">
        <f>F38+F54+F70</f>
        <v>1797079</v>
      </c>
      <c r="G23" s="34">
        <f>G38+G54+G70</f>
        <v>1867097</v>
      </c>
      <c r="H23" s="34">
        <f>H38+H54+H70</f>
        <v>1345418</v>
      </c>
      <c r="I23" s="34">
        <f>I38+I54+I70</f>
        <v>1463909</v>
      </c>
      <c r="J23" s="34">
        <f>J38+J54+J70</f>
        <v>1846940</v>
      </c>
      <c r="K23" s="34">
        <f>K38+K54+K70</f>
        <v>2714633</v>
      </c>
      <c r="L23" s="34">
        <f>L38+L54+L70</f>
        <v>2253410</v>
      </c>
      <c r="M23" s="33">
        <f>M38+M54+M70</f>
        <v>1926158</v>
      </c>
      <c r="N23" s="349">
        <f>SUM(B23:M23)</f>
        <v>22384045</v>
      </c>
      <c r="O23" s="339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39"/>
      <c r="AA23" s="339"/>
      <c r="AB23" s="339"/>
    </row>
    <row r="24" spans="1:29" ht="17.25" thickBot="1" x14ac:dyDescent="0.35">
      <c r="A24" s="350" t="s">
        <v>83</v>
      </c>
      <c r="B24" s="34">
        <f>B39+B55+B71</f>
        <v>790080</v>
      </c>
      <c r="C24" s="34">
        <f>C39+C55+C71</f>
        <v>1387370</v>
      </c>
      <c r="D24" s="34">
        <f>D39+D55+D71</f>
        <v>2269437.5</v>
      </c>
      <c r="E24" s="34">
        <f>E39+E55+E71</f>
        <v>3392668</v>
      </c>
      <c r="F24" s="34">
        <f>F39+F55+F71</f>
        <v>1730078</v>
      </c>
      <c r="G24" s="34">
        <f>G39+G55+G71</f>
        <v>1539430</v>
      </c>
      <c r="H24" s="34">
        <f>H39+H55+H71</f>
        <v>1151588</v>
      </c>
      <c r="I24" s="34">
        <f>I39+I55+I71</f>
        <v>1661742</v>
      </c>
      <c r="J24" s="34">
        <f>J39+J55+J71</f>
        <v>1831589</v>
      </c>
      <c r="K24" s="34">
        <f>K39+K55+K71</f>
        <v>2591438</v>
      </c>
      <c r="L24" s="34">
        <f>L39+L55+L71</f>
        <v>2184479</v>
      </c>
      <c r="M24" s="33">
        <f>M39+M55+M71</f>
        <v>1395879</v>
      </c>
      <c r="N24" s="349">
        <f>SUM(B24:M24)</f>
        <v>21925778.5</v>
      </c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  <c r="AA24" s="339"/>
      <c r="AB24" s="339"/>
    </row>
    <row r="25" spans="1:29" ht="17.25" thickBot="1" x14ac:dyDescent="0.35">
      <c r="A25" s="350" t="s">
        <v>236</v>
      </c>
      <c r="B25" s="34">
        <f>B40+B56+B72</f>
        <v>467390</v>
      </c>
      <c r="C25" s="34">
        <f>C40+C56+C72</f>
        <v>1212753</v>
      </c>
      <c r="D25" s="34">
        <f>D40+D56+D72</f>
        <v>1407350</v>
      </c>
      <c r="E25" s="34">
        <f>E40+E56+E72</f>
        <v>1772173</v>
      </c>
      <c r="F25" s="34">
        <f>F40+F56+F72</f>
        <v>1131440</v>
      </c>
      <c r="G25" s="34">
        <f>G40+G56+G72</f>
        <v>1093933</v>
      </c>
      <c r="H25" s="34">
        <f>H40+H56+H72</f>
        <v>770980</v>
      </c>
      <c r="I25" s="34">
        <f>I40+I56+I72</f>
        <v>782323</v>
      </c>
      <c r="J25" s="34">
        <f>J40+J56+J72</f>
        <v>1272932.5</v>
      </c>
      <c r="K25" s="34">
        <f>K40+K56+K72</f>
        <v>1622183</v>
      </c>
      <c r="L25" s="34">
        <f>L40+L56+L72</f>
        <v>1220810</v>
      </c>
      <c r="M25" s="33">
        <f>M40+M56+M72</f>
        <v>1454133</v>
      </c>
      <c r="N25" s="349">
        <f>SUM(B25:M25)</f>
        <v>14208400.5</v>
      </c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</row>
    <row r="26" spans="1:29" ht="17.25" thickBot="1" x14ac:dyDescent="0.35">
      <c r="A26" s="350" t="s">
        <v>235</v>
      </c>
      <c r="B26" s="34">
        <f>B41+B57+B73</f>
        <v>1275970</v>
      </c>
      <c r="C26" s="34">
        <f>C41+C57+C73</f>
        <v>2700738</v>
      </c>
      <c r="D26" s="34">
        <f>D41+D57+D73</f>
        <v>4667665</v>
      </c>
      <c r="E26" s="34">
        <f>E41+E57+E73</f>
        <v>6499335</v>
      </c>
      <c r="F26" s="34">
        <f>F41+F57+F73</f>
        <v>4699033</v>
      </c>
      <c r="G26" s="34">
        <f>G41+G57+G73</f>
        <v>3620390</v>
      </c>
      <c r="H26" s="34">
        <f>H41+H57+H73</f>
        <v>1296618</v>
      </c>
      <c r="I26" s="34">
        <f>I41+I57+I73</f>
        <v>1804830</v>
      </c>
      <c r="J26" s="34">
        <f>J41+J57+J73</f>
        <v>4149902.5</v>
      </c>
      <c r="K26" s="34">
        <f>K41+K57+K73</f>
        <v>5249198</v>
      </c>
      <c r="L26" s="34">
        <f>L41+L57+L73</f>
        <v>4932900</v>
      </c>
      <c r="M26" s="33">
        <f>M41+M57+M73</f>
        <v>4360790</v>
      </c>
      <c r="N26" s="349">
        <f>SUM(B26:M26)</f>
        <v>45257369.5</v>
      </c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39"/>
      <c r="AB26" s="339"/>
    </row>
    <row r="27" spans="1:29" ht="17.25" thickBot="1" x14ac:dyDescent="0.35">
      <c r="A27" s="350" t="s">
        <v>81</v>
      </c>
      <c r="B27" s="34">
        <f>B42+B58+B74</f>
        <v>456020</v>
      </c>
      <c r="C27" s="34">
        <f>C42+C58+C74</f>
        <v>1083600</v>
      </c>
      <c r="D27" s="34">
        <f>D42+D58+D74</f>
        <v>3720060</v>
      </c>
      <c r="E27" s="34">
        <f>E42+E58+E74</f>
        <v>4606350</v>
      </c>
      <c r="F27" s="34">
        <f>F42+F58+F74</f>
        <v>2960900</v>
      </c>
      <c r="G27" s="34">
        <f>G42+G58+G74</f>
        <v>2355695</v>
      </c>
      <c r="H27" s="34">
        <f>H42+H58+H74</f>
        <v>846465</v>
      </c>
      <c r="I27" s="34">
        <f>I42+I58+I74</f>
        <v>1132130</v>
      </c>
      <c r="J27" s="34">
        <f>J42+J58+J74</f>
        <v>2856510</v>
      </c>
      <c r="K27" s="34">
        <f>K42+K58+K74</f>
        <v>3339465</v>
      </c>
      <c r="L27" s="34">
        <f>L42+L58+L74</f>
        <v>2249160</v>
      </c>
      <c r="M27" s="33">
        <f>M42+M58+M74</f>
        <v>2465330</v>
      </c>
      <c r="N27" s="349">
        <f>SUM(B27:M27)</f>
        <v>28071685</v>
      </c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39"/>
      <c r="AB27" s="339"/>
    </row>
    <row r="28" spans="1:29" ht="17.25" thickBot="1" x14ac:dyDescent="0.35">
      <c r="A28" s="350" t="s">
        <v>79</v>
      </c>
      <c r="B28" s="34">
        <f>B43+B59+B75</f>
        <v>507100</v>
      </c>
      <c r="C28" s="34">
        <f>C43+C59+C75</f>
        <v>878390</v>
      </c>
      <c r="D28" s="34">
        <f>D43+D59+D75</f>
        <v>689510</v>
      </c>
      <c r="E28" s="34">
        <f>E43+E59+E75</f>
        <v>1563670</v>
      </c>
      <c r="F28" s="34">
        <f>F43+F59+F75</f>
        <v>1061815</v>
      </c>
      <c r="G28" s="34">
        <f>G43+G59+G75</f>
        <v>829798</v>
      </c>
      <c r="H28" s="34">
        <f>H43+H59+H75</f>
        <v>636420</v>
      </c>
      <c r="I28" s="34">
        <f>I43+I59+I75</f>
        <v>766240</v>
      </c>
      <c r="J28" s="34">
        <f>J43+J59+J75</f>
        <v>839532.5</v>
      </c>
      <c r="K28" s="34">
        <f>K43+K59+K75</f>
        <v>986530</v>
      </c>
      <c r="L28" s="34">
        <f>L43+L59+L75</f>
        <v>900830</v>
      </c>
      <c r="M28" s="33">
        <f>M43+M59+M75</f>
        <v>1099790</v>
      </c>
      <c r="N28" s="349">
        <f>SUM(B28:M28)</f>
        <v>10759625.5</v>
      </c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</row>
    <row r="29" spans="1:29" ht="17.25" thickBot="1" x14ac:dyDescent="0.35">
      <c r="A29" s="350" t="s">
        <v>80</v>
      </c>
      <c r="B29" s="34">
        <f>B44+B60+B76</f>
        <v>104850</v>
      </c>
      <c r="C29" s="34">
        <f>C44+C60+C76</f>
        <v>127520</v>
      </c>
      <c r="D29" s="34">
        <f>D44+D60+D76</f>
        <v>571210</v>
      </c>
      <c r="E29" s="34">
        <f>E44+E60+E76</f>
        <v>372200</v>
      </c>
      <c r="F29" s="34">
        <f>F44+F60+F76</f>
        <v>188800</v>
      </c>
      <c r="G29" s="34">
        <f>G44+G60+G76</f>
        <v>159990</v>
      </c>
      <c r="H29" s="34">
        <f>H44+H60+H76</f>
        <v>0</v>
      </c>
      <c r="I29" s="34">
        <f>I44+I60+I76</f>
        <v>60750</v>
      </c>
      <c r="J29" s="34">
        <f>J44+J60+J76</f>
        <v>260100</v>
      </c>
      <c r="K29" s="34">
        <f>K44+K60+K76</f>
        <v>63000</v>
      </c>
      <c r="L29" s="34">
        <f>L44+L60+L76</f>
        <v>16300</v>
      </c>
      <c r="M29" s="33">
        <f>M44+M60+M76</f>
        <v>0</v>
      </c>
      <c r="N29" s="349">
        <f>SUM(B29:M29)</f>
        <v>1924720</v>
      </c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</row>
    <row r="30" spans="1:29" ht="17.25" thickBot="1" x14ac:dyDescent="0.35">
      <c r="A30" s="348" t="s">
        <v>234</v>
      </c>
      <c r="B30" s="347">
        <f>SUM(B23:B29)</f>
        <v>4281630</v>
      </c>
      <c r="C30" s="347">
        <f>SUM(C23:C29)</f>
        <v>8601649</v>
      </c>
      <c r="D30" s="347">
        <f>SUM(D23:D29)</f>
        <v>15445122.5</v>
      </c>
      <c r="E30" s="347">
        <f>SUM(E23:E29)</f>
        <v>21364409</v>
      </c>
      <c r="F30" s="347">
        <f>SUM(F23:F29)</f>
        <v>13569145</v>
      </c>
      <c r="G30" s="347">
        <f>SUM(G23:G29)</f>
        <v>11466333</v>
      </c>
      <c r="H30" s="347">
        <f>SUM(H23:H29)</f>
        <v>6047489</v>
      </c>
      <c r="I30" s="347">
        <f>SUM(I23:I29)</f>
        <v>7671924</v>
      </c>
      <c r="J30" s="347">
        <f>SUM(J23:J29)</f>
        <v>13057506.5</v>
      </c>
      <c r="K30" s="347">
        <f>SUM(K23:K29)</f>
        <v>16566447</v>
      </c>
      <c r="L30" s="347">
        <f>SUM(L23:L29)</f>
        <v>13757889</v>
      </c>
      <c r="M30" s="346">
        <f>SUM(M23:M29)</f>
        <v>12702080</v>
      </c>
      <c r="N30" s="345">
        <f>SUM(B30:M30)</f>
        <v>144531624</v>
      </c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</row>
    <row r="31" spans="1:29" ht="17.25" thickBot="1" x14ac:dyDescent="0.35">
      <c r="A31" s="344" t="s">
        <v>268</v>
      </c>
      <c r="B31" s="343">
        <f>B22+B30</f>
        <v>4982425</v>
      </c>
      <c r="C31" s="343">
        <f>C22+C30</f>
        <v>10928277</v>
      </c>
      <c r="D31" s="343">
        <f>D22+D30</f>
        <v>17559942.5</v>
      </c>
      <c r="E31" s="343">
        <f>E22+E30</f>
        <v>24248079</v>
      </c>
      <c r="F31" s="343">
        <f>F22+F30</f>
        <v>15720051</v>
      </c>
      <c r="G31" s="343">
        <f>G22+G30</f>
        <v>13993039</v>
      </c>
      <c r="H31" s="343">
        <f>H22+H30</f>
        <v>7631506</v>
      </c>
      <c r="I31" s="343">
        <f>I22+I30</f>
        <v>9286644</v>
      </c>
      <c r="J31" s="343">
        <f>J22+J30</f>
        <v>14887303</v>
      </c>
      <c r="K31" s="343">
        <f>K22+K30</f>
        <v>18582500</v>
      </c>
      <c r="L31" s="343">
        <f>L22+L30</f>
        <v>15472787</v>
      </c>
      <c r="M31" s="342">
        <f>M22+M30</f>
        <v>14525699</v>
      </c>
      <c r="N31" s="341">
        <f>SUM(B31:M31)</f>
        <v>167818252.5</v>
      </c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</row>
    <row r="32" spans="1:29" ht="16.5" x14ac:dyDescent="0.3">
      <c r="A32" s="340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257"/>
      <c r="O32" s="339"/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  <c r="AA32" s="339"/>
      <c r="AB32" s="339"/>
    </row>
    <row r="33" spans="1:29" ht="17.25" thickBot="1" x14ac:dyDescent="0.35">
      <c r="A33" s="358" t="s">
        <v>267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257"/>
      <c r="O33" s="339"/>
      <c r="P33" s="364" t="s">
        <v>266</v>
      </c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39"/>
      <c r="AB33" s="339"/>
      <c r="AC33" s="337"/>
    </row>
    <row r="34" spans="1:29" ht="17.25" thickBot="1" x14ac:dyDescent="0.35">
      <c r="A34" s="355"/>
      <c r="B34" s="355" t="s">
        <v>265</v>
      </c>
      <c r="C34" s="355" t="s">
        <v>149</v>
      </c>
      <c r="D34" s="355" t="s">
        <v>148</v>
      </c>
      <c r="E34" s="355" t="s">
        <v>46</v>
      </c>
      <c r="F34" s="355" t="s">
        <v>44</v>
      </c>
      <c r="G34" s="355" t="s">
        <v>42</v>
      </c>
      <c r="H34" s="355" t="s">
        <v>40</v>
      </c>
      <c r="I34" s="355" t="s">
        <v>38</v>
      </c>
      <c r="J34" s="355" t="s">
        <v>36</v>
      </c>
      <c r="K34" s="355" t="s">
        <v>34</v>
      </c>
      <c r="L34" s="355" t="s">
        <v>32</v>
      </c>
      <c r="M34" s="357" t="s">
        <v>27</v>
      </c>
      <c r="N34" s="356" t="s">
        <v>263</v>
      </c>
      <c r="O34" s="339"/>
      <c r="P34" s="363">
        <v>2100</v>
      </c>
      <c r="Q34" s="355" t="s">
        <v>264</v>
      </c>
      <c r="R34" s="355" t="s">
        <v>149</v>
      </c>
      <c r="S34" s="355" t="s">
        <v>148</v>
      </c>
      <c r="T34" s="355" t="s">
        <v>46</v>
      </c>
      <c r="U34" s="355" t="s">
        <v>44</v>
      </c>
      <c r="V34" s="355" t="s">
        <v>42</v>
      </c>
      <c r="W34" s="355" t="s">
        <v>40</v>
      </c>
      <c r="X34" s="355" t="s">
        <v>38</v>
      </c>
      <c r="Y34" s="355" t="s">
        <v>36</v>
      </c>
      <c r="Z34" s="355" t="s">
        <v>34</v>
      </c>
      <c r="AA34" s="355" t="s">
        <v>32</v>
      </c>
      <c r="AB34" s="357" t="s">
        <v>27</v>
      </c>
      <c r="AC34" s="362" t="s">
        <v>263</v>
      </c>
    </row>
    <row r="35" spans="1:29" ht="17.25" thickBot="1" x14ac:dyDescent="0.35">
      <c r="A35" s="355" t="s">
        <v>262</v>
      </c>
      <c r="B35" s="354">
        <f>$P$34*Q35</f>
        <v>220500</v>
      </c>
      <c r="C35" s="354">
        <f>$P$34*R35</f>
        <v>189000</v>
      </c>
      <c r="D35" s="354">
        <f>$P$34*S35</f>
        <v>409500</v>
      </c>
      <c r="E35" s="354">
        <f>$P$34*T35</f>
        <v>409500</v>
      </c>
      <c r="F35" s="354">
        <f>$P$34*U35</f>
        <v>312900</v>
      </c>
      <c r="G35" s="354">
        <f>$P$34*V35</f>
        <v>315000</v>
      </c>
      <c r="H35" s="354">
        <f>$P$34*W35</f>
        <v>220500</v>
      </c>
      <c r="I35" s="354">
        <f>$P$34*X35</f>
        <v>157500</v>
      </c>
      <c r="J35" s="354">
        <f>$P$34*Y35</f>
        <v>315000</v>
      </c>
      <c r="K35" s="354">
        <f>$P$34*Z35</f>
        <v>409500</v>
      </c>
      <c r="L35" s="354">
        <f>$P$34*AA35</f>
        <v>346500</v>
      </c>
      <c r="M35" s="354">
        <f>$P$34*AB35</f>
        <v>315000</v>
      </c>
      <c r="N35" s="349">
        <f>SUM(B35:M35)</f>
        <v>3620400</v>
      </c>
      <c r="O35" s="339"/>
      <c r="P35" s="355" t="s">
        <v>262</v>
      </c>
      <c r="Q35" s="34">
        <v>105</v>
      </c>
      <c r="R35" s="34">
        <v>90</v>
      </c>
      <c r="S35" s="34">
        <v>195</v>
      </c>
      <c r="T35" s="34">
        <v>195</v>
      </c>
      <c r="U35" s="34">
        <v>149</v>
      </c>
      <c r="V35" s="34">
        <v>150</v>
      </c>
      <c r="W35" s="34">
        <v>105</v>
      </c>
      <c r="X35" s="34">
        <v>75</v>
      </c>
      <c r="Y35" s="34">
        <v>150</v>
      </c>
      <c r="Z35" s="34">
        <v>195</v>
      </c>
      <c r="AA35" s="34">
        <v>165</v>
      </c>
      <c r="AB35" s="33">
        <v>150</v>
      </c>
      <c r="AC35" s="361">
        <f>SUM(Q35:AB35)</f>
        <v>1724</v>
      </c>
    </row>
    <row r="36" spans="1:29" s="337" customFormat="1" ht="17.25" thickBot="1" x14ac:dyDescent="0.35">
      <c r="A36" s="355" t="s">
        <v>261</v>
      </c>
      <c r="B36" s="354">
        <f>$P$34*Q36</f>
        <v>63000</v>
      </c>
      <c r="C36" s="354">
        <f>$P$34*R36</f>
        <v>94500</v>
      </c>
      <c r="D36" s="354">
        <f>$P$34*S36</f>
        <v>94500</v>
      </c>
      <c r="E36" s="354">
        <f>$P$34*T36</f>
        <v>94500</v>
      </c>
      <c r="F36" s="354">
        <f>$P$34*U36</f>
        <v>63000</v>
      </c>
      <c r="G36" s="354">
        <f>$P$34*V36</f>
        <v>63000</v>
      </c>
      <c r="H36" s="354">
        <f>$P$34*W36</f>
        <v>63000</v>
      </c>
      <c r="I36" s="354">
        <f>$P$34*X36</f>
        <v>126000</v>
      </c>
      <c r="J36" s="354">
        <f>$P$34*Y36</f>
        <v>63000</v>
      </c>
      <c r="K36" s="354">
        <f>$P$34*Z36</f>
        <v>63000</v>
      </c>
      <c r="L36" s="354">
        <f>$P$34*AA36</f>
        <v>63000</v>
      </c>
      <c r="M36" s="354">
        <f>$P$34*AB36</f>
        <v>63000</v>
      </c>
      <c r="N36" s="349">
        <f>SUM(B36:M36)</f>
        <v>913500</v>
      </c>
      <c r="O36" s="257"/>
      <c r="P36" s="355" t="s">
        <v>261</v>
      </c>
      <c r="Q36" s="34">
        <v>30</v>
      </c>
      <c r="R36" s="34">
        <v>45</v>
      </c>
      <c r="S36" s="34">
        <v>45</v>
      </c>
      <c r="T36" s="34">
        <v>45</v>
      </c>
      <c r="U36" s="34">
        <v>30</v>
      </c>
      <c r="V36" s="34">
        <v>30</v>
      </c>
      <c r="W36" s="34">
        <v>30</v>
      </c>
      <c r="X36" s="34">
        <v>60</v>
      </c>
      <c r="Y36" s="34">
        <v>30</v>
      </c>
      <c r="Z36" s="34">
        <v>30</v>
      </c>
      <c r="AA36" s="34">
        <v>30</v>
      </c>
      <c r="AB36" s="33">
        <v>30</v>
      </c>
      <c r="AC36" s="361">
        <f>SUM(Q36:AB36)</f>
        <v>435</v>
      </c>
    </row>
    <row r="37" spans="1:29" ht="17.25" thickBot="1" x14ac:dyDescent="0.35">
      <c r="A37" s="348" t="s">
        <v>260</v>
      </c>
      <c r="B37" s="352">
        <f>SUM(B35:B36)</f>
        <v>283500</v>
      </c>
      <c r="C37" s="352">
        <f>SUM(C35:C36)</f>
        <v>283500</v>
      </c>
      <c r="D37" s="352">
        <f>SUM(D35:D36)</f>
        <v>504000</v>
      </c>
      <c r="E37" s="352">
        <f>SUM(E35:E36)</f>
        <v>504000</v>
      </c>
      <c r="F37" s="352">
        <f>SUM(F35:F36)</f>
        <v>375900</v>
      </c>
      <c r="G37" s="352">
        <f>SUM(G35:G36)</f>
        <v>378000</v>
      </c>
      <c r="H37" s="352">
        <f>SUM(H35:H36)</f>
        <v>283500</v>
      </c>
      <c r="I37" s="352">
        <f>SUM(I35:I36)</f>
        <v>283500</v>
      </c>
      <c r="J37" s="352">
        <f>SUM(J35:J36)</f>
        <v>378000</v>
      </c>
      <c r="K37" s="352">
        <f>SUM(K35:K36)</f>
        <v>472500</v>
      </c>
      <c r="L37" s="352">
        <f>SUM(L35:L36)</f>
        <v>409500</v>
      </c>
      <c r="M37" s="351">
        <f>SUM(M35:M36)</f>
        <v>378000</v>
      </c>
      <c r="N37" s="345">
        <f>SUM(B37:M37)</f>
        <v>4533900</v>
      </c>
      <c r="O37" s="339"/>
      <c r="P37" s="348" t="s">
        <v>260</v>
      </c>
      <c r="Q37" s="352">
        <f>SUM(Q35:Q36)</f>
        <v>135</v>
      </c>
      <c r="R37" s="352">
        <f>SUM(R35:R36)</f>
        <v>135</v>
      </c>
      <c r="S37" s="352">
        <f>SUM(S35:S36)</f>
        <v>240</v>
      </c>
      <c r="T37" s="352">
        <f>SUM(T35:T36)</f>
        <v>240</v>
      </c>
      <c r="U37" s="352">
        <f>SUM(U35:U36)</f>
        <v>179</v>
      </c>
      <c r="V37" s="352">
        <f>SUM(V35:V36)</f>
        <v>180</v>
      </c>
      <c r="W37" s="352">
        <f>SUM(W35:W36)</f>
        <v>135</v>
      </c>
      <c r="X37" s="352">
        <f>SUM(X35:X36)</f>
        <v>135</v>
      </c>
      <c r="Y37" s="352">
        <f>SUM(Y35:Y36)</f>
        <v>180</v>
      </c>
      <c r="Z37" s="352">
        <f>SUM(Z35:Z36)</f>
        <v>225</v>
      </c>
      <c r="AA37" s="352">
        <f>SUM(AA35:AA36)</f>
        <v>195</v>
      </c>
      <c r="AB37" s="351">
        <f>SUM(AB35:AB36)</f>
        <v>180</v>
      </c>
      <c r="AC37" s="360">
        <f>SUM(Q37:AB37)</f>
        <v>2159</v>
      </c>
    </row>
    <row r="38" spans="1:29" ht="17.25" thickBot="1" x14ac:dyDescent="0.35">
      <c r="A38" s="350" t="s">
        <v>259</v>
      </c>
      <c r="B38" s="34">
        <f>$P$34*Q38</f>
        <v>252000</v>
      </c>
      <c r="C38" s="34">
        <f>$P$34*R38</f>
        <v>315000</v>
      </c>
      <c r="D38" s="34">
        <f>$P$34*S38</f>
        <v>630000</v>
      </c>
      <c r="E38" s="34">
        <f>$P$34*T38</f>
        <v>787500</v>
      </c>
      <c r="F38" s="34">
        <f>$P$34*U38</f>
        <v>504000</v>
      </c>
      <c r="G38" s="34">
        <f>$P$34*V38</f>
        <v>504000</v>
      </c>
      <c r="H38" s="34">
        <f>$P$34*W38</f>
        <v>371700</v>
      </c>
      <c r="I38" s="34">
        <f>$P$34*X38</f>
        <v>346500</v>
      </c>
      <c r="J38" s="34">
        <f>$P$34*Y38</f>
        <v>441000</v>
      </c>
      <c r="K38" s="34">
        <f>$P$34*Z38</f>
        <v>693000</v>
      </c>
      <c r="L38" s="34">
        <f>$P$34*AA38</f>
        <v>630000</v>
      </c>
      <c r="M38" s="34">
        <f>$P$34*AB38</f>
        <v>630000</v>
      </c>
      <c r="N38" s="349">
        <f>SUM(B38:M38)</f>
        <v>6104700</v>
      </c>
      <c r="O38" s="339"/>
      <c r="P38" s="350" t="s">
        <v>259</v>
      </c>
      <c r="Q38" s="34">
        <v>120</v>
      </c>
      <c r="R38" s="34">
        <v>150</v>
      </c>
      <c r="S38" s="34">
        <v>300</v>
      </c>
      <c r="T38" s="34">
        <v>375</v>
      </c>
      <c r="U38" s="34">
        <v>240</v>
      </c>
      <c r="V38" s="34">
        <v>240</v>
      </c>
      <c r="W38" s="34">
        <v>177</v>
      </c>
      <c r="X38" s="34">
        <v>165</v>
      </c>
      <c r="Y38" s="34">
        <v>210</v>
      </c>
      <c r="Z38" s="34">
        <v>330</v>
      </c>
      <c r="AA38" s="34">
        <v>300</v>
      </c>
      <c r="AB38" s="33">
        <v>300</v>
      </c>
      <c r="AC38" s="361">
        <f>SUM(Q38:AB38)</f>
        <v>2907</v>
      </c>
    </row>
    <row r="39" spans="1:29" ht="17.25" thickBot="1" x14ac:dyDescent="0.35">
      <c r="A39" s="350" t="s">
        <v>258</v>
      </c>
      <c r="B39" s="34">
        <f>$P$34*Q39</f>
        <v>252000</v>
      </c>
      <c r="C39" s="34">
        <f>$P$34*R39</f>
        <v>283500</v>
      </c>
      <c r="D39" s="34">
        <f>$P$34*S39</f>
        <v>535500</v>
      </c>
      <c r="E39" s="34">
        <f>$P$34*T39</f>
        <v>693000</v>
      </c>
      <c r="F39" s="34">
        <f>$P$34*U39</f>
        <v>441000</v>
      </c>
      <c r="G39" s="34">
        <f>$P$34*V39</f>
        <v>346500</v>
      </c>
      <c r="H39" s="34">
        <f>$P$34*W39</f>
        <v>315000</v>
      </c>
      <c r="I39" s="34">
        <f>$P$34*X39</f>
        <v>220500</v>
      </c>
      <c r="J39" s="34">
        <f>$P$34*Y39</f>
        <v>378000</v>
      </c>
      <c r="K39" s="34">
        <f>$P$34*Z39</f>
        <v>598500</v>
      </c>
      <c r="L39" s="34">
        <f>$P$34*AA39</f>
        <v>661500</v>
      </c>
      <c r="M39" s="34">
        <f>$P$34*AB39</f>
        <v>504000</v>
      </c>
      <c r="N39" s="349">
        <f>SUM(B39:M39)</f>
        <v>5229000</v>
      </c>
      <c r="O39" s="339"/>
      <c r="P39" s="350" t="s">
        <v>257</v>
      </c>
      <c r="Q39" s="34">
        <v>120</v>
      </c>
      <c r="R39" s="34">
        <v>135</v>
      </c>
      <c r="S39" s="34">
        <v>255</v>
      </c>
      <c r="T39" s="34">
        <v>330</v>
      </c>
      <c r="U39" s="34">
        <v>210</v>
      </c>
      <c r="V39" s="34">
        <v>165</v>
      </c>
      <c r="W39" s="34">
        <v>150</v>
      </c>
      <c r="X39" s="34">
        <v>105</v>
      </c>
      <c r="Y39" s="34">
        <v>180</v>
      </c>
      <c r="Z39" s="34">
        <v>285</v>
      </c>
      <c r="AA39" s="34">
        <v>315</v>
      </c>
      <c r="AB39" s="33">
        <v>240</v>
      </c>
      <c r="AC39" s="361">
        <f>SUM(Q39:AB39)</f>
        <v>2490</v>
      </c>
    </row>
    <row r="40" spans="1:29" ht="17.25" thickBot="1" x14ac:dyDescent="0.35">
      <c r="A40" s="350" t="s">
        <v>256</v>
      </c>
      <c r="B40" s="34">
        <f>$P$34*Q40</f>
        <v>126000</v>
      </c>
      <c r="C40" s="34">
        <f>$P$34*R40</f>
        <v>189000</v>
      </c>
      <c r="D40" s="34">
        <f>$P$34*S40</f>
        <v>409500</v>
      </c>
      <c r="E40" s="34">
        <f>$P$34*T40</f>
        <v>346500</v>
      </c>
      <c r="F40" s="34">
        <f>$P$34*U40</f>
        <v>283500</v>
      </c>
      <c r="G40" s="34">
        <f>$P$34*V40</f>
        <v>220500</v>
      </c>
      <c r="H40" s="34">
        <f>$P$34*W40</f>
        <v>157500</v>
      </c>
      <c r="I40" s="34">
        <f>$P$34*X40</f>
        <v>157500</v>
      </c>
      <c r="J40" s="34">
        <f>$P$34*Y40</f>
        <v>252000</v>
      </c>
      <c r="K40" s="34">
        <f>$P$34*Z40</f>
        <v>315000</v>
      </c>
      <c r="L40" s="34">
        <f>$P$34*AA40</f>
        <v>315000</v>
      </c>
      <c r="M40" s="34">
        <f>$P$34*AB40</f>
        <v>378000</v>
      </c>
      <c r="N40" s="349">
        <f>SUM(B40:M40)</f>
        <v>3150000</v>
      </c>
      <c r="O40" s="339"/>
      <c r="P40" s="350" t="s">
        <v>256</v>
      </c>
      <c r="Q40" s="34">
        <v>60</v>
      </c>
      <c r="R40" s="34">
        <v>90</v>
      </c>
      <c r="S40" s="34">
        <v>195</v>
      </c>
      <c r="T40" s="34">
        <v>165</v>
      </c>
      <c r="U40" s="34">
        <v>135</v>
      </c>
      <c r="V40" s="34">
        <v>105</v>
      </c>
      <c r="W40" s="34">
        <v>75</v>
      </c>
      <c r="X40" s="34">
        <v>75</v>
      </c>
      <c r="Y40" s="34">
        <v>120</v>
      </c>
      <c r="Z40" s="34">
        <v>150</v>
      </c>
      <c r="AA40" s="34">
        <v>150</v>
      </c>
      <c r="AB40" s="33">
        <v>180</v>
      </c>
      <c r="AC40" s="361">
        <f>SUM(Q40:AB40)</f>
        <v>1500</v>
      </c>
    </row>
    <row r="41" spans="1:29" ht="17.25" thickBot="1" x14ac:dyDescent="0.35">
      <c r="A41" s="350" t="s">
        <v>255</v>
      </c>
      <c r="B41" s="34">
        <f>$P$34*Q41</f>
        <v>346500</v>
      </c>
      <c r="C41" s="34">
        <f>$P$34*R41</f>
        <v>472500</v>
      </c>
      <c r="D41" s="34">
        <f>$P$34*S41</f>
        <v>1228500</v>
      </c>
      <c r="E41" s="34">
        <f>$P$34*T41</f>
        <v>1323000</v>
      </c>
      <c r="F41" s="34">
        <f>$P$34*U41</f>
        <v>1197000</v>
      </c>
      <c r="G41" s="34">
        <f>$P$34*V41</f>
        <v>819000</v>
      </c>
      <c r="H41" s="34">
        <f>$P$34*W41</f>
        <v>315000</v>
      </c>
      <c r="I41" s="34">
        <f>$P$34*X41</f>
        <v>252000</v>
      </c>
      <c r="J41" s="34">
        <f>$P$34*Y41</f>
        <v>1008000</v>
      </c>
      <c r="K41" s="34">
        <f>$P$34*Z41</f>
        <v>1386000</v>
      </c>
      <c r="L41" s="34">
        <f>$P$34*AA41</f>
        <v>1543500</v>
      </c>
      <c r="M41" s="34">
        <f>$P$34*AB41</f>
        <v>1228500</v>
      </c>
      <c r="N41" s="349">
        <f>SUM(B41:M41)</f>
        <v>11119500</v>
      </c>
      <c r="O41" s="339"/>
      <c r="P41" s="350" t="s">
        <v>255</v>
      </c>
      <c r="Q41" s="34">
        <v>165</v>
      </c>
      <c r="R41" s="34">
        <v>225</v>
      </c>
      <c r="S41" s="34">
        <v>585</v>
      </c>
      <c r="T41" s="34">
        <v>630</v>
      </c>
      <c r="U41" s="34">
        <v>570</v>
      </c>
      <c r="V41" s="34">
        <v>390</v>
      </c>
      <c r="W41" s="34">
        <v>150</v>
      </c>
      <c r="X41" s="34">
        <v>120</v>
      </c>
      <c r="Y41" s="34">
        <v>480</v>
      </c>
      <c r="Z41" s="34">
        <v>660</v>
      </c>
      <c r="AA41" s="34">
        <v>735</v>
      </c>
      <c r="AB41" s="33">
        <v>585</v>
      </c>
      <c r="AC41" s="361">
        <f>SUM(Q41:AB41)</f>
        <v>5295</v>
      </c>
    </row>
    <row r="42" spans="1:29" ht="17.25" thickBot="1" x14ac:dyDescent="0.35">
      <c r="A42" s="350" t="s">
        <v>254</v>
      </c>
      <c r="B42" s="34">
        <f>$P$34*Q42</f>
        <v>157500</v>
      </c>
      <c r="C42" s="34">
        <f>$P$34*R42</f>
        <v>94500</v>
      </c>
      <c r="D42" s="34">
        <f>$P$34*S42</f>
        <v>1008000</v>
      </c>
      <c r="E42" s="34">
        <f>$P$34*T42</f>
        <v>819000</v>
      </c>
      <c r="F42" s="34">
        <f>$P$34*U42</f>
        <v>756000</v>
      </c>
      <c r="G42" s="34">
        <f>$P$34*V42</f>
        <v>378000</v>
      </c>
      <c r="H42" s="34">
        <f>$P$34*W42</f>
        <v>252000</v>
      </c>
      <c r="I42" s="34">
        <f>$P$34*X42</f>
        <v>157500</v>
      </c>
      <c r="J42" s="34">
        <f>$P$34*Y42</f>
        <v>661500</v>
      </c>
      <c r="K42" s="34">
        <f>$P$34*Z42</f>
        <v>693000</v>
      </c>
      <c r="L42" s="34">
        <f>$P$34*AA42</f>
        <v>756000</v>
      </c>
      <c r="M42" s="34">
        <f>$P$34*AB42</f>
        <v>693000</v>
      </c>
      <c r="N42" s="349">
        <f>SUM(B42:M42)</f>
        <v>6426000</v>
      </c>
      <c r="O42" s="339"/>
      <c r="P42" s="350" t="s">
        <v>253</v>
      </c>
      <c r="Q42" s="34">
        <v>75</v>
      </c>
      <c r="R42" s="34">
        <v>45</v>
      </c>
      <c r="S42" s="34">
        <v>480</v>
      </c>
      <c r="T42" s="34">
        <v>390</v>
      </c>
      <c r="U42" s="34">
        <v>360</v>
      </c>
      <c r="V42" s="34">
        <v>180</v>
      </c>
      <c r="W42" s="34">
        <v>120</v>
      </c>
      <c r="X42" s="34">
        <v>75</v>
      </c>
      <c r="Y42" s="34">
        <v>315</v>
      </c>
      <c r="Z42" s="34">
        <v>330</v>
      </c>
      <c r="AA42" s="34">
        <v>360</v>
      </c>
      <c r="AB42" s="33">
        <v>330</v>
      </c>
      <c r="AC42" s="361">
        <f>SUM(Q42:AB42)</f>
        <v>3060</v>
      </c>
    </row>
    <row r="43" spans="1:29" ht="17.25" thickBot="1" x14ac:dyDescent="0.35">
      <c r="A43" s="350" t="s">
        <v>252</v>
      </c>
      <c r="B43" s="34">
        <f>$P$34*Q43</f>
        <v>157500</v>
      </c>
      <c r="C43" s="34">
        <f>$P$34*R43</f>
        <v>220500</v>
      </c>
      <c r="D43" s="34">
        <f>$P$34*S43</f>
        <v>252000</v>
      </c>
      <c r="E43" s="34">
        <f>$P$34*T43</f>
        <v>315000</v>
      </c>
      <c r="F43" s="34">
        <f>$P$34*U43</f>
        <v>220500</v>
      </c>
      <c r="G43" s="34">
        <f>$P$34*V43</f>
        <v>157500</v>
      </c>
      <c r="H43" s="34">
        <f>$P$34*W43</f>
        <v>126000</v>
      </c>
      <c r="I43" s="34">
        <f>$P$34*X43</f>
        <v>189000</v>
      </c>
      <c r="J43" s="34">
        <f>$P$34*Y43</f>
        <v>189000</v>
      </c>
      <c r="K43" s="34">
        <f>$P$34*Z43</f>
        <v>283500</v>
      </c>
      <c r="L43" s="34">
        <f>$P$34*AA43</f>
        <v>315000</v>
      </c>
      <c r="M43" s="34">
        <f>$P$34*AB43</f>
        <v>220500</v>
      </c>
      <c r="N43" s="349">
        <f>SUM(B43:M43)</f>
        <v>2646000</v>
      </c>
      <c r="O43" s="339"/>
      <c r="P43" s="350" t="s">
        <v>252</v>
      </c>
      <c r="Q43" s="34">
        <v>75</v>
      </c>
      <c r="R43" s="34">
        <v>105</v>
      </c>
      <c r="S43" s="34">
        <v>120</v>
      </c>
      <c r="T43" s="34">
        <v>150</v>
      </c>
      <c r="U43" s="34">
        <v>105</v>
      </c>
      <c r="V43" s="34">
        <v>75</v>
      </c>
      <c r="W43" s="34">
        <v>60</v>
      </c>
      <c r="X43" s="34">
        <v>90</v>
      </c>
      <c r="Y43" s="34">
        <v>90</v>
      </c>
      <c r="Z43" s="34">
        <v>135</v>
      </c>
      <c r="AA43" s="34">
        <v>150</v>
      </c>
      <c r="AB43" s="33">
        <v>105</v>
      </c>
      <c r="AC43" s="361">
        <f>SUM(Q43:AB43)</f>
        <v>1260</v>
      </c>
    </row>
    <row r="44" spans="1:29" ht="17.25" thickBot="1" x14ac:dyDescent="0.35">
      <c r="A44" s="350" t="s">
        <v>251</v>
      </c>
      <c r="B44" s="34">
        <f>$P$34*Q44</f>
        <v>0</v>
      </c>
      <c r="C44" s="34">
        <f>$P$34*R44</f>
        <v>0</v>
      </c>
      <c r="D44" s="34">
        <f>$P$34*S44</f>
        <v>94500</v>
      </c>
      <c r="E44" s="34">
        <f>$P$34*T44</f>
        <v>63000</v>
      </c>
      <c r="F44" s="34">
        <f>$P$34*U44</f>
        <v>31500</v>
      </c>
      <c r="G44" s="34">
        <f>$P$34*V44</f>
        <v>31500</v>
      </c>
      <c r="H44" s="34">
        <f>$P$34*W44</f>
        <v>0</v>
      </c>
      <c r="I44" s="34">
        <f>$P$34*X44</f>
        <v>31500</v>
      </c>
      <c r="J44" s="34">
        <f>$P$34*Y44</f>
        <v>0</v>
      </c>
      <c r="K44" s="34">
        <f>$P$34*Z44</f>
        <v>63000</v>
      </c>
      <c r="L44" s="34">
        <f>$P$34*AA44</f>
        <v>0</v>
      </c>
      <c r="M44" s="34">
        <f>$P$34*AB44</f>
        <v>0</v>
      </c>
      <c r="N44" s="349">
        <f>SUM(B44:M44)</f>
        <v>315000</v>
      </c>
      <c r="O44" s="339"/>
      <c r="P44" s="350" t="s">
        <v>250</v>
      </c>
      <c r="Q44" s="34">
        <v>0</v>
      </c>
      <c r="R44" s="34">
        <v>0</v>
      </c>
      <c r="S44" s="34">
        <v>45</v>
      </c>
      <c r="T44" s="34">
        <v>30</v>
      </c>
      <c r="U44" s="34">
        <v>15</v>
      </c>
      <c r="V44" s="34">
        <v>15</v>
      </c>
      <c r="W44" s="34">
        <v>0</v>
      </c>
      <c r="X44" s="34">
        <v>15</v>
      </c>
      <c r="Y44" s="34">
        <v>0</v>
      </c>
      <c r="Z44" s="34">
        <v>30</v>
      </c>
      <c r="AA44" s="34">
        <v>0</v>
      </c>
      <c r="AB44" s="33">
        <v>0</v>
      </c>
      <c r="AC44" s="361">
        <f>SUM(Q44:AB44)</f>
        <v>150</v>
      </c>
    </row>
    <row r="45" spans="1:29" ht="17.25" thickBot="1" x14ac:dyDescent="0.35">
      <c r="A45" s="348" t="s">
        <v>249</v>
      </c>
      <c r="B45" s="347">
        <f>SUM(B38:B44)</f>
        <v>1291500</v>
      </c>
      <c r="C45" s="347">
        <f>SUM(C38:C44)</f>
        <v>1575000</v>
      </c>
      <c r="D45" s="347">
        <f>SUM(D38:D44)</f>
        <v>4158000</v>
      </c>
      <c r="E45" s="347">
        <f>SUM(E38:E44)</f>
        <v>4347000</v>
      </c>
      <c r="F45" s="347">
        <f>SUM(F38:F44)</f>
        <v>3433500</v>
      </c>
      <c r="G45" s="347">
        <f>SUM(G38:G44)</f>
        <v>2457000</v>
      </c>
      <c r="H45" s="347">
        <f>SUM(H38:H44)</f>
        <v>1537200</v>
      </c>
      <c r="I45" s="347">
        <f>SUM(I38:I44)</f>
        <v>1354500</v>
      </c>
      <c r="J45" s="347">
        <f>SUM(J38:J44)</f>
        <v>2929500</v>
      </c>
      <c r="K45" s="347">
        <f>SUM(K38:K44)</f>
        <v>4032000</v>
      </c>
      <c r="L45" s="347">
        <f>SUM(L38:L44)</f>
        <v>4221000</v>
      </c>
      <c r="M45" s="346">
        <f>SUM(M38:M44)</f>
        <v>3654000</v>
      </c>
      <c r="N45" s="345">
        <f>SUM(B45:M45)</f>
        <v>34990200</v>
      </c>
      <c r="O45" s="339"/>
      <c r="P45" s="348" t="s">
        <v>249</v>
      </c>
      <c r="Q45" s="347">
        <f>SUM(Q38:Q44)</f>
        <v>615</v>
      </c>
      <c r="R45" s="347">
        <f>SUM(R38:R44)</f>
        <v>750</v>
      </c>
      <c r="S45" s="347">
        <f>SUM(S38:S44)</f>
        <v>1980</v>
      </c>
      <c r="T45" s="347">
        <f>SUM(T38:T44)</f>
        <v>2070</v>
      </c>
      <c r="U45" s="347">
        <f>SUM(U38:U44)</f>
        <v>1635</v>
      </c>
      <c r="V45" s="347">
        <f>SUM(V38:V44)</f>
        <v>1170</v>
      </c>
      <c r="W45" s="347">
        <f>SUM(W38:W44)</f>
        <v>732</v>
      </c>
      <c r="X45" s="347">
        <f>SUM(X38:X44)</f>
        <v>645</v>
      </c>
      <c r="Y45" s="347">
        <f>SUM(Y38:Y44)</f>
        <v>1395</v>
      </c>
      <c r="Z45" s="347">
        <f>SUM(Z38:Z44)</f>
        <v>1920</v>
      </c>
      <c r="AA45" s="347">
        <f>SUM(AA38:AA44)</f>
        <v>2010</v>
      </c>
      <c r="AB45" s="346">
        <f>SUM(AB38:AB44)</f>
        <v>1740</v>
      </c>
      <c r="AC45" s="360">
        <f>SUM(Q45:AB45)</f>
        <v>16662</v>
      </c>
    </row>
    <row r="46" spans="1:29" ht="17.25" thickBot="1" x14ac:dyDescent="0.35">
      <c r="A46" s="344" t="s">
        <v>248</v>
      </c>
      <c r="B46" s="343">
        <f>B37+B45</f>
        <v>1575000</v>
      </c>
      <c r="C46" s="343">
        <f>C37+C45</f>
        <v>1858500</v>
      </c>
      <c r="D46" s="343">
        <f>D37+D45</f>
        <v>4662000</v>
      </c>
      <c r="E46" s="343">
        <f>E37+E45</f>
        <v>4851000</v>
      </c>
      <c r="F46" s="343">
        <f>F37+F45</f>
        <v>3809400</v>
      </c>
      <c r="G46" s="343">
        <f>G37+G45</f>
        <v>2835000</v>
      </c>
      <c r="H46" s="343">
        <f>H37+H45</f>
        <v>1820700</v>
      </c>
      <c r="I46" s="343">
        <f>I37+I45</f>
        <v>1638000</v>
      </c>
      <c r="J46" s="343">
        <f>J37+J45</f>
        <v>3307500</v>
      </c>
      <c r="K46" s="343">
        <f>K37+K45</f>
        <v>4504500</v>
      </c>
      <c r="L46" s="343">
        <f>L37+L45</f>
        <v>4630500</v>
      </c>
      <c r="M46" s="342">
        <f>M37+M45</f>
        <v>4032000</v>
      </c>
      <c r="N46" s="341">
        <f>SUM(B46:M46)</f>
        <v>39524100</v>
      </c>
      <c r="O46" s="339"/>
      <c r="P46" s="344" t="s">
        <v>247</v>
      </c>
      <c r="Q46" s="343">
        <f>Q37+Q45</f>
        <v>750</v>
      </c>
      <c r="R46" s="343">
        <f>R37+R45</f>
        <v>885</v>
      </c>
      <c r="S46" s="343">
        <f>S37+S45</f>
        <v>2220</v>
      </c>
      <c r="T46" s="343">
        <f>T37+T45</f>
        <v>2310</v>
      </c>
      <c r="U46" s="343">
        <f>U37+U45</f>
        <v>1814</v>
      </c>
      <c r="V46" s="343">
        <f>V37+V45</f>
        <v>1350</v>
      </c>
      <c r="W46" s="343">
        <f>W37+W45</f>
        <v>867</v>
      </c>
      <c r="X46" s="343">
        <f>X37+X45</f>
        <v>780</v>
      </c>
      <c r="Y46" s="343">
        <f>Y37+Y45</f>
        <v>1575</v>
      </c>
      <c r="Z46" s="343">
        <f>Z37+Z45</f>
        <v>2145</v>
      </c>
      <c r="AA46" s="343">
        <f>AA37+AA45</f>
        <v>2205</v>
      </c>
      <c r="AB46" s="342">
        <f>AB37+AB45</f>
        <v>1920</v>
      </c>
      <c r="AC46" s="359">
        <f>SUM(Q46:AB46)</f>
        <v>18821</v>
      </c>
    </row>
    <row r="47" spans="1:29" ht="16.5" x14ac:dyDescent="0.3">
      <c r="A47" s="340"/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257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  <c r="AA47" s="339"/>
      <c r="AB47" s="339"/>
    </row>
    <row r="48" spans="1:29" ht="16.5" x14ac:dyDescent="0.3">
      <c r="A48" s="340"/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257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  <c r="AA48" s="339"/>
      <c r="AB48" s="339"/>
    </row>
    <row r="49" spans="1:28" ht="17.25" thickBot="1" x14ac:dyDescent="0.35">
      <c r="A49" s="358" t="s">
        <v>246</v>
      </c>
      <c r="B49" s="339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257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</row>
    <row r="50" spans="1:28" ht="17.25" thickBot="1" x14ac:dyDescent="0.35">
      <c r="A50" s="355"/>
      <c r="B50" s="355" t="s">
        <v>239</v>
      </c>
      <c r="C50" s="355" t="s">
        <v>149</v>
      </c>
      <c r="D50" s="355" t="s">
        <v>148</v>
      </c>
      <c r="E50" s="355" t="s">
        <v>46</v>
      </c>
      <c r="F50" s="355" t="s">
        <v>44</v>
      </c>
      <c r="G50" s="355" t="s">
        <v>42</v>
      </c>
      <c r="H50" s="355" t="s">
        <v>40</v>
      </c>
      <c r="I50" s="355" t="s">
        <v>38</v>
      </c>
      <c r="J50" s="355" t="s">
        <v>36</v>
      </c>
      <c r="K50" s="355" t="s">
        <v>34</v>
      </c>
      <c r="L50" s="355" t="s">
        <v>32</v>
      </c>
      <c r="M50" s="357" t="s">
        <v>27</v>
      </c>
      <c r="N50" s="356" t="s">
        <v>238</v>
      </c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</row>
    <row r="51" spans="1:28" ht="17.25" thickBot="1" x14ac:dyDescent="0.35">
      <c r="A51" s="355" t="s">
        <v>86</v>
      </c>
      <c r="B51" s="354">
        <v>303085</v>
      </c>
      <c r="C51" s="354">
        <v>1220008</v>
      </c>
      <c r="D51" s="354">
        <v>849910</v>
      </c>
      <c r="E51" s="354">
        <v>1739660</v>
      </c>
      <c r="F51" s="354">
        <v>1242508</v>
      </c>
      <c r="G51" s="354">
        <v>1388806</v>
      </c>
      <c r="H51" s="354">
        <v>896577</v>
      </c>
      <c r="I51" s="354">
        <v>869590</v>
      </c>
      <c r="J51" s="354">
        <v>1014506.5</v>
      </c>
      <c r="K51" s="354">
        <v>1089993</v>
      </c>
      <c r="L51" s="354">
        <v>1105488</v>
      </c>
      <c r="M51" s="353">
        <v>953229</v>
      </c>
      <c r="N51" s="349">
        <f>SUM(B51:M51)</f>
        <v>12673360.5</v>
      </c>
      <c r="O51" s="339"/>
      <c r="P51" s="339" t="s">
        <v>245</v>
      </c>
      <c r="Q51" s="339" t="s">
        <v>244</v>
      </c>
      <c r="R51" s="339"/>
      <c r="S51" s="339"/>
      <c r="T51" s="339"/>
      <c r="U51" s="339"/>
      <c r="V51" s="339"/>
      <c r="W51" s="339"/>
      <c r="X51" s="339"/>
      <c r="Y51" s="339"/>
      <c r="Z51" s="339"/>
      <c r="AA51" s="339"/>
      <c r="AB51" s="339"/>
    </row>
    <row r="52" spans="1:28" s="337" customFormat="1" ht="17.25" thickBot="1" x14ac:dyDescent="0.35">
      <c r="A52" s="355" t="s">
        <v>85</v>
      </c>
      <c r="B52" s="354">
        <v>114210</v>
      </c>
      <c r="C52" s="354">
        <v>617120</v>
      </c>
      <c r="D52" s="354">
        <v>99110</v>
      </c>
      <c r="E52" s="354">
        <v>321810</v>
      </c>
      <c r="F52" s="354">
        <v>295498</v>
      </c>
      <c r="G52" s="354">
        <v>458700</v>
      </c>
      <c r="H52" s="354">
        <v>325340</v>
      </c>
      <c r="I52" s="354">
        <v>343630</v>
      </c>
      <c r="J52" s="354">
        <v>287090</v>
      </c>
      <c r="K52" s="354">
        <v>142360</v>
      </c>
      <c r="L52" s="354">
        <v>97910</v>
      </c>
      <c r="M52" s="353">
        <v>268760</v>
      </c>
      <c r="N52" s="349">
        <f>SUM(B52:M52)</f>
        <v>3371538</v>
      </c>
      <c r="O52" s="257"/>
      <c r="P52" s="339" t="s">
        <v>243</v>
      </c>
      <c r="Q52" s="339" t="s">
        <v>242</v>
      </c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</row>
    <row r="53" spans="1:28" ht="17.25" thickBot="1" x14ac:dyDescent="0.35">
      <c r="A53" s="348" t="s">
        <v>237</v>
      </c>
      <c r="B53" s="352">
        <f>SUM(B51:B52)</f>
        <v>417295</v>
      </c>
      <c r="C53" s="352">
        <f>SUM(C51:C52)</f>
        <v>1837128</v>
      </c>
      <c r="D53" s="352">
        <f>SUM(D51:D52)</f>
        <v>949020</v>
      </c>
      <c r="E53" s="352">
        <f>SUM(E51:E52)</f>
        <v>2061470</v>
      </c>
      <c r="F53" s="352">
        <f>SUM(F51:F52)</f>
        <v>1538006</v>
      </c>
      <c r="G53" s="352">
        <f>SUM(G51:G52)</f>
        <v>1847506</v>
      </c>
      <c r="H53" s="352">
        <f>SUM(H51:H52)</f>
        <v>1221917</v>
      </c>
      <c r="I53" s="352">
        <f>SUM(I51:I52)</f>
        <v>1213220</v>
      </c>
      <c r="J53" s="352">
        <f>SUM(J51:J52)</f>
        <v>1301596.5</v>
      </c>
      <c r="K53" s="352">
        <f>SUM(K51:K52)</f>
        <v>1232353</v>
      </c>
      <c r="L53" s="352">
        <f>SUM(L51:L52)</f>
        <v>1203398</v>
      </c>
      <c r="M53" s="351">
        <f>SUM(M51:M52)</f>
        <v>1221989</v>
      </c>
      <c r="N53" s="345">
        <f>SUM(B53:M53)</f>
        <v>16044898.5</v>
      </c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</row>
    <row r="54" spans="1:28" ht="17.25" thickBot="1" x14ac:dyDescent="0.35">
      <c r="A54" s="350" t="s">
        <v>84</v>
      </c>
      <c r="B54" s="34">
        <v>428220</v>
      </c>
      <c r="C54" s="34">
        <v>818478</v>
      </c>
      <c r="D54" s="34">
        <v>1340290</v>
      </c>
      <c r="E54" s="34">
        <v>2148313</v>
      </c>
      <c r="F54" s="34">
        <v>1138779</v>
      </c>
      <c r="G54" s="34">
        <v>1249397</v>
      </c>
      <c r="H54" s="34">
        <v>923718</v>
      </c>
      <c r="I54" s="34">
        <v>1117409</v>
      </c>
      <c r="J54" s="34">
        <v>1180740</v>
      </c>
      <c r="K54" s="34">
        <v>1826133</v>
      </c>
      <c r="L54" s="34">
        <v>1421910</v>
      </c>
      <c r="M54" s="33">
        <v>1258758</v>
      </c>
      <c r="N54" s="349">
        <f>SUM(B54:M54)</f>
        <v>14852145</v>
      </c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</row>
    <row r="55" spans="1:28" ht="17.25" thickBot="1" x14ac:dyDescent="0.35">
      <c r="A55" s="350" t="s">
        <v>83</v>
      </c>
      <c r="B55" s="34">
        <v>538080</v>
      </c>
      <c r="C55" s="34">
        <v>921870</v>
      </c>
      <c r="D55" s="34">
        <v>1387937.5</v>
      </c>
      <c r="E55" s="34">
        <v>2379668</v>
      </c>
      <c r="F55" s="34">
        <v>1069078</v>
      </c>
      <c r="G55" s="34">
        <v>1192930</v>
      </c>
      <c r="H55" s="34">
        <v>836588</v>
      </c>
      <c r="I55" s="34">
        <v>1357242</v>
      </c>
      <c r="J55" s="34">
        <v>1030789</v>
      </c>
      <c r="K55" s="34">
        <v>1725938</v>
      </c>
      <c r="L55" s="34">
        <v>1301979</v>
      </c>
      <c r="M55" s="33">
        <v>891879</v>
      </c>
      <c r="N55" s="349">
        <f>SUM(B55:M55)</f>
        <v>14633978.5</v>
      </c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</row>
    <row r="56" spans="1:28" ht="17.25" thickBot="1" x14ac:dyDescent="0.35">
      <c r="A56" s="350" t="s">
        <v>236</v>
      </c>
      <c r="B56" s="34">
        <v>341390</v>
      </c>
      <c r="C56" s="34">
        <v>956753</v>
      </c>
      <c r="D56" s="34">
        <v>997850</v>
      </c>
      <c r="E56" s="34">
        <v>1389673</v>
      </c>
      <c r="F56" s="34">
        <v>840740</v>
      </c>
      <c r="G56" s="34">
        <v>873433</v>
      </c>
      <c r="H56" s="34">
        <v>613480</v>
      </c>
      <c r="I56" s="34">
        <v>624823</v>
      </c>
      <c r="J56" s="34">
        <v>986932.5</v>
      </c>
      <c r="K56" s="34">
        <v>1273183</v>
      </c>
      <c r="L56" s="34">
        <v>905810</v>
      </c>
      <c r="M56" s="33">
        <v>1076133</v>
      </c>
      <c r="N56" s="349">
        <f>SUM(B56:M56)</f>
        <v>10880200.5</v>
      </c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</row>
    <row r="57" spans="1:28" ht="17.25" thickBot="1" x14ac:dyDescent="0.35">
      <c r="A57" s="350" t="s">
        <v>235</v>
      </c>
      <c r="B57" s="34">
        <v>929470</v>
      </c>
      <c r="C57" s="34">
        <v>1751638</v>
      </c>
      <c r="D57" s="34">
        <v>2752065</v>
      </c>
      <c r="E57" s="34">
        <v>4217335</v>
      </c>
      <c r="F57" s="34">
        <v>2991333</v>
      </c>
      <c r="G57" s="34">
        <v>2405890</v>
      </c>
      <c r="H57" s="34">
        <v>981618</v>
      </c>
      <c r="I57" s="34">
        <v>1390030</v>
      </c>
      <c r="J57" s="34">
        <v>2626702.5</v>
      </c>
      <c r="K57" s="34">
        <v>3413998</v>
      </c>
      <c r="L57" s="34">
        <v>2814800</v>
      </c>
      <c r="M57" s="33">
        <v>2723750</v>
      </c>
      <c r="N57" s="349">
        <f>SUM(B57:M57)</f>
        <v>28998629.5</v>
      </c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</row>
    <row r="58" spans="1:28" ht="17.25" thickBot="1" x14ac:dyDescent="0.35">
      <c r="A58" s="350" t="s">
        <v>81</v>
      </c>
      <c r="B58" s="34">
        <v>298520</v>
      </c>
      <c r="C58" s="34">
        <v>786100</v>
      </c>
      <c r="D58" s="34">
        <v>2201660</v>
      </c>
      <c r="E58" s="34">
        <v>2936950</v>
      </c>
      <c r="F58" s="34">
        <v>1630200</v>
      </c>
      <c r="G58" s="34">
        <v>1777595</v>
      </c>
      <c r="H58" s="34">
        <v>492665</v>
      </c>
      <c r="I58" s="34">
        <v>974630</v>
      </c>
      <c r="J58" s="34">
        <v>1449510</v>
      </c>
      <c r="K58" s="34">
        <v>2211565</v>
      </c>
      <c r="L58" s="34">
        <v>1037160</v>
      </c>
      <c r="M58" s="33">
        <v>1578840</v>
      </c>
      <c r="N58" s="349">
        <f>SUM(B58:M58)</f>
        <v>17375395</v>
      </c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</row>
    <row r="59" spans="1:28" ht="17.25" thickBot="1" x14ac:dyDescent="0.35">
      <c r="A59" s="350" t="s">
        <v>79</v>
      </c>
      <c r="B59" s="34">
        <v>349600</v>
      </c>
      <c r="C59" s="34">
        <v>657890</v>
      </c>
      <c r="D59" s="34">
        <v>437510</v>
      </c>
      <c r="E59" s="34">
        <v>1248670</v>
      </c>
      <c r="F59" s="34">
        <v>841315</v>
      </c>
      <c r="G59" s="34">
        <v>672298</v>
      </c>
      <c r="H59" s="34">
        <v>510420</v>
      </c>
      <c r="I59" s="34">
        <v>577240</v>
      </c>
      <c r="J59" s="34">
        <v>650532.5</v>
      </c>
      <c r="K59" s="34">
        <v>703030</v>
      </c>
      <c r="L59" s="34">
        <v>585830</v>
      </c>
      <c r="M59" s="33">
        <v>879290</v>
      </c>
      <c r="N59" s="349">
        <f>SUM(B59:M59)</f>
        <v>8113625.5</v>
      </c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</row>
    <row r="60" spans="1:28" ht="17.25" thickBot="1" x14ac:dyDescent="0.35">
      <c r="A60" s="350" t="s">
        <v>80</v>
      </c>
      <c r="B60" s="34">
        <v>104850</v>
      </c>
      <c r="C60" s="34">
        <v>127520</v>
      </c>
      <c r="D60" s="34">
        <v>476710</v>
      </c>
      <c r="E60" s="34">
        <v>309200</v>
      </c>
      <c r="F60" s="34">
        <v>157300</v>
      </c>
      <c r="G60" s="34">
        <v>128490</v>
      </c>
      <c r="H60" s="34">
        <v>0</v>
      </c>
      <c r="I60" s="34">
        <v>29250</v>
      </c>
      <c r="J60" s="34">
        <v>260100</v>
      </c>
      <c r="K60" s="34">
        <v>0</v>
      </c>
      <c r="L60" s="34">
        <v>16300</v>
      </c>
      <c r="M60" s="33">
        <v>0</v>
      </c>
      <c r="N60" s="349">
        <f>SUM(B60:M60)</f>
        <v>1609720</v>
      </c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</row>
    <row r="61" spans="1:28" ht="17.25" thickBot="1" x14ac:dyDescent="0.35">
      <c r="A61" s="348" t="s">
        <v>234</v>
      </c>
      <c r="B61" s="347">
        <f>SUM(B54:B60)</f>
        <v>2990130</v>
      </c>
      <c r="C61" s="347">
        <f>SUM(C54:C60)</f>
        <v>6020249</v>
      </c>
      <c r="D61" s="347">
        <f>SUM(D54:D60)</f>
        <v>9594022.5</v>
      </c>
      <c r="E61" s="347">
        <f>SUM(E54:E60)</f>
        <v>14629809</v>
      </c>
      <c r="F61" s="347">
        <f>SUM(F54:F60)</f>
        <v>8668745</v>
      </c>
      <c r="G61" s="347">
        <f>SUM(G54:G60)</f>
        <v>8300033</v>
      </c>
      <c r="H61" s="347">
        <f>SUM(H54:H60)</f>
        <v>4358489</v>
      </c>
      <c r="I61" s="347">
        <f>SUM(I54:I60)</f>
        <v>6070624</v>
      </c>
      <c r="J61" s="347">
        <f>SUM(J54:J60)</f>
        <v>8185306.5</v>
      </c>
      <c r="K61" s="347">
        <f>SUM(K54:K60)</f>
        <v>11153847</v>
      </c>
      <c r="L61" s="347">
        <f>SUM(L54:L60)</f>
        <v>8083789</v>
      </c>
      <c r="M61" s="346">
        <f>SUM(M54:M60)</f>
        <v>8408650</v>
      </c>
      <c r="N61" s="345">
        <f>SUM(B61:M61)</f>
        <v>96463694</v>
      </c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</row>
    <row r="62" spans="1:28" ht="17.25" thickBot="1" x14ac:dyDescent="0.35">
      <c r="A62" s="344" t="s">
        <v>241</v>
      </c>
      <c r="B62" s="343">
        <f>B53+B61</f>
        <v>3407425</v>
      </c>
      <c r="C62" s="343">
        <f>C53+C61</f>
        <v>7857377</v>
      </c>
      <c r="D62" s="343">
        <f>D53+D61</f>
        <v>10543042.5</v>
      </c>
      <c r="E62" s="343">
        <f>E53+E61</f>
        <v>16691279</v>
      </c>
      <c r="F62" s="343">
        <f>F53+F61</f>
        <v>10206751</v>
      </c>
      <c r="G62" s="343">
        <f>G53+G61</f>
        <v>10147539</v>
      </c>
      <c r="H62" s="343">
        <f>H53+H61</f>
        <v>5580406</v>
      </c>
      <c r="I62" s="343">
        <f>I53+I61</f>
        <v>7283844</v>
      </c>
      <c r="J62" s="343">
        <f>J53+J61</f>
        <v>9486903</v>
      </c>
      <c r="K62" s="343">
        <f>K53+K61</f>
        <v>12386200</v>
      </c>
      <c r="L62" s="343">
        <f>L53+L61</f>
        <v>9287187</v>
      </c>
      <c r="M62" s="342">
        <f>M53+M61</f>
        <v>9630639</v>
      </c>
      <c r="N62" s="341">
        <f>SUM(B62:M62)</f>
        <v>112508592.5</v>
      </c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</row>
    <row r="63" spans="1:28" ht="16.5" x14ac:dyDescent="0.3">
      <c r="A63" s="340"/>
      <c r="B63" s="339"/>
      <c r="C63" s="339"/>
      <c r="D63" s="339">
        <f>D62+495000</f>
        <v>11038042.5</v>
      </c>
      <c r="E63" s="339">
        <f>E62+495000</f>
        <v>17186279</v>
      </c>
      <c r="F63" s="339">
        <f>F62+330000</f>
        <v>10536751</v>
      </c>
      <c r="G63" s="339">
        <f>G62+275000+110000</f>
        <v>10532539</v>
      </c>
      <c r="H63" s="339">
        <f>H62+330000</f>
        <v>5910406</v>
      </c>
      <c r="I63" s="339">
        <f>I62+275000</f>
        <v>7558844</v>
      </c>
      <c r="J63" s="339">
        <f>J62+275000</f>
        <v>9761903</v>
      </c>
      <c r="K63" s="339">
        <f>K62+14600</f>
        <v>12400800</v>
      </c>
      <c r="L63" s="339">
        <f>L62+275000</f>
        <v>9562187</v>
      </c>
      <c r="M63" s="339">
        <f>M62+726000</f>
        <v>10356639</v>
      </c>
      <c r="N63" s="257">
        <f>SUM(B62:C62,D63:M63)</f>
        <v>116109192.5</v>
      </c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</row>
    <row r="64" spans="1:28" ht="16.5" x14ac:dyDescent="0.3">
      <c r="A64" s="340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257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</row>
    <row r="65" spans="1:28" ht="17.25" thickBot="1" x14ac:dyDescent="0.35">
      <c r="A65" s="358" t="s">
        <v>240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257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</row>
    <row r="66" spans="1:28" ht="17.25" thickBot="1" x14ac:dyDescent="0.35">
      <c r="A66" s="355"/>
      <c r="B66" s="355" t="s">
        <v>239</v>
      </c>
      <c r="C66" s="355" t="s">
        <v>149</v>
      </c>
      <c r="D66" s="355" t="s">
        <v>148</v>
      </c>
      <c r="E66" s="355" t="s">
        <v>46</v>
      </c>
      <c r="F66" s="355" t="s">
        <v>44</v>
      </c>
      <c r="G66" s="355" t="s">
        <v>42</v>
      </c>
      <c r="H66" s="355" t="s">
        <v>40</v>
      </c>
      <c r="I66" s="355" t="s">
        <v>38</v>
      </c>
      <c r="J66" s="355" t="s">
        <v>36</v>
      </c>
      <c r="K66" s="355" t="s">
        <v>34</v>
      </c>
      <c r="L66" s="355" t="s">
        <v>32</v>
      </c>
      <c r="M66" s="357" t="s">
        <v>27</v>
      </c>
      <c r="N66" s="356" t="s">
        <v>238</v>
      </c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</row>
    <row r="67" spans="1:28" ht="17.25" thickBot="1" x14ac:dyDescent="0.35">
      <c r="A67" s="355" t="s">
        <v>86</v>
      </c>
      <c r="B67" s="354">
        <v>0</v>
      </c>
      <c r="C67" s="354">
        <v>206000</v>
      </c>
      <c r="D67" s="354">
        <v>661800</v>
      </c>
      <c r="E67" s="354">
        <v>318200</v>
      </c>
      <c r="F67" s="354">
        <v>237000</v>
      </c>
      <c r="G67" s="354">
        <v>301200</v>
      </c>
      <c r="H67" s="354">
        <v>78600</v>
      </c>
      <c r="I67" s="354">
        <v>118000</v>
      </c>
      <c r="J67" s="354">
        <v>150200</v>
      </c>
      <c r="K67" s="354">
        <v>311200</v>
      </c>
      <c r="L67" s="354">
        <v>102000</v>
      </c>
      <c r="M67" s="353">
        <v>223630</v>
      </c>
      <c r="N67" s="349">
        <f>SUM(B67:M67)</f>
        <v>2707830</v>
      </c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</row>
    <row r="68" spans="1:28" ht="17.25" thickBot="1" x14ac:dyDescent="0.35">
      <c r="A68" s="355" t="s">
        <v>85</v>
      </c>
      <c r="B68" s="354">
        <v>0</v>
      </c>
      <c r="C68" s="354">
        <v>0</v>
      </c>
      <c r="D68" s="354">
        <v>0</v>
      </c>
      <c r="E68" s="354">
        <v>0</v>
      </c>
      <c r="F68" s="354">
        <v>0</v>
      </c>
      <c r="G68" s="354">
        <v>0</v>
      </c>
      <c r="H68" s="354">
        <v>0</v>
      </c>
      <c r="I68" s="354">
        <v>0</v>
      </c>
      <c r="J68" s="354">
        <v>0</v>
      </c>
      <c r="K68" s="354">
        <v>0</v>
      </c>
      <c r="L68" s="354">
        <v>0</v>
      </c>
      <c r="M68" s="353">
        <v>0</v>
      </c>
      <c r="N68" s="349">
        <f>SUM(B68:M68)</f>
        <v>0</v>
      </c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</row>
    <row r="69" spans="1:28" ht="17.25" thickBot="1" x14ac:dyDescent="0.35">
      <c r="A69" s="348" t="s">
        <v>237</v>
      </c>
      <c r="B69" s="352">
        <f>SUM(B67:B68)</f>
        <v>0</v>
      </c>
      <c r="C69" s="352">
        <f>SUM(C67:C68)</f>
        <v>206000</v>
      </c>
      <c r="D69" s="352">
        <f>SUM(D67:D68)</f>
        <v>661800</v>
      </c>
      <c r="E69" s="352">
        <f>SUM(E67:E68)</f>
        <v>318200</v>
      </c>
      <c r="F69" s="352">
        <f>SUM(F67:F68)</f>
        <v>237000</v>
      </c>
      <c r="G69" s="352">
        <f>SUM(G67:G68)</f>
        <v>301200</v>
      </c>
      <c r="H69" s="352">
        <f>SUM(H67:H68)</f>
        <v>78600</v>
      </c>
      <c r="I69" s="352">
        <f>SUM(I67:I68)</f>
        <v>118000</v>
      </c>
      <c r="J69" s="352">
        <f>SUM(J67:J68)</f>
        <v>150200</v>
      </c>
      <c r="K69" s="352">
        <f>SUM(K67:K68)</f>
        <v>311200</v>
      </c>
      <c r="L69" s="352">
        <f>SUM(L67:L68)</f>
        <v>102000</v>
      </c>
      <c r="M69" s="351">
        <f>SUM(M67:M68)</f>
        <v>223630</v>
      </c>
      <c r="N69" s="345">
        <f>SUM(B69:M69)</f>
        <v>2707830</v>
      </c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</row>
    <row r="70" spans="1:28" ht="17.25" thickBot="1" x14ac:dyDescent="0.35">
      <c r="A70" s="350" t="s">
        <v>84</v>
      </c>
      <c r="B70" s="34">
        <v>0</v>
      </c>
      <c r="C70" s="34">
        <v>77800</v>
      </c>
      <c r="D70" s="34">
        <v>149600</v>
      </c>
      <c r="E70" s="34">
        <v>222200</v>
      </c>
      <c r="F70" s="34">
        <v>154300</v>
      </c>
      <c r="G70" s="34">
        <v>113700</v>
      </c>
      <c r="H70" s="34">
        <v>50000</v>
      </c>
      <c r="I70" s="34">
        <v>0</v>
      </c>
      <c r="J70" s="34">
        <v>225200</v>
      </c>
      <c r="K70" s="34">
        <v>195500</v>
      </c>
      <c r="L70" s="34">
        <v>201500</v>
      </c>
      <c r="M70" s="33">
        <v>37400</v>
      </c>
      <c r="N70" s="349">
        <f>SUM(B70:M70)</f>
        <v>1427200</v>
      </c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</row>
    <row r="71" spans="1:28" ht="17.25" thickBot="1" x14ac:dyDescent="0.35">
      <c r="A71" s="350" t="s">
        <v>83</v>
      </c>
      <c r="B71" s="34">
        <v>0</v>
      </c>
      <c r="C71" s="34">
        <v>182000</v>
      </c>
      <c r="D71" s="34">
        <v>346000</v>
      </c>
      <c r="E71" s="34">
        <v>320000</v>
      </c>
      <c r="F71" s="34">
        <v>220000</v>
      </c>
      <c r="G71" s="34">
        <v>0</v>
      </c>
      <c r="H71" s="34">
        <v>0</v>
      </c>
      <c r="I71" s="34">
        <v>84000</v>
      </c>
      <c r="J71" s="34">
        <v>422800</v>
      </c>
      <c r="K71" s="34">
        <v>267000</v>
      </c>
      <c r="L71" s="34">
        <v>221000</v>
      </c>
      <c r="M71" s="33">
        <v>0</v>
      </c>
      <c r="N71" s="349">
        <f>SUM(B71:M71)</f>
        <v>2062800</v>
      </c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</row>
    <row r="72" spans="1:28" ht="17.25" thickBot="1" x14ac:dyDescent="0.35">
      <c r="A72" s="350" t="s">
        <v>236</v>
      </c>
      <c r="B72" s="34">
        <v>0</v>
      </c>
      <c r="C72" s="34">
        <v>67000</v>
      </c>
      <c r="D72" s="34">
        <v>0</v>
      </c>
      <c r="E72" s="34">
        <v>36000</v>
      </c>
      <c r="F72" s="34">
        <v>7200</v>
      </c>
      <c r="G72" s="34">
        <v>0</v>
      </c>
      <c r="H72" s="34">
        <v>0</v>
      </c>
      <c r="I72" s="34">
        <v>0</v>
      </c>
      <c r="J72" s="34">
        <v>34000</v>
      </c>
      <c r="K72" s="34">
        <v>34000</v>
      </c>
      <c r="L72" s="34">
        <v>0</v>
      </c>
      <c r="M72" s="33">
        <v>0</v>
      </c>
      <c r="N72" s="349">
        <f>SUM(B72:M72)</f>
        <v>178200</v>
      </c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</row>
    <row r="73" spans="1:28" ht="17.25" thickBot="1" x14ac:dyDescent="0.35">
      <c r="A73" s="350" t="s">
        <v>235</v>
      </c>
      <c r="B73" s="34">
        <v>0</v>
      </c>
      <c r="C73" s="34">
        <v>476600</v>
      </c>
      <c r="D73" s="34">
        <v>687100</v>
      </c>
      <c r="E73" s="34">
        <v>959000</v>
      </c>
      <c r="F73" s="34">
        <v>510700</v>
      </c>
      <c r="G73" s="34">
        <v>395500</v>
      </c>
      <c r="H73" s="34">
        <v>0</v>
      </c>
      <c r="I73" s="34">
        <v>162800</v>
      </c>
      <c r="J73" s="34">
        <v>515200</v>
      </c>
      <c r="K73" s="34">
        <v>449200</v>
      </c>
      <c r="L73" s="34">
        <v>574600</v>
      </c>
      <c r="M73" s="33">
        <v>408540</v>
      </c>
      <c r="N73" s="349">
        <f>SUM(B73:M73)</f>
        <v>5139240</v>
      </c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</row>
    <row r="74" spans="1:28" ht="17.25" thickBot="1" x14ac:dyDescent="0.35">
      <c r="A74" s="350" t="s">
        <v>81</v>
      </c>
      <c r="B74" s="34">
        <v>0</v>
      </c>
      <c r="C74" s="34">
        <v>203000</v>
      </c>
      <c r="D74" s="34">
        <v>510400</v>
      </c>
      <c r="E74" s="34">
        <v>850400</v>
      </c>
      <c r="F74" s="34">
        <v>574700</v>
      </c>
      <c r="G74" s="34">
        <v>200100</v>
      </c>
      <c r="H74" s="34">
        <v>101800</v>
      </c>
      <c r="I74" s="34">
        <v>0</v>
      </c>
      <c r="J74" s="34">
        <v>745500</v>
      </c>
      <c r="K74" s="34">
        <v>434900</v>
      </c>
      <c r="L74" s="34">
        <v>456000</v>
      </c>
      <c r="M74" s="33">
        <v>193490</v>
      </c>
      <c r="N74" s="349">
        <f>SUM(B74:M74)</f>
        <v>4270290</v>
      </c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</row>
    <row r="75" spans="1:28" ht="17.25" thickBot="1" x14ac:dyDescent="0.35">
      <c r="A75" s="350" t="s">
        <v>79</v>
      </c>
      <c r="B75" s="34">
        <v>0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3">
        <v>0</v>
      </c>
      <c r="N75" s="349">
        <f>SUM(B75:M75)</f>
        <v>0</v>
      </c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</row>
    <row r="76" spans="1:28" ht="17.25" thickBot="1" x14ac:dyDescent="0.35">
      <c r="A76" s="350" t="s">
        <v>80</v>
      </c>
      <c r="B76" s="34">
        <v>0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3">
        <v>0</v>
      </c>
      <c r="N76" s="349">
        <f>SUM(B76:M76)</f>
        <v>0</v>
      </c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</row>
    <row r="77" spans="1:28" ht="17.25" thickBot="1" x14ac:dyDescent="0.35">
      <c r="A77" s="348" t="s">
        <v>234</v>
      </c>
      <c r="B77" s="347">
        <f>SUM(B70:B76)</f>
        <v>0</v>
      </c>
      <c r="C77" s="347">
        <f>SUM(C70:C76)</f>
        <v>1006400</v>
      </c>
      <c r="D77" s="347">
        <f>SUM(D70:D76)</f>
        <v>1693100</v>
      </c>
      <c r="E77" s="347">
        <f>SUM(E70:E76)</f>
        <v>2387600</v>
      </c>
      <c r="F77" s="347">
        <f>SUM(F70:F76)</f>
        <v>1466900</v>
      </c>
      <c r="G77" s="347">
        <f>SUM(G70:G76)</f>
        <v>709300</v>
      </c>
      <c r="H77" s="347">
        <f>SUM(H70:H76)</f>
        <v>151800</v>
      </c>
      <c r="I77" s="347">
        <f>SUM(I70:I76)</f>
        <v>246800</v>
      </c>
      <c r="J77" s="347">
        <f>SUM(J70:J76)</f>
        <v>1942700</v>
      </c>
      <c r="K77" s="347">
        <f>SUM(K70:K76)</f>
        <v>1380600</v>
      </c>
      <c r="L77" s="347">
        <f>SUM(L70:L76)</f>
        <v>1453100</v>
      </c>
      <c r="M77" s="346">
        <f>SUM(M70:M76)</f>
        <v>639430</v>
      </c>
      <c r="N77" s="345">
        <f>SUM(B77:M77)</f>
        <v>13077730</v>
      </c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</row>
    <row r="78" spans="1:28" ht="17.25" thickBot="1" x14ac:dyDescent="0.35">
      <c r="A78" s="344" t="s">
        <v>233</v>
      </c>
      <c r="B78" s="343">
        <f>B69+B77</f>
        <v>0</v>
      </c>
      <c r="C78" s="343">
        <f>C69+C77</f>
        <v>1212400</v>
      </c>
      <c r="D78" s="343">
        <f>D69+D77</f>
        <v>2354900</v>
      </c>
      <c r="E78" s="343">
        <f>E69+E77</f>
        <v>2705800</v>
      </c>
      <c r="F78" s="343">
        <f>F69+F77</f>
        <v>1703900</v>
      </c>
      <c r="G78" s="343">
        <f>G69+G77</f>
        <v>1010500</v>
      </c>
      <c r="H78" s="343">
        <f>H69+H77</f>
        <v>230400</v>
      </c>
      <c r="I78" s="343">
        <f>I69+I77</f>
        <v>364800</v>
      </c>
      <c r="J78" s="343">
        <f>J69+J77</f>
        <v>2092900</v>
      </c>
      <c r="K78" s="343">
        <f>K69+K77</f>
        <v>1691800</v>
      </c>
      <c r="L78" s="343">
        <f>L69+L77</f>
        <v>1555100</v>
      </c>
      <c r="M78" s="342">
        <f>M69+M77</f>
        <v>863060</v>
      </c>
      <c r="N78" s="341">
        <f>SUM(B78:M78)</f>
        <v>15785560</v>
      </c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</row>
    <row r="79" spans="1:28" ht="16.5" x14ac:dyDescent="0.3">
      <c r="A79" s="34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257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</row>
    <row r="80" spans="1:28" ht="16.5" x14ac:dyDescent="0.3">
      <c r="A80" s="340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257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</row>
    <row r="81" spans="1:28" ht="16.5" x14ac:dyDescent="0.3">
      <c r="A81" s="340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257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</row>
    <row r="82" spans="1:28" ht="16.5" x14ac:dyDescent="0.3">
      <c r="A82" s="340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257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</row>
    <row r="83" spans="1:28" ht="16.5" x14ac:dyDescent="0.3">
      <c r="A83" s="340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257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</row>
    <row r="84" spans="1:28" ht="16.5" x14ac:dyDescent="0.3">
      <c r="A84" s="34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257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</row>
    <row r="85" spans="1:28" ht="16.5" x14ac:dyDescent="0.3">
      <c r="A85" s="340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257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</row>
    <row r="86" spans="1:28" ht="16.5" x14ac:dyDescent="0.3">
      <c r="A86" s="340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257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</row>
    <row r="87" spans="1:28" ht="16.5" x14ac:dyDescent="0.3">
      <c r="A87" s="340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257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</row>
    <row r="88" spans="1:28" ht="16.5" x14ac:dyDescent="0.3">
      <c r="A88" s="340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257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</row>
    <row r="89" spans="1:28" ht="16.5" x14ac:dyDescent="0.3">
      <c r="A89" s="340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257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</row>
    <row r="90" spans="1:28" ht="16.5" x14ac:dyDescent="0.3">
      <c r="A90" s="34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257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</row>
    <row r="91" spans="1:28" ht="16.5" x14ac:dyDescent="0.3">
      <c r="A91" s="340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257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</row>
    <row r="92" spans="1:28" ht="16.5" x14ac:dyDescent="0.3">
      <c r="A92" s="340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257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</row>
    <row r="93" spans="1:28" ht="16.5" x14ac:dyDescent="0.3">
      <c r="A93" s="340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257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</row>
    <row r="94" spans="1:28" ht="16.5" x14ac:dyDescent="0.3">
      <c r="A94" s="340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257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</row>
    <row r="95" spans="1:28" ht="16.5" x14ac:dyDescent="0.3">
      <c r="A95" s="340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257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</row>
    <row r="96" spans="1:28" ht="16.5" x14ac:dyDescent="0.3">
      <c r="A96" s="340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257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</row>
    <row r="97" spans="1:28" ht="16.5" x14ac:dyDescent="0.3">
      <c r="A97" s="340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257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</row>
    <row r="98" spans="1:28" ht="16.5" x14ac:dyDescent="0.3">
      <c r="A98" s="340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257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</row>
    <row r="99" spans="1:28" ht="16.5" x14ac:dyDescent="0.3">
      <c r="A99" s="340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257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</row>
    <row r="100" spans="1:28" ht="16.5" x14ac:dyDescent="0.3">
      <c r="A100" s="34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257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</row>
    <row r="101" spans="1:28" ht="16.5" x14ac:dyDescent="0.3">
      <c r="A101" s="340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257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</row>
    <row r="102" spans="1:28" ht="16.5" x14ac:dyDescent="0.3">
      <c r="A102" s="340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257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</row>
    <row r="103" spans="1:28" ht="16.5" x14ac:dyDescent="0.3">
      <c r="A103" s="340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257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</row>
    <row r="104" spans="1:28" ht="16.5" x14ac:dyDescent="0.3">
      <c r="A104" s="340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257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</row>
    <row r="105" spans="1:28" ht="16.5" x14ac:dyDescent="0.3">
      <c r="A105" s="340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257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</row>
    <row r="106" spans="1:28" ht="16.5" x14ac:dyDescent="0.3">
      <c r="A106" s="340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257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</row>
    <row r="107" spans="1:28" ht="16.5" x14ac:dyDescent="0.3">
      <c r="A107" s="34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257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</row>
    <row r="108" spans="1:28" ht="16.5" x14ac:dyDescent="0.3">
      <c r="A108" s="340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257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</row>
    <row r="109" spans="1:28" ht="16.5" x14ac:dyDescent="0.3">
      <c r="A109" s="340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257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</row>
    <row r="110" spans="1:28" ht="16.5" x14ac:dyDescent="0.3">
      <c r="A110" s="340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257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</row>
    <row r="111" spans="1:28" ht="16.5" x14ac:dyDescent="0.3">
      <c r="A111" s="340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257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</row>
    <row r="112" spans="1:28" ht="16.5" x14ac:dyDescent="0.3">
      <c r="A112" s="340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257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</row>
    <row r="113" spans="1:28" ht="16.5" x14ac:dyDescent="0.3">
      <c r="A113" s="340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257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</row>
    <row r="114" spans="1:28" ht="16.5" x14ac:dyDescent="0.3">
      <c r="A114" s="340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257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</row>
    <row r="115" spans="1:28" ht="16.5" x14ac:dyDescent="0.3">
      <c r="A115" s="340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257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</row>
    <row r="116" spans="1:28" ht="16.5" x14ac:dyDescent="0.3">
      <c r="A116" s="340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257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</row>
    <row r="117" spans="1:28" ht="16.5" x14ac:dyDescent="0.3">
      <c r="A117" s="34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257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</row>
    <row r="118" spans="1:28" ht="16.5" x14ac:dyDescent="0.3">
      <c r="A118" s="340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257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</row>
    <row r="119" spans="1:28" ht="16.5" x14ac:dyDescent="0.3">
      <c r="A119" s="340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257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</row>
    <row r="120" spans="1:28" ht="16.5" x14ac:dyDescent="0.3">
      <c r="A120" s="340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257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</row>
    <row r="121" spans="1:28" ht="16.5" x14ac:dyDescent="0.3">
      <c r="A121" s="34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257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</row>
    <row r="122" spans="1:28" ht="16.5" x14ac:dyDescent="0.3">
      <c r="A122" s="340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257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</row>
    <row r="123" spans="1:28" ht="16.5" x14ac:dyDescent="0.3">
      <c r="A123" s="340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257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</row>
    <row r="124" spans="1:28" ht="16.5" x14ac:dyDescent="0.3">
      <c r="A124" s="340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257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</row>
    <row r="125" spans="1:28" ht="16.5" x14ac:dyDescent="0.3">
      <c r="A125" s="340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257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</row>
    <row r="126" spans="1:28" ht="16.5" x14ac:dyDescent="0.3">
      <c r="A126" s="340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257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</row>
    <row r="127" spans="1:28" ht="16.5" x14ac:dyDescent="0.3">
      <c r="A127" s="34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257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</row>
    <row r="128" spans="1:28" ht="16.5" x14ac:dyDescent="0.3">
      <c r="A128" s="340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257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</row>
    <row r="129" spans="1:28" ht="16.5" x14ac:dyDescent="0.3">
      <c r="A129" s="340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257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</row>
    <row r="130" spans="1:28" ht="16.5" x14ac:dyDescent="0.3">
      <c r="A130" s="340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257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</row>
    <row r="131" spans="1:28" ht="16.5" x14ac:dyDescent="0.3">
      <c r="A131" s="340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257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</row>
    <row r="132" spans="1:28" ht="16.5" x14ac:dyDescent="0.3">
      <c r="A132" s="340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257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</row>
    <row r="133" spans="1:28" ht="16.5" x14ac:dyDescent="0.3">
      <c r="A133" s="34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257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</row>
    <row r="134" spans="1:28" ht="16.5" x14ac:dyDescent="0.3">
      <c r="A134" s="340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257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</row>
    <row r="135" spans="1:28" ht="16.5" x14ac:dyDescent="0.3">
      <c r="A135" s="340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257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</row>
    <row r="136" spans="1:28" ht="16.5" x14ac:dyDescent="0.3">
      <c r="A136" s="340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257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</row>
    <row r="137" spans="1:28" ht="16.5" x14ac:dyDescent="0.3">
      <c r="A137" s="340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257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</row>
    <row r="138" spans="1:28" ht="16.5" x14ac:dyDescent="0.3">
      <c r="A138" s="340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257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</row>
    <row r="139" spans="1:28" ht="16.5" x14ac:dyDescent="0.3">
      <c r="A139" s="34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257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</row>
    <row r="140" spans="1:28" ht="16.5" x14ac:dyDescent="0.3">
      <c r="A140" s="340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257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</row>
    <row r="141" spans="1:28" ht="16.5" x14ac:dyDescent="0.3">
      <c r="A141" s="340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257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</row>
    <row r="142" spans="1:28" ht="16.5" x14ac:dyDescent="0.3">
      <c r="A142" s="340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257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</row>
    <row r="143" spans="1:28" ht="16.5" x14ac:dyDescent="0.3">
      <c r="A143" s="340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257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</row>
    <row r="144" spans="1:28" ht="16.5" x14ac:dyDescent="0.3">
      <c r="A144" s="34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257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</row>
    <row r="145" spans="1:28" ht="16.5" x14ac:dyDescent="0.3">
      <c r="A145" s="340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257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</row>
    <row r="146" spans="1:28" ht="16.5" x14ac:dyDescent="0.3">
      <c r="A146" s="340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257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</row>
    <row r="147" spans="1:28" ht="16.5" x14ac:dyDescent="0.3">
      <c r="A147" s="340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257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</row>
    <row r="148" spans="1:28" ht="16.5" x14ac:dyDescent="0.3">
      <c r="A148" s="340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257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</row>
    <row r="149" spans="1:28" ht="16.5" x14ac:dyDescent="0.3">
      <c r="A149" s="34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257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</row>
    <row r="150" spans="1:28" ht="16.5" x14ac:dyDescent="0.3">
      <c r="A150" s="340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257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</row>
    <row r="151" spans="1:28" ht="16.5" x14ac:dyDescent="0.3">
      <c r="A151" s="340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257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</row>
    <row r="152" spans="1:28" ht="16.5" x14ac:dyDescent="0.3">
      <c r="A152" s="340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257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</row>
    <row r="153" spans="1:28" ht="16.5" x14ac:dyDescent="0.3">
      <c r="A153" s="340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257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</row>
    <row r="154" spans="1:28" ht="16.5" x14ac:dyDescent="0.3">
      <c r="A154" s="340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257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</row>
    <row r="155" spans="1:28" ht="16.5" x14ac:dyDescent="0.3">
      <c r="A155" s="34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257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</row>
    <row r="156" spans="1:28" ht="16.5" x14ac:dyDescent="0.3">
      <c r="A156" s="340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257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</row>
    <row r="157" spans="1:28" ht="16.5" x14ac:dyDescent="0.3">
      <c r="A157" s="340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257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</row>
    <row r="158" spans="1:28" ht="16.5" x14ac:dyDescent="0.3">
      <c r="A158" s="340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257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</row>
    <row r="159" spans="1:28" ht="16.5" x14ac:dyDescent="0.3">
      <c r="A159" s="340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257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</row>
    <row r="160" spans="1:28" ht="16.5" x14ac:dyDescent="0.3">
      <c r="A160" s="34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257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</row>
    <row r="161" spans="1:28" ht="16.5" x14ac:dyDescent="0.3">
      <c r="A161" s="340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257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</row>
    <row r="162" spans="1:28" ht="16.5" x14ac:dyDescent="0.3">
      <c r="A162" s="340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257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</row>
    <row r="163" spans="1:28" ht="16.5" x14ac:dyDescent="0.3">
      <c r="A163" s="340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257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</row>
    <row r="164" spans="1:28" ht="16.5" x14ac:dyDescent="0.3">
      <c r="A164" s="340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257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</row>
    <row r="165" spans="1:28" ht="16.5" x14ac:dyDescent="0.3">
      <c r="A165" s="340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257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</row>
    <row r="166" spans="1:28" ht="16.5" x14ac:dyDescent="0.3">
      <c r="A166" s="34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257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</row>
    <row r="167" spans="1:28" ht="16.5" x14ac:dyDescent="0.3">
      <c r="A167" s="340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257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</row>
    <row r="168" spans="1:28" ht="16.5" x14ac:dyDescent="0.3">
      <c r="A168" s="340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257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</row>
    <row r="169" spans="1:28" ht="16.5" x14ac:dyDescent="0.3">
      <c r="A169" s="340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257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</row>
    <row r="170" spans="1:28" ht="16.5" x14ac:dyDescent="0.3">
      <c r="A170" s="340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257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</row>
    <row r="171" spans="1:28" ht="16.5" x14ac:dyDescent="0.3">
      <c r="A171" s="340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257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</row>
    <row r="172" spans="1:28" ht="16.5" x14ac:dyDescent="0.3">
      <c r="A172" s="340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257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</row>
    <row r="173" spans="1:28" ht="16.5" x14ac:dyDescent="0.3">
      <c r="A173" s="340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257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</row>
    <row r="174" spans="1:28" ht="16.5" x14ac:dyDescent="0.3">
      <c r="A174" s="34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257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</row>
    <row r="175" spans="1:28" ht="16.5" x14ac:dyDescent="0.3">
      <c r="A175" s="340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257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</row>
    <row r="176" spans="1:28" ht="16.5" x14ac:dyDescent="0.3">
      <c r="A176" s="340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257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</row>
    <row r="177" spans="1:28" ht="16.5" x14ac:dyDescent="0.3">
      <c r="A177" s="340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257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</row>
    <row r="178" spans="1:28" ht="16.5" x14ac:dyDescent="0.3">
      <c r="A178" s="340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257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</row>
    <row r="179" spans="1:28" ht="16.5" x14ac:dyDescent="0.3">
      <c r="A179" s="34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257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</row>
    <row r="180" spans="1:28" ht="16.5" x14ac:dyDescent="0.3">
      <c r="A180" s="340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257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</row>
    <row r="181" spans="1:28" ht="16.5" x14ac:dyDescent="0.3">
      <c r="A181" s="340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257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</row>
    <row r="182" spans="1:28" ht="16.5" x14ac:dyDescent="0.3">
      <c r="A182" s="340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257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</row>
    <row r="183" spans="1:28" ht="16.5" x14ac:dyDescent="0.3">
      <c r="A183" s="340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257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</row>
    <row r="184" spans="1:28" ht="16.5" x14ac:dyDescent="0.3">
      <c r="A184" s="340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257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</row>
    <row r="185" spans="1:28" ht="16.5" x14ac:dyDescent="0.3">
      <c r="A185" s="340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257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</row>
    <row r="186" spans="1:28" ht="16.5" x14ac:dyDescent="0.3">
      <c r="A186" s="340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257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</row>
    <row r="187" spans="1:28" ht="16.5" x14ac:dyDescent="0.3">
      <c r="A187" s="34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257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</row>
    <row r="188" spans="1:28" ht="16.5" x14ac:dyDescent="0.3">
      <c r="A188" s="340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257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</row>
    <row r="189" spans="1:28" ht="16.5" x14ac:dyDescent="0.3">
      <c r="A189" s="340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257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</row>
    <row r="190" spans="1:28" ht="16.5" x14ac:dyDescent="0.3">
      <c r="A190" s="340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257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</row>
    <row r="191" spans="1:28" ht="16.5" x14ac:dyDescent="0.3">
      <c r="A191" s="34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257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</row>
    <row r="192" spans="1:28" ht="16.5" x14ac:dyDescent="0.3">
      <c r="A192" s="340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257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</row>
    <row r="193" spans="1:28" ht="16.5" x14ac:dyDescent="0.3">
      <c r="A193" s="340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257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</row>
    <row r="194" spans="1:28" ht="16.5" x14ac:dyDescent="0.3">
      <c r="A194" s="340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257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</row>
    <row r="195" spans="1:28" ht="16.5" x14ac:dyDescent="0.3">
      <c r="A195" s="340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257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</row>
    <row r="196" spans="1:28" ht="16.5" x14ac:dyDescent="0.3">
      <c r="A196" s="340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257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</row>
    <row r="197" spans="1:28" ht="16.5" x14ac:dyDescent="0.3">
      <c r="A197" s="340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257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</row>
    <row r="198" spans="1:28" ht="16.5" x14ac:dyDescent="0.3">
      <c r="A198" s="340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257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</row>
    <row r="199" spans="1:28" ht="16.5" x14ac:dyDescent="0.3">
      <c r="A199" s="340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257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</row>
    <row r="200" spans="1:28" ht="16.5" x14ac:dyDescent="0.3">
      <c r="A200" s="34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257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</row>
    <row r="201" spans="1:28" ht="16.5" x14ac:dyDescent="0.3">
      <c r="A201" s="340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257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</row>
    <row r="202" spans="1:28" ht="16.5" x14ac:dyDescent="0.3">
      <c r="A202" s="340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257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</row>
    <row r="203" spans="1:28" ht="16.5" x14ac:dyDescent="0.3">
      <c r="A203" s="340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257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</row>
    <row r="204" spans="1:28" ht="16.5" x14ac:dyDescent="0.3">
      <c r="A204" s="340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257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</row>
    <row r="205" spans="1:28" ht="16.5" x14ac:dyDescent="0.3">
      <c r="A205" s="340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257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</row>
    <row r="206" spans="1:28" ht="16.5" x14ac:dyDescent="0.3">
      <c r="A206" s="340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257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</row>
    <row r="207" spans="1:28" ht="16.5" x14ac:dyDescent="0.3">
      <c r="A207" s="34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257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</row>
    <row r="208" spans="1:28" ht="16.5" x14ac:dyDescent="0.3">
      <c r="A208" s="340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257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</row>
    <row r="209" spans="1:28" ht="16.5" x14ac:dyDescent="0.3">
      <c r="A209" s="340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257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</row>
    <row r="210" spans="1:28" ht="16.5" x14ac:dyDescent="0.3">
      <c r="A210" s="340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257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</row>
    <row r="211" spans="1:28" ht="16.5" x14ac:dyDescent="0.3">
      <c r="A211" s="340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257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</row>
    <row r="212" spans="1:28" ht="16.5" x14ac:dyDescent="0.3">
      <c r="A212" s="340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257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</row>
    <row r="213" spans="1:28" ht="16.5" x14ac:dyDescent="0.3">
      <c r="A213" s="340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257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</row>
    <row r="214" spans="1:28" ht="16.5" x14ac:dyDescent="0.3">
      <c r="A214" s="340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257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</row>
    <row r="215" spans="1:28" ht="16.5" x14ac:dyDescent="0.3">
      <c r="A215" s="340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257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</row>
    <row r="216" spans="1:28" ht="16.5" x14ac:dyDescent="0.3">
      <c r="A216" s="340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257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</row>
    <row r="217" spans="1:28" ht="16.5" x14ac:dyDescent="0.3">
      <c r="A217" s="34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257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</row>
    <row r="218" spans="1:28" ht="16.5" x14ac:dyDescent="0.3">
      <c r="A218" s="340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257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</row>
    <row r="219" spans="1:28" ht="16.5" x14ac:dyDescent="0.3">
      <c r="A219" s="340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257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</row>
    <row r="220" spans="1:28" ht="16.5" x14ac:dyDescent="0.3">
      <c r="A220" s="340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257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</row>
    <row r="221" spans="1:28" ht="16.5" x14ac:dyDescent="0.3">
      <c r="A221" s="340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257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</row>
    <row r="222" spans="1:28" ht="16.5" x14ac:dyDescent="0.3">
      <c r="A222" s="340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257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</row>
    <row r="223" spans="1:28" ht="16.5" x14ac:dyDescent="0.3">
      <c r="A223" s="340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257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</row>
    <row r="224" spans="1:28" ht="16.5" x14ac:dyDescent="0.3">
      <c r="A224" s="340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257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</row>
    <row r="225" spans="1:28" ht="16.5" x14ac:dyDescent="0.3">
      <c r="A225" s="34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257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</row>
    <row r="226" spans="1:28" ht="16.5" x14ac:dyDescent="0.3">
      <c r="A226" s="340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257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</row>
    <row r="227" spans="1:28" ht="16.5" x14ac:dyDescent="0.3">
      <c r="A227" s="340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257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</row>
    <row r="228" spans="1:28" ht="16.5" x14ac:dyDescent="0.3">
      <c r="A228" s="340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257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</row>
    <row r="229" spans="1:28" ht="16.5" x14ac:dyDescent="0.3">
      <c r="A229" s="340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257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</row>
    <row r="230" spans="1:28" ht="16.5" x14ac:dyDescent="0.3">
      <c r="A230" s="34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257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</row>
    <row r="231" spans="1:28" ht="16.5" x14ac:dyDescent="0.3">
      <c r="A231" s="340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257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</row>
    <row r="232" spans="1:28" ht="16.5" x14ac:dyDescent="0.3">
      <c r="A232" s="340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257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</row>
    <row r="233" spans="1:28" ht="16.5" x14ac:dyDescent="0.3">
      <c r="A233" s="340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257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</row>
    <row r="234" spans="1:28" ht="16.5" x14ac:dyDescent="0.3">
      <c r="A234" s="340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257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</row>
    <row r="235" spans="1:28" ht="16.5" x14ac:dyDescent="0.3">
      <c r="A235" s="340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257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</row>
    <row r="236" spans="1:28" ht="16.5" x14ac:dyDescent="0.3">
      <c r="A236" s="34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257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</row>
    <row r="237" spans="1:28" ht="16.5" x14ac:dyDescent="0.3">
      <c r="A237" s="340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257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</row>
    <row r="238" spans="1:28" ht="16.5" x14ac:dyDescent="0.3">
      <c r="A238" s="340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257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</row>
    <row r="239" spans="1:28" ht="16.5" x14ac:dyDescent="0.3">
      <c r="A239" s="340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257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</row>
    <row r="240" spans="1:28" ht="16.5" x14ac:dyDescent="0.3">
      <c r="A240" s="340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257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</row>
    <row r="241" spans="1:28" ht="16.5" x14ac:dyDescent="0.3">
      <c r="A241" s="34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257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</row>
    <row r="242" spans="1:28" ht="16.5" x14ac:dyDescent="0.3">
      <c r="A242" s="340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257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</row>
    <row r="243" spans="1:28" ht="16.5" x14ac:dyDescent="0.3">
      <c r="A243" s="340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257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</row>
    <row r="244" spans="1:28" ht="16.5" x14ac:dyDescent="0.3">
      <c r="A244" s="340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257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</row>
    <row r="245" spans="1:28" ht="16.5" x14ac:dyDescent="0.3">
      <c r="A245" s="340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257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</row>
    <row r="246" spans="1:28" ht="16.5" x14ac:dyDescent="0.3">
      <c r="A246" s="340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257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</row>
    <row r="247" spans="1:28" ht="16.5" x14ac:dyDescent="0.3">
      <c r="A247" s="34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257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</row>
    <row r="248" spans="1:28" ht="16.5" x14ac:dyDescent="0.3">
      <c r="A248" s="340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257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</row>
    <row r="249" spans="1:28" ht="16.5" x14ac:dyDescent="0.3">
      <c r="A249" s="340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257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</row>
    <row r="250" spans="1:28" ht="16.5" x14ac:dyDescent="0.3">
      <c r="A250" s="340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257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</row>
    <row r="251" spans="1:28" ht="16.5" x14ac:dyDescent="0.3">
      <c r="A251" s="340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257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</row>
    <row r="252" spans="1:28" ht="16.5" x14ac:dyDescent="0.3">
      <c r="A252" s="340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257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</row>
    <row r="253" spans="1:28" ht="16.5" x14ac:dyDescent="0.3">
      <c r="A253" s="34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257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</row>
    <row r="254" spans="1:28" ht="16.5" x14ac:dyDescent="0.3">
      <c r="A254" s="340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257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</row>
    <row r="255" spans="1:28" ht="16.5" x14ac:dyDescent="0.3">
      <c r="A255" s="340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257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</row>
    <row r="256" spans="1:28" ht="16.5" x14ac:dyDescent="0.3">
      <c r="A256" s="340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257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</row>
    <row r="257" spans="1:28" ht="16.5" x14ac:dyDescent="0.3">
      <c r="A257" s="340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257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</row>
    <row r="258" spans="1:28" ht="16.5" x14ac:dyDescent="0.3">
      <c r="A258" s="340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257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</row>
    <row r="259" spans="1:28" ht="16.5" x14ac:dyDescent="0.3">
      <c r="A259" s="340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257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</row>
    <row r="260" spans="1:28" ht="16.5" x14ac:dyDescent="0.3">
      <c r="A260" s="34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257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</row>
    <row r="261" spans="1:28" ht="16.5" x14ac:dyDescent="0.3">
      <c r="A261" s="340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257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</row>
    <row r="262" spans="1:28" ht="16.5" x14ac:dyDescent="0.3">
      <c r="A262" s="340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257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</row>
    <row r="263" spans="1:28" ht="16.5" x14ac:dyDescent="0.3">
      <c r="A263" s="340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257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</row>
    <row r="264" spans="1:28" ht="16.5" x14ac:dyDescent="0.3">
      <c r="A264" s="340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257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</row>
    <row r="265" spans="1:28" ht="16.5" x14ac:dyDescent="0.3">
      <c r="A265" s="340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257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</row>
    <row r="266" spans="1:28" ht="16.5" x14ac:dyDescent="0.3">
      <c r="A266" s="34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257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</row>
    <row r="267" spans="1:28" ht="16.5" x14ac:dyDescent="0.3">
      <c r="A267" s="340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257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</row>
    <row r="268" spans="1:28" ht="16.5" x14ac:dyDescent="0.3">
      <c r="A268" s="340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257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</row>
    <row r="269" spans="1:28" ht="16.5" x14ac:dyDescent="0.3">
      <c r="A269" s="340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257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</row>
    <row r="270" spans="1:28" ht="16.5" x14ac:dyDescent="0.3">
      <c r="A270" s="34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257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</row>
    <row r="271" spans="1:28" ht="16.5" x14ac:dyDescent="0.3">
      <c r="A271" s="340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257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</row>
    <row r="272" spans="1:28" ht="16.5" x14ac:dyDescent="0.3">
      <c r="A272" s="340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257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</row>
    <row r="273" spans="1:28" ht="16.5" x14ac:dyDescent="0.3">
      <c r="A273" s="340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257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</row>
    <row r="274" spans="1:28" ht="16.5" x14ac:dyDescent="0.3">
      <c r="A274" s="340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257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</row>
    <row r="275" spans="1:28" ht="16.5" x14ac:dyDescent="0.3">
      <c r="A275" s="340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257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</row>
    <row r="276" spans="1:28" ht="16.5" x14ac:dyDescent="0.3">
      <c r="A276" s="340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257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</row>
    <row r="277" spans="1:28" ht="16.5" x14ac:dyDescent="0.3">
      <c r="A277" s="340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257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</row>
    <row r="278" spans="1:28" ht="16.5" x14ac:dyDescent="0.3">
      <c r="A278" s="34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257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</row>
    <row r="279" spans="1:28" ht="16.5" x14ac:dyDescent="0.3">
      <c r="A279" s="340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257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</row>
    <row r="280" spans="1:28" ht="16.5" x14ac:dyDescent="0.3">
      <c r="A280" s="340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257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</row>
    <row r="281" spans="1:28" ht="16.5" x14ac:dyDescent="0.3">
      <c r="A281" s="340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257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</row>
    <row r="282" spans="1:28" ht="16.5" x14ac:dyDescent="0.3">
      <c r="A282" s="34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257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</row>
    <row r="283" spans="1:28" ht="16.5" x14ac:dyDescent="0.3">
      <c r="A283" s="340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257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</row>
    <row r="284" spans="1:28" ht="16.5" x14ac:dyDescent="0.3">
      <c r="A284" s="340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257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</row>
    <row r="285" spans="1:28" ht="16.5" x14ac:dyDescent="0.3">
      <c r="A285" s="340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257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</row>
    <row r="286" spans="1:28" ht="16.5" x14ac:dyDescent="0.3">
      <c r="A286" s="340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257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</row>
    <row r="287" spans="1:28" ht="16.5" x14ac:dyDescent="0.3">
      <c r="A287" s="34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257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</row>
    <row r="288" spans="1:28" ht="16.5" x14ac:dyDescent="0.3">
      <c r="A288" s="340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257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</row>
    <row r="289" spans="1:28" ht="16.5" x14ac:dyDescent="0.3">
      <c r="A289" s="340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257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</row>
    <row r="290" spans="1:28" ht="16.5" x14ac:dyDescent="0.3">
      <c r="A290" s="340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257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</row>
    <row r="291" spans="1:28" ht="16.5" x14ac:dyDescent="0.3">
      <c r="A291" s="340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257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</row>
    <row r="292" spans="1:28" ht="16.5" x14ac:dyDescent="0.3">
      <c r="A292" s="340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257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</row>
    <row r="293" spans="1:28" ht="16.5" x14ac:dyDescent="0.3">
      <c r="A293" s="34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257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</row>
    <row r="294" spans="1:28" ht="16.5" x14ac:dyDescent="0.3">
      <c r="A294" s="340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257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</row>
  </sheetData>
  <mergeCells count="1">
    <mergeCell ref="A1:N1"/>
  </mergeCells>
  <phoneticPr fontId="3" type="noConversion"/>
  <pageMargins left="0.25" right="0.25" top="0.75" bottom="0.75" header="0.3" footer="0.3"/>
  <pageSetup paperSize="9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2025카페사업팀사업계획_추정손익_ver.1</vt:lpstr>
      <vt:lpstr>2025년목표 매출</vt:lpstr>
      <vt:lpstr>24년 목표대비 달성률</vt:lpstr>
      <vt:lpstr>2024년 매장별 목표 및 23년 대비 차액</vt:lpstr>
      <vt:lpstr>24년 매장별 물류 사용량</vt:lpstr>
      <vt:lpstr>Sheet1</vt:lpstr>
      <vt:lpstr>'2025카페사업팀사업계획_추정손익_ver.1'!Print_Area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2025-01-03T04:52:34Z</dcterms:created>
  <dcterms:modified xsi:type="dcterms:W3CDTF">2025-01-03T06:01:40Z</dcterms:modified>
</cp:coreProperties>
</file>